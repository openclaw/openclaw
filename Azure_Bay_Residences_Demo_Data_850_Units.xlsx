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cliffordvaughn/AskTenant Workspace/openclaw/"/>
    </mc:Choice>
  </mc:AlternateContent>
  <xr:revisionPtr revIDLastSave="0" documentId="13_ncr:1_{84D7BC75-294D-FA40-AD2F-0CB3E1F58C3A}" xr6:coauthVersionLast="47" xr6:coauthVersionMax="47" xr10:uidLastSave="{00000000-0000-0000-0000-000000000000}"/>
  <bookViews>
    <workbookView xWindow="0" yWindow="600" windowWidth="43860" windowHeight="24600" activeTab="10" xr2:uid="{00000000-000D-0000-FFFF-FFFF00000000}"/>
  </bookViews>
  <sheets>
    <sheet name="Assumptions" sheetId="1" r:id="rId1"/>
    <sheet name="README" sheetId="2" r:id="rId2"/>
    <sheet name="Units_Residents" sheetId="3" r:id="rId3"/>
    <sheet name="Accounts_AR" sheetId="4" r:id="rId4"/>
    <sheet name="Amenities_Parking" sheetId="5" r:id="rId5"/>
    <sheet name="Amenities_BoatSlips" sheetId="6" r:id="rId6"/>
    <sheet name="Vendors" sheetId="7" r:id="rId7"/>
    <sheet name="Work_Orders" sheetId="8" r:id="rId8"/>
    <sheet name="Violations" sheetId="9" r:id="rId9"/>
    <sheet name="Notices" sheetId="10" r:id="rId10"/>
    <sheet name="SMS_Test_Se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51" i="4" l="1"/>
  <c r="L851" i="4"/>
  <c r="D851" i="4"/>
  <c r="M850" i="4"/>
  <c r="L850" i="4"/>
  <c r="D850" i="4"/>
  <c r="L849" i="4"/>
  <c r="M849" i="4" s="1"/>
  <c r="D849" i="4"/>
  <c r="M848" i="4"/>
  <c r="L848" i="4"/>
  <c r="D848" i="4"/>
  <c r="L847" i="4"/>
  <c r="M847" i="4" s="1"/>
  <c r="D847" i="4"/>
  <c r="L846" i="4"/>
  <c r="M846" i="4" s="1"/>
  <c r="D846" i="4"/>
  <c r="M845" i="4"/>
  <c r="L845" i="4"/>
  <c r="D845" i="4"/>
  <c r="M844" i="4"/>
  <c r="L844" i="4"/>
  <c r="D844" i="4"/>
  <c r="L843" i="4"/>
  <c r="M843" i="4" s="1"/>
  <c r="D843" i="4"/>
  <c r="M842" i="4"/>
  <c r="L842" i="4"/>
  <c r="D842" i="4"/>
  <c r="M841" i="4"/>
  <c r="L841" i="4"/>
  <c r="D841" i="4"/>
  <c r="M840" i="4"/>
  <c r="L840" i="4"/>
  <c r="D840" i="4"/>
  <c r="M839" i="4"/>
  <c r="L839" i="4"/>
  <c r="D839" i="4"/>
  <c r="M838" i="4"/>
  <c r="L838" i="4"/>
  <c r="D838" i="4"/>
  <c r="M837" i="4"/>
  <c r="L837" i="4"/>
  <c r="D837" i="4"/>
  <c r="L836" i="4"/>
  <c r="M836" i="4" s="1"/>
  <c r="D836" i="4"/>
  <c r="L835" i="4"/>
  <c r="M835" i="4" s="1"/>
  <c r="D835" i="4"/>
  <c r="M834" i="4"/>
  <c r="L834" i="4"/>
  <c r="D834" i="4"/>
  <c r="L833" i="4"/>
  <c r="M833" i="4" s="1"/>
  <c r="D833" i="4"/>
  <c r="L832" i="4"/>
  <c r="M832" i="4" s="1"/>
  <c r="D832" i="4"/>
  <c r="M831" i="4"/>
  <c r="L831" i="4"/>
  <c r="D831" i="4"/>
  <c r="M830" i="4"/>
  <c r="L830" i="4"/>
  <c r="D830" i="4"/>
  <c r="M829" i="4"/>
  <c r="L829" i="4"/>
  <c r="D829" i="4"/>
  <c r="M828" i="4"/>
  <c r="L828" i="4"/>
  <c r="D828" i="4"/>
  <c r="M827" i="4"/>
  <c r="L827" i="4"/>
  <c r="D827" i="4"/>
  <c r="M826" i="4"/>
  <c r="L826" i="4"/>
  <c r="D826" i="4"/>
  <c r="M825" i="4"/>
  <c r="L825" i="4"/>
  <c r="D825" i="4"/>
  <c r="M824" i="4"/>
  <c r="L824" i="4"/>
  <c r="D824" i="4"/>
  <c r="M823" i="4"/>
  <c r="L823" i="4"/>
  <c r="D823" i="4"/>
  <c r="M822" i="4"/>
  <c r="L822" i="4"/>
  <c r="D822" i="4"/>
  <c r="M821" i="4"/>
  <c r="L821" i="4"/>
  <c r="D821" i="4"/>
  <c r="M820" i="4"/>
  <c r="L820" i="4"/>
  <c r="D820" i="4"/>
  <c r="M819" i="4"/>
  <c r="L819" i="4"/>
  <c r="D819" i="4"/>
  <c r="M818" i="4"/>
  <c r="L818" i="4"/>
  <c r="D818" i="4"/>
  <c r="M817" i="4"/>
  <c r="L817" i="4"/>
  <c r="D817" i="4"/>
  <c r="M816" i="4"/>
  <c r="L816" i="4"/>
  <c r="D816" i="4"/>
  <c r="M815" i="4"/>
  <c r="L815" i="4"/>
  <c r="D815" i="4"/>
  <c r="M814" i="4"/>
  <c r="L814" i="4"/>
  <c r="D814" i="4"/>
  <c r="M813" i="4"/>
  <c r="L813" i="4"/>
  <c r="D813" i="4"/>
  <c r="M812" i="4"/>
  <c r="L812" i="4"/>
  <c r="D812" i="4"/>
  <c r="M811" i="4"/>
  <c r="L811" i="4"/>
  <c r="D811" i="4"/>
  <c r="L810" i="4"/>
  <c r="M810" i="4" s="1"/>
  <c r="D810" i="4"/>
  <c r="M809" i="4"/>
  <c r="L809" i="4"/>
  <c r="D809" i="4"/>
  <c r="M808" i="4"/>
  <c r="L808" i="4"/>
  <c r="D808" i="4"/>
  <c r="M807" i="4"/>
  <c r="L807" i="4"/>
  <c r="D807" i="4"/>
  <c r="M806" i="4"/>
  <c r="L806" i="4"/>
  <c r="D806" i="4"/>
  <c r="L805" i="4"/>
  <c r="M805" i="4" s="1"/>
  <c r="D805" i="4"/>
  <c r="L804" i="4"/>
  <c r="M804" i="4" s="1"/>
  <c r="D804" i="4"/>
  <c r="M803" i="4"/>
  <c r="L803" i="4"/>
  <c r="D803" i="4"/>
  <c r="M802" i="4"/>
  <c r="L802" i="4"/>
  <c r="D802" i="4"/>
  <c r="M801" i="4"/>
  <c r="L801" i="4"/>
  <c r="D801" i="4"/>
  <c r="L800" i="4"/>
  <c r="M800" i="4" s="1"/>
  <c r="D800" i="4"/>
  <c r="L799" i="4"/>
  <c r="M799" i="4" s="1"/>
  <c r="D799" i="4"/>
  <c r="M798" i="4"/>
  <c r="L798" i="4"/>
  <c r="D798" i="4"/>
  <c r="M797" i="4"/>
  <c r="L797" i="4"/>
  <c r="D797" i="4"/>
  <c r="M796" i="4"/>
  <c r="L796" i="4"/>
  <c r="D796" i="4"/>
  <c r="L795" i="4"/>
  <c r="M795" i="4" s="1"/>
  <c r="D795" i="4"/>
  <c r="M794" i="4"/>
  <c r="L794" i="4"/>
  <c r="D794" i="4"/>
  <c r="L793" i="4"/>
  <c r="M793" i="4" s="1"/>
  <c r="D793" i="4"/>
  <c r="M792" i="4"/>
  <c r="L792" i="4"/>
  <c r="D792" i="4"/>
  <c r="M791" i="4"/>
  <c r="L791" i="4"/>
  <c r="D791" i="4"/>
  <c r="M790" i="4"/>
  <c r="L790" i="4"/>
  <c r="D790" i="4"/>
  <c r="M789" i="4"/>
  <c r="L789" i="4"/>
  <c r="D789" i="4"/>
  <c r="L788" i="4"/>
  <c r="M788" i="4" s="1"/>
  <c r="D788" i="4"/>
  <c r="M787" i="4"/>
  <c r="L787" i="4"/>
  <c r="D787" i="4"/>
  <c r="M786" i="4"/>
  <c r="L786" i="4"/>
  <c r="D786" i="4"/>
  <c r="M785" i="4"/>
  <c r="L785" i="4"/>
  <c r="D785" i="4"/>
  <c r="L784" i="4"/>
  <c r="M784" i="4" s="1"/>
  <c r="D784" i="4"/>
  <c r="M783" i="4"/>
  <c r="L783" i="4"/>
  <c r="D783" i="4"/>
  <c r="M782" i="4"/>
  <c r="L782" i="4"/>
  <c r="D782" i="4"/>
  <c r="M781" i="4"/>
  <c r="L781" i="4"/>
  <c r="D781" i="4"/>
  <c r="M780" i="4"/>
  <c r="L780" i="4"/>
  <c r="D780" i="4"/>
  <c r="M779" i="4"/>
  <c r="L779" i="4"/>
  <c r="D779" i="4"/>
  <c r="M778" i="4"/>
  <c r="L778" i="4"/>
  <c r="D778" i="4"/>
  <c r="M777" i="4"/>
  <c r="L777" i="4"/>
  <c r="D777" i="4"/>
  <c r="M776" i="4"/>
  <c r="L776" i="4"/>
  <c r="D776" i="4"/>
  <c r="M775" i="4"/>
  <c r="L775" i="4"/>
  <c r="D775" i="4"/>
  <c r="L774" i="4"/>
  <c r="M774" i="4" s="1"/>
  <c r="D774" i="4"/>
  <c r="L773" i="4"/>
  <c r="M773" i="4" s="1"/>
  <c r="D773" i="4"/>
  <c r="L772" i="4"/>
  <c r="M772" i="4" s="1"/>
  <c r="D772" i="4"/>
  <c r="M771" i="4"/>
  <c r="L771" i="4"/>
  <c r="D771" i="4"/>
  <c r="L770" i="4"/>
  <c r="M770" i="4" s="1"/>
  <c r="D770" i="4"/>
  <c r="M769" i="4"/>
  <c r="L769" i="4"/>
  <c r="D769" i="4"/>
  <c r="M768" i="4"/>
  <c r="L768" i="4"/>
  <c r="D768" i="4"/>
  <c r="M767" i="4"/>
  <c r="L767" i="4"/>
  <c r="D767" i="4"/>
  <c r="L766" i="4"/>
  <c r="M766" i="4" s="1"/>
  <c r="D766" i="4"/>
  <c r="M765" i="4"/>
  <c r="L765" i="4"/>
  <c r="D765" i="4"/>
  <c r="L764" i="4"/>
  <c r="M764" i="4" s="1"/>
  <c r="D764" i="4"/>
  <c r="M763" i="4"/>
  <c r="L763" i="4"/>
  <c r="D763" i="4"/>
  <c r="M762" i="4"/>
  <c r="L762" i="4"/>
  <c r="D762" i="4"/>
  <c r="M761" i="4"/>
  <c r="L761" i="4"/>
  <c r="D761" i="4"/>
  <c r="M760" i="4"/>
  <c r="L760" i="4"/>
  <c r="D760" i="4"/>
  <c r="L759" i="4"/>
  <c r="M759" i="4" s="1"/>
  <c r="D759" i="4"/>
  <c r="M758" i="4"/>
  <c r="L758" i="4"/>
  <c r="D758" i="4"/>
  <c r="M757" i="4"/>
  <c r="L757" i="4"/>
  <c r="D757" i="4"/>
  <c r="M756" i="4"/>
  <c r="L756" i="4"/>
  <c r="D756" i="4"/>
  <c r="M755" i="4"/>
  <c r="L755" i="4"/>
  <c r="D755" i="4"/>
  <c r="M754" i="4"/>
  <c r="L754" i="4"/>
  <c r="D754" i="4"/>
  <c r="M753" i="4"/>
  <c r="L753" i="4"/>
  <c r="D753" i="4"/>
  <c r="M752" i="4"/>
  <c r="L752" i="4"/>
  <c r="D752" i="4"/>
  <c r="L751" i="4"/>
  <c r="M751" i="4" s="1"/>
  <c r="D751" i="4"/>
  <c r="M750" i="4"/>
  <c r="L750" i="4"/>
  <c r="D750" i="4"/>
  <c r="M749" i="4"/>
  <c r="L749" i="4"/>
  <c r="D749" i="4"/>
  <c r="L748" i="4"/>
  <c r="M748" i="4" s="1"/>
  <c r="D748" i="4"/>
  <c r="L747" i="4"/>
  <c r="M747" i="4" s="1"/>
  <c r="D747" i="4"/>
  <c r="M746" i="4"/>
  <c r="L746" i="4"/>
  <c r="D746" i="4"/>
  <c r="M745" i="4"/>
  <c r="L745" i="4"/>
  <c r="D745" i="4"/>
  <c r="L744" i="4"/>
  <c r="M744" i="4" s="1"/>
  <c r="D744" i="4"/>
  <c r="L743" i="4"/>
  <c r="M743" i="4" s="1"/>
  <c r="D743" i="4"/>
  <c r="M742" i="4"/>
  <c r="L742" i="4"/>
  <c r="D742" i="4"/>
  <c r="M741" i="4"/>
  <c r="L741" i="4"/>
  <c r="D741" i="4"/>
  <c r="M740" i="4"/>
  <c r="L740" i="4"/>
  <c r="D740" i="4"/>
  <c r="M739" i="4"/>
  <c r="L739" i="4"/>
  <c r="D739" i="4"/>
  <c r="M738" i="4"/>
  <c r="L738" i="4"/>
  <c r="D738" i="4"/>
  <c r="M737" i="4"/>
  <c r="L737" i="4"/>
  <c r="D737" i="4"/>
  <c r="M736" i="4"/>
  <c r="L736" i="4"/>
  <c r="D736" i="4"/>
  <c r="M735" i="4"/>
  <c r="L735" i="4"/>
  <c r="D735" i="4"/>
  <c r="M734" i="4"/>
  <c r="L734" i="4"/>
  <c r="D734" i="4"/>
  <c r="L733" i="4"/>
  <c r="M733" i="4" s="1"/>
  <c r="D733" i="4"/>
  <c r="L732" i="4"/>
  <c r="M732" i="4" s="1"/>
  <c r="D732" i="4"/>
  <c r="M731" i="4"/>
  <c r="L731" i="4"/>
  <c r="D731" i="4"/>
  <c r="L730" i="4"/>
  <c r="M730" i="4" s="1"/>
  <c r="D730" i="4"/>
  <c r="L729" i="4"/>
  <c r="M729" i="4" s="1"/>
  <c r="D729" i="4"/>
  <c r="L728" i="4"/>
  <c r="M728" i="4" s="1"/>
  <c r="D728" i="4"/>
  <c r="L727" i="4"/>
  <c r="M727" i="4" s="1"/>
  <c r="D727" i="4"/>
  <c r="L726" i="4"/>
  <c r="M726" i="4" s="1"/>
  <c r="D726" i="4"/>
  <c r="M725" i="4"/>
  <c r="L725" i="4"/>
  <c r="D725" i="4"/>
  <c r="L724" i="4"/>
  <c r="M724" i="4" s="1"/>
  <c r="D724" i="4"/>
  <c r="L723" i="4"/>
  <c r="M723" i="4" s="1"/>
  <c r="D723" i="4"/>
  <c r="L722" i="4"/>
  <c r="M722" i="4" s="1"/>
  <c r="D722" i="4"/>
  <c r="M721" i="4"/>
  <c r="L721" i="4"/>
  <c r="D721" i="4"/>
  <c r="M720" i="4"/>
  <c r="L720" i="4"/>
  <c r="D720" i="4"/>
  <c r="M719" i="4"/>
  <c r="L719" i="4"/>
  <c r="D719" i="4"/>
  <c r="M718" i="4"/>
  <c r="L718" i="4"/>
  <c r="D718" i="4"/>
  <c r="L717" i="4"/>
  <c r="M717" i="4" s="1"/>
  <c r="D717" i="4"/>
  <c r="M716" i="4"/>
  <c r="L716" i="4"/>
  <c r="D716" i="4"/>
  <c r="L715" i="4"/>
  <c r="M715" i="4" s="1"/>
  <c r="D715" i="4"/>
  <c r="L714" i="4"/>
  <c r="M714" i="4" s="1"/>
  <c r="D714" i="4"/>
  <c r="M713" i="4"/>
  <c r="L713" i="4"/>
  <c r="D713" i="4"/>
  <c r="M712" i="4"/>
  <c r="L712" i="4"/>
  <c r="D712" i="4"/>
  <c r="M711" i="4"/>
  <c r="L711" i="4"/>
  <c r="D711" i="4"/>
  <c r="L710" i="4"/>
  <c r="M710" i="4" s="1"/>
  <c r="D710" i="4"/>
  <c r="M709" i="4"/>
  <c r="L709" i="4"/>
  <c r="D709" i="4"/>
  <c r="M708" i="4"/>
  <c r="L708" i="4"/>
  <c r="D708" i="4"/>
  <c r="L707" i="4"/>
  <c r="M707" i="4" s="1"/>
  <c r="D707" i="4"/>
  <c r="L706" i="4"/>
  <c r="M706" i="4" s="1"/>
  <c r="D706" i="4"/>
  <c r="M705" i="4"/>
  <c r="L705" i="4"/>
  <c r="D705" i="4"/>
  <c r="M704" i="4"/>
  <c r="L704" i="4"/>
  <c r="D704" i="4"/>
  <c r="M703" i="4"/>
  <c r="L703" i="4"/>
  <c r="D703" i="4"/>
  <c r="M702" i="4"/>
  <c r="L702" i="4"/>
  <c r="D702" i="4"/>
  <c r="M701" i="4"/>
  <c r="L701" i="4"/>
  <c r="D701" i="4"/>
  <c r="M700" i="4"/>
  <c r="L700" i="4"/>
  <c r="D700" i="4"/>
  <c r="M699" i="4"/>
  <c r="L699" i="4"/>
  <c r="D699" i="4"/>
  <c r="M698" i="4"/>
  <c r="L698" i="4"/>
  <c r="D698" i="4"/>
  <c r="M697" i="4"/>
  <c r="L697" i="4"/>
  <c r="D697" i="4"/>
  <c r="M696" i="4"/>
  <c r="L696" i="4"/>
  <c r="D696" i="4"/>
  <c r="M695" i="4"/>
  <c r="L695" i="4"/>
  <c r="D695" i="4"/>
  <c r="M694" i="4"/>
  <c r="L694" i="4"/>
  <c r="D694" i="4"/>
  <c r="M693" i="4"/>
  <c r="L693" i="4"/>
  <c r="D693" i="4"/>
  <c r="L692" i="4"/>
  <c r="M692" i="4" s="1"/>
  <c r="D692" i="4"/>
  <c r="M691" i="4"/>
  <c r="L691" i="4"/>
  <c r="D691" i="4"/>
  <c r="M690" i="4"/>
  <c r="L690" i="4"/>
  <c r="D690" i="4"/>
  <c r="L689" i="4"/>
  <c r="M689" i="4" s="1"/>
  <c r="D689" i="4"/>
  <c r="M688" i="4"/>
  <c r="L688" i="4"/>
  <c r="D688" i="4"/>
  <c r="L687" i="4"/>
  <c r="M687" i="4" s="1"/>
  <c r="D687" i="4"/>
  <c r="L686" i="4"/>
  <c r="M686" i="4" s="1"/>
  <c r="D686" i="4"/>
  <c r="M685" i="4"/>
  <c r="L685" i="4"/>
  <c r="D685" i="4"/>
  <c r="L684" i="4"/>
  <c r="M684" i="4" s="1"/>
  <c r="D684" i="4"/>
  <c r="M683" i="4"/>
  <c r="L683" i="4"/>
  <c r="D683" i="4"/>
  <c r="M682" i="4"/>
  <c r="L682" i="4"/>
  <c r="D682" i="4"/>
  <c r="M681" i="4"/>
  <c r="L681" i="4"/>
  <c r="D681" i="4"/>
  <c r="M680" i="4"/>
  <c r="L680" i="4"/>
  <c r="D680" i="4"/>
  <c r="M679" i="4"/>
  <c r="L679" i="4"/>
  <c r="D679" i="4"/>
  <c r="M678" i="4"/>
  <c r="L678" i="4"/>
  <c r="D678" i="4"/>
  <c r="M677" i="4"/>
  <c r="L677" i="4"/>
  <c r="D677" i="4"/>
  <c r="M676" i="4"/>
  <c r="L676" i="4"/>
  <c r="D676" i="4"/>
  <c r="M675" i="4"/>
  <c r="L675" i="4"/>
  <c r="D675" i="4"/>
  <c r="M674" i="4"/>
  <c r="L674" i="4"/>
  <c r="D674" i="4"/>
  <c r="L673" i="4"/>
  <c r="M673" i="4" s="1"/>
  <c r="D673" i="4"/>
  <c r="M672" i="4"/>
  <c r="L672" i="4"/>
  <c r="D672" i="4"/>
  <c r="M671" i="4"/>
  <c r="L671" i="4"/>
  <c r="D671" i="4"/>
  <c r="L670" i="4"/>
  <c r="M670" i="4" s="1"/>
  <c r="D670" i="4"/>
  <c r="M669" i="4"/>
  <c r="L669" i="4"/>
  <c r="D669" i="4"/>
  <c r="M668" i="4"/>
  <c r="L668" i="4"/>
  <c r="D668" i="4"/>
  <c r="M667" i="4"/>
  <c r="L667" i="4"/>
  <c r="D667" i="4"/>
  <c r="M666" i="4"/>
  <c r="L666" i="4"/>
  <c r="D666" i="4"/>
  <c r="M665" i="4"/>
  <c r="L665" i="4"/>
  <c r="D665" i="4"/>
  <c r="L664" i="4"/>
  <c r="M664" i="4" s="1"/>
  <c r="D664" i="4"/>
  <c r="L663" i="4"/>
  <c r="M663" i="4" s="1"/>
  <c r="D663" i="4"/>
  <c r="L662" i="4"/>
  <c r="M662" i="4" s="1"/>
  <c r="D662" i="4"/>
  <c r="M661" i="4"/>
  <c r="L661" i="4"/>
  <c r="D661" i="4"/>
  <c r="M660" i="4"/>
  <c r="L660" i="4"/>
  <c r="D660" i="4"/>
  <c r="L659" i="4"/>
  <c r="M659" i="4" s="1"/>
  <c r="D659" i="4"/>
  <c r="M658" i="4"/>
  <c r="L658" i="4"/>
  <c r="D658" i="4"/>
  <c r="M657" i="4"/>
  <c r="L657" i="4"/>
  <c r="D657" i="4"/>
  <c r="M656" i="4"/>
  <c r="L656" i="4"/>
  <c r="D656" i="4"/>
  <c r="M655" i="4"/>
  <c r="L655" i="4"/>
  <c r="D655" i="4"/>
  <c r="M654" i="4"/>
  <c r="L654" i="4"/>
  <c r="D654" i="4"/>
  <c r="M653" i="4"/>
  <c r="L653" i="4"/>
  <c r="D653" i="4"/>
  <c r="L652" i="4"/>
  <c r="M652" i="4" s="1"/>
  <c r="D652" i="4"/>
  <c r="L651" i="4"/>
  <c r="M651" i="4" s="1"/>
  <c r="D651" i="4"/>
  <c r="M650" i="4"/>
  <c r="L650" i="4"/>
  <c r="D650" i="4"/>
  <c r="M649" i="4"/>
  <c r="L649" i="4"/>
  <c r="D649" i="4"/>
  <c r="L648" i="4"/>
  <c r="M648" i="4" s="1"/>
  <c r="D648" i="4"/>
  <c r="M647" i="4"/>
  <c r="L647" i="4"/>
  <c r="D647" i="4"/>
  <c r="M646" i="4"/>
  <c r="L646" i="4"/>
  <c r="D646" i="4"/>
  <c r="M645" i="4"/>
  <c r="L645" i="4"/>
  <c r="D645" i="4"/>
  <c r="L644" i="4"/>
  <c r="M644" i="4" s="1"/>
  <c r="D644" i="4"/>
  <c r="M643" i="4"/>
  <c r="L643" i="4"/>
  <c r="D643" i="4"/>
  <c r="M642" i="4"/>
  <c r="L642" i="4"/>
  <c r="D642" i="4"/>
  <c r="M641" i="4"/>
  <c r="L641" i="4"/>
  <c r="D641" i="4"/>
  <c r="M640" i="4"/>
  <c r="L640" i="4"/>
  <c r="D640" i="4"/>
  <c r="M639" i="4"/>
  <c r="L639" i="4"/>
  <c r="D639" i="4"/>
  <c r="M638" i="4"/>
  <c r="L638" i="4"/>
  <c r="D638" i="4"/>
  <c r="M637" i="4"/>
  <c r="L637" i="4"/>
  <c r="D637" i="4"/>
  <c r="L636" i="4"/>
  <c r="M636" i="4" s="1"/>
  <c r="D636" i="4"/>
  <c r="M635" i="4"/>
  <c r="L635" i="4"/>
  <c r="D635" i="4"/>
  <c r="M634" i="4"/>
  <c r="L634" i="4"/>
  <c r="D634" i="4"/>
  <c r="L633" i="4"/>
  <c r="M633" i="4" s="1"/>
  <c r="D633" i="4"/>
  <c r="M632" i="4"/>
  <c r="L632" i="4"/>
  <c r="D632" i="4"/>
  <c r="M631" i="4"/>
  <c r="L631" i="4"/>
  <c r="D631" i="4"/>
  <c r="M630" i="4"/>
  <c r="L630" i="4"/>
  <c r="D630" i="4"/>
  <c r="M629" i="4"/>
  <c r="L629" i="4"/>
  <c r="D629" i="4"/>
  <c r="L628" i="4"/>
  <c r="M628" i="4" s="1"/>
  <c r="D628" i="4"/>
  <c r="M627" i="4"/>
  <c r="L627" i="4"/>
  <c r="D627" i="4"/>
  <c r="L626" i="4"/>
  <c r="M626" i="4" s="1"/>
  <c r="D626" i="4"/>
  <c r="M625" i="4"/>
  <c r="L625" i="4"/>
  <c r="D625" i="4"/>
  <c r="M624" i="4"/>
  <c r="L624" i="4"/>
  <c r="D624" i="4"/>
  <c r="L623" i="4"/>
  <c r="M623" i="4" s="1"/>
  <c r="D623" i="4"/>
  <c r="M622" i="4"/>
  <c r="L622" i="4"/>
  <c r="D622" i="4"/>
  <c r="M621" i="4"/>
  <c r="L621" i="4"/>
  <c r="D621" i="4"/>
  <c r="M620" i="4"/>
  <c r="L620" i="4"/>
  <c r="D620" i="4"/>
  <c r="L619" i="4"/>
  <c r="M619" i="4" s="1"/>
  <c r="D619" i="4"/>
  <c r="M618" i="4"/>
  <c r="L618" i="4"/>
  <c r="D618" i="4"/>
  <c r="M617" i="4"/>
  <c r="L617" i="4"/>
  <c r="D617" i="4"/>
  <c r="M616" i="4"/>
  <c r="L616" i="4"/>
  <c r="D616" i="4"/>
  <c r="M615" i="4"/>
  <c r="L615" i="4"/>
  <c r="D615" i="4"/>
  <c r="M614" i="4"/>
  <c r="L614" i="4"/>
  <c r="D614" i="4"/>
  <c r="M613" i="4"/>
  <c r="L613" i="4"/>
  <c r="D613" i="4"/>
  <c r="M612" i="4"/>
  <c r="L612" i="4"/>
  <c r="D612" i="4"/>
  <c r="M611" i="4"/>
  <c r="L611" i="4"/>
  <c r="D611" i="4"/>
  <c r="M610" i="4"/>
  <c r="L610" i="4"/>
  <c r="D610" i="4"/>
  <c r="M609" i="4"/>
  <c r="L609" i="4"/>
  <c r="D609" i="4"/>
  <c r="L608" i="4"/>
  <c r="M608" i="4" s="1"/>
  <c r="D608" i="4"/>
  <c r="M607" i="4"/>
  <c r="L607" i="4"/>
  <c r="D607" i="4"/>
  <c r="M606" i="4"/>
  <c r="L606" i="4"/>
  <c r="D606" i="4"/>
  <c r="M605" i="4"/>
  <c r="L605" i="4"/>
  <c r="D605" i="4"/>
  <c r="L604" i="4"/>
  <c r="M604" i="4" s="1"/>
  <c r="D604" i="4"/>
  <c r="M603" i="4"/>
  <c r="L603" i="4"/>
  <c r="D603" i="4"/>
  <c r="M602" i="4"/>
  <c r="L602" i="4"/>
  <c r="D602" i="4"/>
  <c r="M601" i="4"/>
  <c r="L601" i="4"/>
  <c r="D601" i="4"/>
  <c r="M600" i="4"/>
  <c r="L600" i="4"/>
  <c r="D600" i="4"/>
  <c r="L599" i="4"/>
  <c r="M599" i="4" s="1"/>
  <c r="D599" i="4"/>
  <c r="M598" i="4"/>
  <c r="L598" i="4"/>
  <c r="D598" i="4"/>
  <c r="L597" i="4"/>
  <c r="M597" i="4" s="1"/>
  <c r="D597" i="4"/>
  <c r="L596" i="4"/>
  <c r="M596" i="4" s="1"/>
  <c r="D596" i="4"/>
  <c r="M595" i="4"/>
  <c r="L595" i="4"/>
  <c r="D595" i="4"/>
  <c r="M594" i="4"/>
  <c r="L594" i="4"/>
  <c r="D594" i="4"/>
  <c r="M593" i="4"/>
  <c r="L593" i="4"/>
  <c r="D593" i="4"/>
  <c r="M592" i="4"/>
  <c r="L592" i="4"/>
  <c r="D592" i="4"/>
  <c r="L591" i="4"/>
  <c r="M591" i="4" s="1"/>
  <c r="D591" i="4"/>
  <c r="M590" i="4"/>
  <c r="L590" i="4"/>
  <c r="D590" i="4"/>
  <c r="M589" i="4"/>
  <c r="L589" i="4"/>
  <c r="D589" i="4"/>
  <c r="M588" i="4"/>
  <c r="L588" i="4"/>
  <c r="D588" i="4"/>
  <c r="M587" i="4"/>
  <c r="L587" i="4"/>
  <c r="D587" i="4"/>
  <c r="M586" i="4"/>
  <c r="L586" i="4"/>
  <c r="D586" i="4"/>
  <c r="M585" i="4"/>
  <c r="L585" i="4"/>
  <c r="D585" i="4"/>
  <c r="M584" i="4"/>
  <c r="L584" i="4"/>
  <c r="D584" i="4"/>
  <c r="M583" i="4"/>
  <c r="L583" i="4"/>
  <c r="D583" i="4"/>
  <c r="M582" i="4"/>
  <c r="L582" i="4"/>
  <c r="D582" i="4"/>
  <c r="L581" i="4"/>
  <c r="M581" i="4" s="1"/>
  <c r="D581" i="4"/>
  <c r="M580" i="4"/>
  <c r="L580" i="4"/>
  <c r="D580" i="4"/>
  <c r="M579" i="4"/>
  <c r="L579" i="4"/>
  <c r="D579" i="4"/>
  <c r="M578" i="4"/>
  <c r="L578" i="4"/>
  <c r="D578" i="4"/>
  <c r="L577" i="4"/>
  <c r="M577" i="4" s="1"/>
  <c r="D577" i="4"/>
  <c r="M576" i="4"/>
  <c r="L576" i="4"/>
  <c r="D576" i="4"/>
  <c r="M575" i="4"/>
  <c r="L575" i="4"/>
  <c r="D575" i="4"/>
  <c r="L574" i="4"/>
  <c r="M574" i="4" s="1"/>
  <c r="D574" i="4"/>
  <c r="M573" i="4"/>
  <c r="L573" i="4"/>
  <c r="D573" i="4"/>
  <c r="M572" i="4"/>
  <c r="L572" i="4"/>
  <c r="D572" i="4"/>
  <c r="M571" i="4"/>
  <c r="L571" i="4"/>
  <c r="D571" i="4"/>
  <c r="M570" i="4"/>
  <c r="L570" i="4"/>
  <c r="D570" i="4"/>
  <c r="M569" i="4"/>
  <c r="L569" i="4"/>
  <c r="D569" i="4"/>
  <c r="L568" i="4"/>
  <c r="M568" i="4" s="1"/>
  <c r="D568" i="4"/>
  <c r="M567" i="4"/>
  <c r="L567" i="4"/>
  <c r="D567" i="4"/>
  <c r="M566" i="4"/>
  <c r="L566" i="4"/>
  <c r="D566" i="4"/>
  <c r="L565" i="4"/>
  <c r="M565" i="4" s="1"/>
  <c r="D565" i="4"/>
  <c r="L564" i="4"/>
  <c r="M564" i="4" s="1"/>
  <c r="D564" i="4"/>
  <c r="M563" i="4"/>
  <c r="L563" i="4"/>
  <c r="D563" i="4"/>
  <c r="M562" i="4"/>
  <c r="L562" i="4"/>
  <c r="D562" i="4"/>
  <c r="M561" i="4"/>
  <c r="L561" i="4"/>
  <c r="D561" i="4"/>
  <c r="L560" i="4"/>
  <c r="M560" i="4" s="1"/>
  <c r="D560" i="4"/>
  <c r="L559" i="4"/>
  <c r="M559" i="4" s="1"/>
  <c r="D559" i="4"/>
  <c r="M558" i="4"/>
  <c r="L558" i="4"/>
  <c r="D558" i="4"/>
  <c r="M557" i="4"/>
  <c r="L557" i="4"/>
  <c r="D557" i="4"/>
  <c r="M556" i="4"/>
  <c r="L556" i="4"/>
  <c r="D556" i="4"/>
  <c r="L555" i="4"/>
  <c r="M555" i="4" s="1"/>
  <c r="D555" i="4"/>
  <c r="M554" i="4"/>
  <c r="L554" i="4"/>
  <c r="D554" i="4"/>
  <c r="M553" i="4"/>
  <c r="L553" i="4"/>
  <c r="D553" i="4"/>
  <c r="M552" i="4"/>
  <c r="L552" i="4"/>
  <c r="D552" i="4"/>
  <c r="M551" i="4"/>
  <c r="L551" i="4"/>
  <c r="D551" i="4"/>
  <c r="M550" i="4"/>
  <c r="L550" i="4"/>
  <c r="D550" i="4"/>
  <c r="M549" i="4"/>
  <c r="L549" i="4"/>
  <c r="D549" i="4"/>
  <c r="M548" i="4"/>
  <c r="L548" i="4"/>
  <c r="D548" i="4"/>
  <c r="M547" i="4"/>
  <c r="L547" i="4"/>
  <c r="D547" i="4"/>
  <c r="M546" i="4"/>
  <c r="L546" i="4"/>
  <c r="D546" i="4"/>
  <c r="M545" i="4"/>
  <c r="L545" i="4"/>
  <c r="D545" i="4"/>
  <c r="M544" i="4"/>
  <c r="L544" i="4"/>
  <c r="D544" i="4"/>
  <c r="M543" i="4"/>
  <c r="L543" i="4"/>
  <c r="D543" i="4"/>
  <c r="M542" i="4"/>
  <c r="L542" i="4"/>
  <c r="D542" i="4"/>
  <c r="L541" i="4"/>
  <c r="M541" i="4" s="1"/>
  <c r="D541" i="4"/>
  <c r="M540" i="4"/>
  <c r="L540" i="4"/>
  <c r="D540" i="4"/>
  <c r="M539" i="4"/>
  <c r="L539" i="4"/>
  <c r="D539" i="4"/>
  <c r="M538" i="4"/>
  <c r="L538" i="4"/>
  <c r="D538" i="4"/>
  <c r="M537" i="4"/>
  <c r="L537" i="4"/>
  <c r="D537" i="4"/>
  <c r="M536" i="4"/>
  <c r="L536" i="4"/>
  <c r="D536" i="4"/>
  <c r="M535" i="4"/>
  <c r="L535" i="4"/>
  <c r="D535" i="4"/>
  <c r="M534" i="4"/>
  <c r="L534" i="4"/>
  <c r="D534" i="4"/>
  <c r="M533" i="4"/>
  <c r="L533" i="4"/>
  <c r="D533" i="4"/>
  <c r="M532" i="4"/>
  <c r="L532" i="4"/>
  <c r="D532" i="4"/>
  <c r="M531" i="4"/>
  <c r="L531" i="4"/>
  <c r="D531" i="4"/>
  <c r="M530" i="4"/>
  <c r="L530" i="4"/>
  <c r="D530" i="4"/>
  <c r="M529" i="4"/>
  <c r="L529" i="4"/>
  <c r="D529" i="4"/>
  <c r="M528" i="4"/>
  <c r="L528" i="4"/>
  <c r="D528" i="4"/>
  <c r="M527" i="4"/>
  <c r="L527" i="4"/>
  <c r="D527" i="4"/>
  <c r="M526" i="4"/>
  <c r="L526" i="4"/>
  <c r="D526" i="4"/>
  <c r="M525" i="4"/>
  <c r="L525" i="4"/>
  <c r="D525" i="4"/>
  <c r="L524" i="4"/>
  <c r="M524" i="4" s="1"/>
  <c r="D524" i="4"/>
  <c r="M523" i="4"/>
  <c r="L523" i="4"/>
  <c r="D523" i="4"/>
  <c r="L522" i="4"/>
  <c r="M522" i="4" s="1"/>
  <c r="D522" i="4"/>
  <c r="L521" i="4"/>
  <c r="M521" i="4" s="1"/>
  <c r="D521" i="4"/>
  <c r="L520" i="4"/>
  <c r="M520" i="4" s="1"/>
  <c r="D520" i="4"/>
  <c r="M519" i="4"/>
  <c r="L519" i="4"/>
  <c r="D519" i="4"/>
  <c r="L518" i="4"/>
  <c r="M518" i="4" s="1"/>
  <c r="D518" i="4"/>
  <c r="M517" i="4"/>
  <c r="L517" i="4"/>
  <c r="D517" i="4"/>
  <c r="L516" i="4"/>
  <c r="M516" i="4" s="1"/>
  <c r="D516" i="4"/>
  <c r="M515" i="4"/>
  <c r="L515" i="4"/>
  <c r="D515" i="4"/>
  <c r="M514" i="4"/>
  <c r="L514" i="4"/>
  <c r="D514" i="4"/>
  <c r="M513" i="4"/>
  <c r="L513" i="4"/>
  <c r="D513" i="4"/>
  <c r="M512" i="4"/>
  <c r="L512" i="4"/>
  <c r="D512" i="4"/>
  <c r="L511" i="4"/>
  <c r="M511" i="4" s="1"/>
  <c r="D511" i="4"/>
  <c r="L510" i="4"/>
  <c r="M510" i="4" s="1"/>
  <c r="D510" i="4"/>
  <c r="M509" i="4"/>
  <c r="L509" i="4"/>
  <c r="D509" i="4"/>
  <c r="L508" i="4"/>
  <c r="M508" i="4" s="1"/>
  <c r="D508" i="4"/>
  <c r="M507" i="4"/>
  <c r="L507" i="4"/>
  <c r="D507" i="4"/>
  <c r="M506" i="4"/>
  <c r="L506" i="4"/>
  <c r="D506" i="4"/>
  <c r="M505" i="4"/>
  <c r="L505" i="4"/>
  <c r="D505" i="4"/>
  <c r="M504" i="4"/>
  <c r="L504" i="4"/>
  <c r="D504" i="4"/>
  <c r="M503" i="4"/>
  <c r="L503" i="4"/>
  <c r="D503" i="4"/>
  <c r="M502" i="4"/>
  <c r="L502" i="4"/>
  <c r="D502" i="4"/>
  <c r="L501" i="4"/>
  <c r="M501" i="4" s="1"/>
  <c r="D501" i="4"/>
  <c r="M500" i="4"/>
  <c r="L500" i="4"/>
  <c r="D500" i="4"/>
  <c r="L499" i="4"/>
  <c r="M499" i="4" s="1"/>
  <c r="D499" i="4"/>
  <c r="M498" i="4"/>
  <c r="L498" i="4"/>
  <c r="D498" i="4"/>
  <c r="M497" i="4"/>
  <c r="L497" i="4"/>
  <c r="D497" i="4"/>
  <c r="L496" i="4"/>
  <c r="M496" i="4" s="1"/>
  <c r="D496" i="4"/>
  <c r="M495" i="4"/>
  <c r="L495" i="4"/>
  <c r="D495" i="4"/>
  <c r="M494" i="4"/>
  <c r="L494" i="4"/>
  <c r="D494" i="4"/>
  <c r="M493" i="4"/>
  <c r="L493" i="4"/>
  <c r="D493" i="4"/>
  <c r="M492" i="4"/>
  <c r="L492" i="4"/>
  <c r="D492" i="4"/>
  <c r="L491" i="4"/>
  <c r="M491" i="4" s="1"/>
  <c r="D491" i="4"/>
  <c r="M490" i="4"/>
  <c r="L490" i="4"/>
  <c r="D490" i="4"/>
  <c r="L489" i="4"/>
  <c r="M489" i="4" s="1"/>
  <c r="D489" i="4"/>
  <c r="M488" i="4"/>
  <c r="L488" i="4"/>
  <c r="D488" i="4"/>
  <c r="M487" i="4"/>
  <c r="L487" i="4"/>
  <c r="D487" i="4"/>
  <c r="M486" i="4"/>
  <c r="L486" i="4"/>
  <c r="D486" i="4"/>
  <c r="M485" i="4"/>
  <c r="L485" i="4"/>
  <c r="D485" i="4"/>
  <c r="M484" i="4"/>
  <c r="L484" i="4"/>
  <c r="D484" i="4"/>
  <c r="L483" i="4"/>
  <c r="M483" i="4" s="1"/>
  <c r="D483" i="4"/>
  <c r="M482" i="4"/>
  <c r="L482" i="4"/>
  <c r="D482" i="4"/>
  <c r="M481" i="4"/>
  <c r="L481" i="4"/>
  <c r="D481" i="4"/>
  <c r="M480" i="4"/>
  <c r="L480" i="4"/>
  <c r="D480" i="4"/>
  <c r="M479" i="4"/>
  <c r="L479" i="4"/>
  <c r="D479" i="4"/>
  <c r="L478" i="4"/>
  <c r="M478" i="4" s="1"/>
  <c r="D478" i="4"/>
  <c r="M477" i="4"/>
  <c r="L477" i="4"/>
  <c r="D477" i="4"/>
  <c r="M476" i="4"/>
  <c r="L476" i="4"/>
  <c r="D476" i="4"/>
  <c r="L475" i="4"/>
  <c r="M475" i="4" s="1"/>
  <c r="D475" i="4"/>
  <c r="M474" i="4"/>
  <c r="L474" i="4"/>
  <c r="D474" i="4"/>
  <c r="L473" i="4"/>
  <c r="M473" i="4" s="1"/>
  <c r="D473" i="4"/>
  <c r="M472" i="4"/>
  <c r="L472" i="4"/>
  <c r="D472" i="4"/>
  <c r="L471" i="4"/>
  <c r="M471" i="4" s="1"/>
  <c r="D471" i="4"/>
  <c r="M470" i="4"/>
  <c r="L470" i="4"/>
  <c r="D470" i="4"/>
  <c r="L469" i="4"/>
  <c r="M469" i="4" s="1"/>
  <c r="D469" i="4"/>
  <c r="M468" i="4"/>
  <c r="L468" i="4"/>
  <c r="D468" i="4"/>
  <c r="M467" i="4"/>
  <c r="L467" i="4"/>
  <c r="D467" i="4"/>
  <c r="M466" i="4"/>
  <c r="L466" i="4"/>
  <c r="D466" i="4"/>
  <c r="M465" i="4"/>
  <c r="L465" i="4"/>
  <c r="D465" i="4"/>
  <c r="M464" i="4"/>
  <c r="L464" i="4"/>
  <c r="D464" i="4"/>
  <c r="M463" i="4"/>
  <c r="L463" i="4"/>
  <c r="D463" i="4"/>
  <c r="M462" i="4"/>
  <c r="L462" i="4"/>
  <c r="D462" i="4"/>
  <c r="L461" i="4"/>
  <c r="M461" i="4" s="1"/>
  <c r="D461" i="4"/>
  <c r="M460" i="4"/>
  <c r="L460" i="4"/>
  <c r="D460" i="4"/>
  <c r="M459" i="4"/>
  <c r="L459" i="4"/>
  <c r="D459" i="4"/>
  <c r="L458" i="4"/>
  <c r="M458" i="4" s="1"/>
  <c r="D458" i="4"/>
  <c r="M457" i="4"/>
  <c r="L457" i="4"/>
  <c r="D457" i="4"/>
  <c r="L456" i="4"/>
  <c r="M456" i="4" s="1"/>
  <c r="D456" i="4"/>
  <c r="M455" i="4"/>
  <c r="L455" i="4"/>
  <c r="D455" i="4"/>
  <c r="M454" i="4"/>
  <c r="L454" i="4"/>
  <c r="D454" i="4"/>
  <c r="M453" i="4"/>
  <c r="L453" i="4"/>
  <c r="D453" i="4"/>
  <c r="L452" i="4"/>
  <c r="M452" i="4" s="1"/>
  <c r="D452" i="4"/>
  <c r="M451" i="4"/>
  <c r="L451" i="4"/>
  <c r="D451" i="4"/>
  <c r="M450" i="4"/>
  <c r="L450" i="4"/>
  <c r="D450" i="4"/>
  <c r="M449" i="4"/>
  <c r="L449" i="4"/>
  <c r="D449" i="4"/>
  <c r="M448" i="4"/>
  <c r="L448" i="4"/>
  <c r="D448" i="4"/>
  <c r="M447" i="4"/>
  <c r="L447" i="4"/>
  <c r="D447" i="4"/>
  <c r="M446" i="4"/>
  <c r="L446" i="4"/>
  <c r="D446" i="4"/>
  <c r="L445" i="4"/>
  <c r="M445" i="4" s="1"/>
  <c r="D445" i="4"/>
  <c r="M444" i="4"/>
  <c r="L444" i="4"/>
  <c r="D444" i="4"/>
  <c r="M443" i="4"/>
  <c r="L443" i="4"/>
  <c r="D443" i="4"/>
  <c r="M442" i="4"/>
  <c r="L442" i="4"/>
  <c r="D442" i="4"/>
  <c r="M441" i="4"/>
  <c r="L441" i="4"/>
  <c r="D441" i="4"/>
  <c r="L440" i="4"/>
  <c r="M440" i="4" s="1"/>
  <c r="D440" i="4"/>
  <c r="M439" i="4"/>
  <c r="L439" i="4"/>
  <c r="D439" i="4"/>
  <c r="L438" i="4"/>
  <c r="M438" i="4" s="1"/>
  <c r="D438" i="4"/>
  <c r="M437" i="4"/>
  <c r="L437" i="4"/>
  <c r="D437" i="4"/>
  <c r="M436" i="4"/>
  <c r="L436" i="4"/>
  <c r="D436" i="4"/>
  <c r="M435" i="4"/>
  <c r="L435" i="4"/>
  <c r="D435" i="4"/>
  <c r="M434" i="4"/>
  <c r="L434" i="4"/>
  <c r="D434" i="4"/>
  <c r="L433" i="4"/>
  <c r="M433" i="4" s="1"/>
  <c r="D433" i="4"/>
  <c r="L432" i="4"/>
  <c r="M432" i="4" s="1"/>
  <c r="D432" i="4"/>
  <c r="L431" i="4"/>
  <c r="M431" i="4" s="1"/>
  <c r="D431" i="4"/>
  <c r="L430" i="4"/>
  <c r="M430" i="4" s="1"/>
  <c r="D430" i="4"/>
  <c r="M429" i="4"/>
  <c r="L429" i="4"/>
  <c r="D429" i="4"/>
  <c r="M428" i="4"/>
  <c r="L428" i="4"/>
  <c r="D428" i="4"/>
  <c r="M427" i="4"/>
  <c r="L427" i="4"/>
  <c r="D427" i="4"/>
  <c r="M426" i="4"/>
  <c r="L426" i="4"/>
  <c r="D426" i="4"/>
  <c r="M425" i="4"/>
  <c r="L425" i="4"/>
  <c r="D425" i="4"/>
  <c r="M424" i="4"/>
  <c r="L424" i="4"/>
  <c r="D424" i="4"/>
  <c r="M423" i="4"/>
  <c r="L423" i="4"/>
  <c r="D423" i="4"/>
  <c r="M422" i="4"/>
  <c r="L422" i="4"/>
  <c r="D422" i="4"/>
  <c r="M421" i="4"/>
  <c r="L421" i="4"/>
  <c r="D421" i="4"/>
  <c r="M420" i="4"/>
  <c r="L420" i="4"/>
  <c r="D420" i="4"/>
  <c r="M419" i="4"/>
  <c r="L419" i="4"/>
  <c r="D419" i="4"/>
  <c r="M418" i="4"/>
  <c r="L418" i="4"/>
  <c r="D418" i="4"/>
  <c r="M417" i="4"/>
  <c r="L417" i="4"/>
  <c r="D417" i="4"/>
  <c r="L416" i="4"/>
  <c r="M416" i="4" s="1"/>
  <c r="D416" i="4"/>
  <c r="L415" i="4"/>
  <c r="M415" i="4" s="1"/>
  <c r="D415" i="4"/>
  <c r="M414" i="4"/>
  <c r="L414" i="4"/>
  <c r="D414" i="4"/>
  <c r="L413" i="4"/>
  <c r="M413" i="4" s="1"/>
  <c r="D413" i="4"/>
  <c r="L412" i="4"/>
  <c r="M412" i="4" s="1"/>
  <c r="D412" i="4"/>
  <c r="M411" i="4"/>
  <c r="L411" i="4"/>
  <c r="D411" i="4"/>
  <c r="M410" i="4"/>
  <c r="L410" i="4"/>
  <c r="D410" i="4"/>
  <c r="M409" i="4"/>
  <c r="L409" i="4"/>
  <c r="D409" i="4"/>
  <c r="M408" i="4"/>
  <c r="L408" i="4"/>
  <c r="D408" i="4"/>
  <c r="M407" i="4"/>
  <c r="L407" i="4"/>
  <c r="D407" i="4"/>
  <c r="M406" i="4"/>
  <c r="L406" i="4"/>
  <c r="D406" i="4"/>
  <c r="M405" i="4"/>
  <c r="L405" i="4"/>
  <c r="D405" i="4"/>
  <c r="M404" i="4"/>
  <c r="L404" i="4"/>
  <c r="D404" i="4"/>
  <c r="L403" i="4"/>
  <c r="M403" i="4" s="1"/>
  <c r="D403" i="4"/>
  <c r="M402" i="4"/>
  <c r="L402" i="4"/>
  <c r="D402" i="4"/>
  <c r="L401" i="4"/>
  <c r="M401" i="4" s="1"/>
  <c r="D401" i="4"/>
  <c r="M400" i="4"/>
  <c r="L400" i="4"/>
  <c r="D400" i="4"/>
  <c r="M399" i="4"/>
  <c r="L399" i="4"/>
  <c r="D399" i="4"/>
  <c r="L398" i="4"/>
  <c r="M398" i="4" s="1"/>
  <c r="D398" i="4"/>
  <c r="M397" i="4"/>
  <c r="L397" i="4"/>
  <c r="D397" i="4"/>
  <c r="L396" i="4"/>
  <c r="M396" i="4" s="1"/>
  <c r="D396" i="4"/>
  <c r="M395" i="4"/>
  <c r="L395" i="4"/>
  <c r="D395" i="4"/>
  <c r="M394" i="4"/>
  <c r="L394" i="4"/>
  <c r="D394" i="4"/>
  <c r="M393" i="4"/>
  <c r="L393" i="4"/>
  <c r="D393" i="4"/>
  <c r="L392" i="4"/>
  <c r="M392" i="4" s="1"/>
  <c r="D392" i="4"/>
  <c r="M391" i="4"/>
  <c r="L391" i="4"/>
  <c r="D391" i="4"/>
  <c r="M390" i="4"/>
  <c r="L390" i="4"/>
  <c r="D390" i="4"/>
  <c r="L389" i="4"/>
  <c r="M389" i="4" s="1"/>
  <c r="D389" i="4"/>
  <c r="M388" i="4"/>
  <c r="L388" i="4"/>
  <c r="D388" i="4"/>
  <c r="L387" i="4"/>
  <c r="M387" i="4" s="1"/>
  <c r="D387" i="4"/>
  <c r="M386" i="4"/>
  <c r="L386" i="4"/>
  <c r="D386" i="4"/>
  <c r="L385" i="4"/>
  <c r="M385" i="4" s="1"/>
  <c r="D385" i="4"/>
  <c r="L384" i="4"/>
  <c r="M384" i="4" s="1"/>
  <c r="D384" i="4"/>
  <c r="M383" i="4"/>
  <c r="L383" i="4"/>
  <c r="D383" i="4"/>
  <c r="M382" i="4"/>
  <c r="L382" i="4"/>
  <c r="D382" i="4"/>
  <c r="M381" i="4"/>
  <c r="L381" i="4"/>
  <c r="D381" i="4"/>
  <c r="M380" i="4"/>
  <c r="L380" i="4"/>
  <c r="D380" i="4"/>
  <c r="L379" i="4"/>
  <c r="M379" i="4" s="1"/>
  <c r="D379" i="4"/>
  <c r="L378" i="4"/>
  <c r="M378" i="4" s="1"/>
  <c r="D378" i="4"/>
  <c r="M377" i="4"/>
  <c r="L377" i="4"/>
  <c r="D377" i="4"/>
  <c r="M376" i="4"/>
  <c r="L376" i="4"/>
  <c r="D376" i="4"/>
  <c r="L375" i="4"/>
  <c r="M375" i="4" s="1"/>
  <c r="D375" i="4"/>
  <c r="M374" i="4"/>
  <c r="L374" i="4"/>
  <c r="D374" i="4"/>
  <c r="M373" i="4"/>
  <c r="L373" i="4"/>
  <c r="D373" i="4"/>
  <c r="M372" i="4"/>
  <c r="L372" i="4"/>
  <c r="D372" i="4"/>
  <c r="M371" i="4"/>
  <c r="L371" i="4"/>
  <c r="D371" i="4"/>
  <c r="L370" i="4"/>
  <c r="M370" i="4" s="1"/>
  <c r="D370" i="4"/>
  <c r="M369" i="4"/>
  <c r="L369" i="4"/>
  <c r="D369" i="4"/>
  <c r="M368" i="4"/>
  <c r="L368" i="4"/>
  <c r="D368" i="4"/>
  <c r="M367" i="4"/>
  <c r="L367" i="4"/>
  <c r="D367" i="4"/>
  <c r="M366" i="4"/>
  <c r="L366" i="4"/>
  <c r="D366" i="4"/>
  <c r="M365" i="4"/>
  <c r="L365" i="4"/>
  <c r="D365" i="4"/>
  <c r="M364" i="4"/>
  <c r="L364" i="4"/>
  <c r="D364" i="4"/>
  <c r="L363" i="4"/>
  <c r="M363" i="4" s="1"/>
  <c r="D363" i="4"/>
  <c r="M362" i="4"/>
  <c r="L362" i="4"/>
  <c r="D362" i="4"/>
  <c r="M361" i="4"/>
  <c r="L361" i="4"/>
  <c r="D361" i="4"/>
  <c r="L360" i="4"/>
  <c r="M360" i="4" s="1"/>
  <c r="D360" i="4"/>
  <c r="L359" i="4"/>
  <c r="M359" i="4" s="1"/>
  <c r="D359" i="4"/>
  <c r="M358" i="4"/>
  <c r="L358" i="4"/>
  <c r="D358" i="4"/>
  <c r="M357" i="4"/>
  <c r="L357" i="4"/>
  <c r="D357" i="4"/>
  <c r="M356" i="4"/>
  <c r="L356" i="4"/>
  <c r="D356" i="4"/>
  <c r="M355" i="4"/>
  <c r="L355" i="4"/>
  <c r="D355" i="4"/>
  <c r="M354" i="4"/>
  <c r="L354" i="4"/>
  <c r="D354" i="4"/>
  <c r="M353" i="4"/>
  <c r="L353" i="4"/>
  <c r="D353" i="4"/>
  <c r="L352" i="4"/>
  <c r="M352" i="4" s="1"/>
  <c r="D352" i="4"/>
  <c r="M351" i="4"/>
  <c r="L351" i="4"/>
  <c r="D351" i="4"/>
  <c r="M350" i="4"/>
  <c r="L350" i="4"/>
  <c r="D350" i="4"/>
  <c r="M349" i="4"/>
  <c r="L349" i="4"/>
  <c r="D349" i="4"/>
  <c r="L348" i="4"/>
  <c r="M348" i="4" s="1"/>
  <c r="D348" i="4"/>
  <c r="M347" i="4"/>
  <c r="L347" i="4"/>
  <c r="D347" i="4"/>
  <c r="L346" i="4"/>
  <c r="M346" i="4" s="1"/>
  <c r="D346" i="4"/>
  <c r="L345" i="4"/>
  <c r="M345" i="4" s="1"/>
  <c r="D345" i="4"/>
  <c r="L344" i="4"/>
  <c r="M344" i="4" s="1"/>
  <c r="D344" i="4"/>
  <c r="M343" i="4"/>
  <c r="L343" i="4"/>
  <c r="D343" i="4"/>
  <c r="M342" i="4"/>
  <c r="L342" i="4"/>
  <c r="D342" i="4"/>
  <c r="L341" i="4"/>
  <c r="M341" i="4" s="1"/>
  <c r="D341" i="4"/>
  <c r="L340" i="4"/>
  <c r="M340" i="4" s="1"/>
  <c r="D340" i="4"/>
  <c r="M339" i="4"/>
  <c r="L339" i="4"/>
  <c r="D339" i="4"/>
  <c r="M338" i="4"/>
  <c r="L338" i="4"/>
  <c r="D338" i="4"/>
  <c r="L337" i="4"/>
  <c r="M337" i="4" s="1"/>
  <c r="D337" i="4"/>
  <c r="M336" i="4"/>
  <c r="L336" i="4"/>
  <c r="D336" i="4"/>
  <c r="L335" i="4"/>
  <c r="M335" i="4" s="1"/>
  <c r="D335" i="4"/>
  <c r="L334" i="4"/>
  <c r="M334" i="4" s="1"/>
  <c r="D334" i="4"/>
  <c r="L333" i="4"/>
  <c r="M333" i="4" s="1"/>
  <c r="D333" i="4"/>
  <c r="M332" i="4"/>
  <c r="L332" i="4"/>
  <c r="D332" i="4"/>
  <c r="M331" i="4"/>
  <c r="L331" i="4"/>
  <c r="D331" i="4"/>
  <c r="L330" i="4"/>
  <c r="M330" i="4" s="1"/>
  <c r="D330" i="4"/>
  <c r="L329" i="4"/>
  <c r="M329" i="4" s="1"/>
  <c r="D329" i="4"/>
  <c r="M328" i="4"/>
  <c r="L328" i="4"/>
  <c r="D328" i="4"/>
  <c r="M327" i="4"/>
  <c r="L327" i="4"/>
  <c r="D327" i="4"/>
  <c r="M326" i="4"/>
  <c r="L326" i="4"/>
  <c r="D326" i="4"/>
  <c r="M325" i="4"/>
  <c r="L325" i="4"/>
  <c r="D325" i="4"/>
  <c r="L324" i="4"/>
  <c r="M324" i="4" s="1"/>
  <c r="D324" i="4"/>
  <c r="M323" i="4"/>
  <c r="L323" i="4"/>
  <c r="D323" i="4"/>
  <c r="M322" i="4"/>
  <c r="L322" i="4"/>
  <c r="D322" i="4"/>
  <c r="M321" i="4"/>
  <c r="L321" i="4"/>
  <c r="D321" i="4"/>
  <c r="M320" i="4"/>
  <c r="L320" i="4"/>
  <c r="D320" i="4"/>
  <c r="M319" i="4"/>
  <c r="L319" i="4"/>
  <c r="D319" i="4"/>
  <c r="M318" i="4"/>
  <c r="L318" i="4"/>
  <c r="D318" i="4"/>
  <c r="L317" i="4"/>
  <c r="M317" i="4" s="1"/>
  <c r="D317" i="4"/>
  <c r="M316" i="4"/>
  <c r="L316" i="4"/>
  <c r="D316" i="4"/>
  <c r="L315" i="4"/>
  <c r="M315" i="4" s="1"/>
  <c r="D315" i="4"/>
  <c r="M314" i="4"/>
  <c r="L314" i="4"/>
  <c r="D314" i="4"/>
  <c r="M313" i="4"/>
  <c r="L313" i="4"/>
  <c r="D313" i="4"/>
  <c r="M312" i="4"/>
  <c r="L312" i="4"/>
  <c r="D312" i="4"/>
  <c r="M311" i="4"/>
  <c r="L311" i="4"/>
  <c r="D311" i="4"/>
  <c r="M310" i="4"/>
  <c r="L310" i="4"/>
  <c r="D310" i="4"/>
  <c r="M309" i="4"/>
  <c r="L309" i="4"/>
  <c r="D309" i="4"/>
  <c r="M308" i="4"/>
  <c r="L308" i="4"/>
  <c r="D308" i="4"/>
  <c r="M307" i="4"/>
  <c r="L307" i="4"/>
  <c r="D307" i="4"/>
  <c r="L306" i="4"/>
  <c r="M306" i="4" s="1"/>
  <c r="D306" i="4"/>
  <c r="L305" i="4"/>
  <c r="M305" i="4" s="1"/>
  <c r="D305" i="4"/>
  <c r="M304" i="4"/>
  <c r="L304" i="4"/>
  <c r="D304" i="4"/>
  <c r="L303" i="4"/>
  <c r="M303" i="4" s="1"/>
  <c r="D303" i="4"/>
  <c r="M302" i="4"/>
  <c r="L302" i="4"/>
  <c r="D302" i="4"/>
  <c r="L301" i="4"/>
  <c r="M301" i="4" s="1"/>
  <c r="D301" i="4"/>
  <c r="M300" i="4"/>
  <c r="L300" i="4"/>
  <c r="D300" i="4"/>
  <c r="M299" i="4"/>
  <c r="L299" i="4"/>
  <c r="D299" i="4"/>
  <c r="M298" i="4"/>
  <c r="L298" i="4"/>
  <c r="D298" i="4"/>
  <c r="M297" i="4"/>
  <c r="L297" i="4"/>
  <c r="D297" i="4"/>
  <c r="M296" i="4"/>
  <c r="L296" i="4"/>
  <c r="D296" i="4"/>
  <c r="M295" i="4"/>
  <c r="L295" i="4"/>
  <c r="D295" i="4"/>
  <c r="L294" i="4"/>
  <c r="M294" i="4" s="1"/>
  <c r="D294" i="4"/>
  <c r="M293" i="4"/>
  <c r="L293" i="4"/>
  <c r="D293" i="4"/>
  <c r="M292" i="4"/>
  <c r="L292" i="4"/>
  <c r="D292" i="4"/>
  <c r="M291" i="4"/>
  <c r="L291" i="4"/>
  <c r="D291" i="4"/>
  <c r="M290" i="4"/>
  <c r="L290" i="4"/>
  <c r="D290" i="4"/>
  <c r="L289" i="4"/>
  <c r="M289" i="4" s="1"/>
  <c r="D289" i="4"/>
  <c r="M288" i="4"/>
  <c r="L288" i="4"/>
  <c r="D288" i="4"/>
  <c r="L287" i="4"/>
  <c r="M287" i="4" s="1"/>
  <c r="D287" i="4"/>
  <c r="M286" i="4"/>
  <c r="L286" i="4"/>
  <c r="D286" i="4"/>
  <c r="M285" i="4"/>
  <c r="L285" i="4"/>
  <c r="D285" i="4"/>
  <c r="L284" i="4"/>
  <c r="M284" i="4" s="1"/>
  <c r="D284" i="4"/>
  <c r="M283" i="4"/>
  <c r="L283" i="4"/>
  <c r="D283" i="4"/>
  <c r="M282" i="4"/>
  <c r="L282" i="4"/>
  <c r="D282" i="4"/>
  <c r="M281" i="4"/>
  <c r="L281" i="4"/>
  <c r="D281" i="4"/>
  <c r="L280" i="4"/>
  <c r="M280" i="4" s="1"/>
  <c r="D280" i="4"/>
  <c r="M279" i="4"/>
  <c r="L279" i="4"/>
  <c r="D279" i="4"/>
  <c r="L278" i="4"/>
  <c r="M278" i="4" s="1"/>
  <c r="D278" i="4"/>
  <c r="M277" i="4"/>
  <c r="L277" i="4"/>
  <c r="D277" i="4"/>
  <c r="L276" i="4"/>
  <c r="M276" i="4" s="1"/>
  <c r="D276" i="4"/>
  <c r="M275" i="4"/>
  <c r="L275" i="4"/>
  <c r="D275" i="4"/>
  <c r="M274" i="4"/>
  <c r="L274" i="4"/>
  <c r="D274" i="4"/>
  <c r="M273" i="4"/>
  <c r="L273" i="4"/>
  <c r="D273" i="4"/>
  <c r="L272" i="4"/>
  <c r="M272" i="4" s="1"/>
  <c r="D272" i="4"/>
  <c r="L271" i="4"/>
  <c r="M271" i="4" s="1"/>
  <c r="D271" i="4"/>
  <c r="L270" i="4"/>
  <c r="M270" i="4" s="1"/>
  <c r="D270" i="4"/>
  <c r="L269" i="4"/>
  <c r="M269" i="4" s="1"/>
  <c r="D269" i="4"/>
  <c r="M268" i="4"/>
  <c r="L268" i="4"/>
  <c r="D268" i="4"/>
  <c r="M267" i="4"/>
  <c r="L267" i="4"/>
  <c r="D267" i="4"/>
  <c r="M266" i="4"/>
  <c r="L266" i="4"/>
  <c r="D266" i="4"/>
  <c r="M265" i="4"/>
  <c r="L265" i="4"/>
  <c r="D265" i="4"/>
  <c r="M264" i="4"/>
  <c r="L264" i="4"/>
  <c r="D264" i="4"/>
  <c r="M263" i="4"/>
  <c r="L263" i="4"/>
  <c r="D263" i="4"/>
  <c r="M262" i="4"/>
  <c r="L262" i="4"/>
  <c r="D262" i="4"/>
  <c r="M261" i="4"/>
  <c r="L261" i="4"/>
  <c r="D261" i="4"/>
  <c r="M260" i="4"/>
  <c r="L260" i="4"/>
  <c r="D260" i="4"/>
  <c r="L259" i="4"/>
  <c r="M259" i="4" s="1"/>
  <c r="D259" i="4"/>
  <c r="M258" i="4"/>
  <c r="L258" i="4"/>
  <c r="D258" i="4"/>
  <c r="M257" i="4"/>
  <c r="L257" i="4"/>
  <c r="D257" i="4"/>
  <c r="L256" i="4"/>
  <c r="M256" i="4" s="1"/>
  <c r="D256" i="4"/>
  <c r="L255" i="4"/>
  <c r="M255" i="4" s="1"/>
  <c r="D255" i="4"/>
  <c r="M254" i="4"/>
  <c r="L254" i="4"/>
  <c r="D254" i="4"/>
  <c r="M253" i="4"/>
  <c r="L253" i="4"/>
  <c r="D253" i="4"/>
  <c r="M252" i="4"/>
  <c r="L252" i="4"/>
  <c r="D252" i="4"/>
  <c r="M251" i="4"/>
  <c r="L251" i="4"/>
  <c r="D251" i="4"/>
  <c r="M250" i="4"/>
  <c r="L250" i="4"/>
  <c r="D250" i="4"/>
  <c r="M249" i="4"/>
  <c r="L249" i="4"/>
  <c r="D249" i="4"/>
  <c r="M248" i="4"/>
  <c r="L248" i="4"/>
  <c r="D248" i="4"/>
  <c r="M247" i="4"/>
  <c r="L247" i="4"/>
  <c r="D247" i="4"/>
  <c r="M246" i="4"/>
  <c r="L246" i="4"/>
  <c r="D246" i="4"/>
  <c r="M245" i="4"/>
  <c r="L245" i="4"/>
  <c r="D245" i="4"/>
  <c r="M244" i="4"/>
  <c r="L244" i="4"/>
  <c r="D244" i="4"/>
  <c r="L243" i="4"/>
  <c r="M243" i="4" s="1"/>
  <c r="D243" i="4"/>
  <c r="M242" i="4"/>
  <c r="L242" i="4"/>
  <c r="D242" i="4"/>
  <c r="L241" i="4"/>
  <c r="M241" i="4" s="1"/>
  <c r="D241" i="4"/>
  <c r="M240" i="4"/>
  <c r="L240" i="4"/>
  <c r="D240" i="4"/>
  <c r="L239" i="4"/>
  <c r="M239" i="4" s="1"/>
  <c r="D239" i="4"/>
  <c r="M238" i="4"/>
  <c r="L238" i="4"/>
  <c r="D238" i="4"/>
  <c r="M237" i="4"/>
  <c r="L237" i="4"/>
  <c r="D237" i="4"/>
  <c r="M236" i="4"/>
  <c r="L236" i="4"/>
  <c r="D236" i="4"/>
  <c r="M235" i="4"/>
  <c r="L235" i="4"/>
  <c r="D235" i="4"/>
  <c r="M234" i="4"/>
  <c r="L234" i="4"/>
  <c r="D234" i="4"/>
  <c r="M233" i="4"/>
  <c r="L233" i="4"/>
  <c r="D233" i="4"/>
  <c r="M232" i="4"/>
  <c r="L232" i="4"/>
  <c r="D232" i="4"/>
  <c r="L231" i="4"/>
  <c r="M231" i="4" s="1"/>
  <c r="D231" i="4"/>
  <c r="M230" i="4"/>
  <c r="L230" i="4"/>
  <c r="D230" i="4"/>
  <c r="L229" i="4"/>
  <c r="M229" i="4" s="1"/>
  <c r="D229" i="4"/>
  <c r="M228" i="4"/>
  <c r="L228" i="4"/>
  <c r="D228" i="4"/>
  <c r="M227" i="4"/>
  <c r="L227" i="4"/>
  <c r="D227" i="4"/>
  <c r="M226" i="4"/>
  <c r="L226" i="4"/>
  <c r="D226" i="4"/>
  <c r="M225" i="4"/>
  <c r="L225" i="4"/>
  <c r="D225" i="4"/>
  <c r="M224" i="4"/>
  <c r="L224" i="4"/>
  <c r="D224" i="4"/>
  <c r="M223" i="4"/>
  <c r="L223" i="4"/>
  <c r="D223" i="4"/>
  <c r="M222" i="4"/>
  <c r="L222" i="4"/>
  <c r="D222" i="4"/>
  <c r="M221" i="4"/>
  <c r="L221" i="4"/>
  <c r="D221" i="4"/>
  <c r="M220" i="4"/>
  <c r="L220" i="4"/>
  <c r="D220" i="4"/>
  <c r="M219" i="4"/>
  <c r="L219" i="4"/>
  <c r="D219" i="4"/>
  <c r="M218" i="4"/>
  <c r="L218" i="4"/>
  <c r="D218" i="4"/>
  <c r="M217" i="4"/>
  <c r="L217" i="4"/>
  <c r="D217" i="4"/>
  <c r="M216" i="4"/>
  <c r="L216" i="4"/>
  <c r="D216" i="4"/>
  <c r="M215" i="4"/>
  <c r="L215" i="4"/>
  <c r="D215" i="4"/>
  <c r="M214" i="4"/>
  <c r="L214" i="4"/>
  <c r="D214" i="4"/>
  <c r="M213" i="4"/>
  <c r="L213" i="4"/>
  <c r="D213" i="4"/>
  <c r="M212" i="4"/>
  <c r="L212" i="4"/>
  <c r="D212" i="4"/>
  <c r="L211" i="4"/>
  <c r="M211" i="4" s="1"/>
  <c r="D211" i="4"/>
  <c r="M210" i="4"/>
  <c r="L210" i="4"/>
  <c r="D210" i="4"/>
  <c r="M209" i="4"/>
  <c r="L209" i="4"/>
  <c r="D209" i="4"/>
  <c r="M208" i="4"/>
  <c r="L208" i="4"/>
  <c r="D208" i="4"/>
  <c r="M207" i="4"/>
  <c r="L207" i="4"/>
  <c r="D207" i="4"/>
  <c r="M206" i="4"/>
  <c r="L206" i="4"/>
  <c r="D206" i="4"/>
  <c r="M205" i="4"/>
  <c r="L205" i="4"/>
  <c r="D205" i="4"/>
  <c r="L204" i="4"/>
  <c r="M204" i="4" s="1"/>
  <c r="D204" i="4"/>
  <c r="M203" i="4"/>
  <c r="L203" i="4"/>
  <c r="D203" i="4"/>
  <c r="M202" i="4"/>
  <c r="L202" i="4"/>
  <c r="D202" i="4"/>
  <c r="M201" i="4"/>
  <c r="L201" i="4"/>
  <c r="D201" i="4"/>
  <c r="M200" i="4"/>
  <c r="L200" i="4"/>
  <c r="D200" i="4"/>
  <c r="M199" i="4"/>
  <c r="L199" i="4"/>
  <c r="D199" i="4"/>
  <c r="M198" i="4"/>
  <c r="L198" i="4"/>
  <c r="D198" i="4"/>
  <c r="M197" i="4"/>
  <c r="L197" i="4"/>
  <c r="D197" i="4"/>
  <c r="L196" i="4"/>
  <c r="M196" i="4" s="1"/>
  <c r="D196" i="4"/>
  <c r="L195" i="4"/>
  <c r="M195" i="4" s="1"/>
  <c r="D195" i="4"/>
  <c r="M194" i="4"/>
  <c r="L194" i="4"/>
  <c r="D194" i="4"/>
  <c r="M193" i="4"/>
  <c r="L193" i="4"/>
  <c r="D193" i="4"/>
  <c r="M192" i="4"/>
  <c r="L192" i="4"/>
  <c r="D192" i="4"/>
  <c r="L191" i="4"/>
  <c r="M191" i="4" s="1"/>
  <c r="D191" i="4"/>
  <c r="L190" i="4"/>
  <c r="M190" i="4" s="1"/>
  <c r="D190" i="4"/>
  <c r="L189" i="4"/>
  <c r="M189" i="4" s="1"/>
  <c r="D189" i="4"/>
  <c r="L188" i="4"/>
  <c r="M188" i="4" s="1"/>
  <c r="D188" i="4"/>
  <c r="M187" i="4"/>
  <c r="L187" i="4"/>
  <c r="D187" i="4"/>
  <c r="L186" i="4"/>
  <c r="M186" i="4" s="1"/>
  <c r="D186" i="4"/>
  <c r="M185" i="4"/>
  <c r="L185" i="4"/>
  <c r="D185" i="4"/>
  <c r="M184" i="4"/>
  <c r="L184" i="4"/>
  <c r="D184" i="4"/>
  <c r="M183" i="4"/>
  <c r="L183" i="4"/>
  <c r="D183" i="4"/>
  <c r="M182" i="4"/>
  <c r="L182" i="4"/>
  <c r="D182" i="4"/>
  <c r="M181" i="4"/>
  <c r="L181" i="4"/>
  <c r="D181" i="4"/>
  <c r="M180" i="4"/>
  <c r="L180" i="4"/>
  <c r="D180" i="4"/>
  <c r="M179" i="4"/>
  <c r="L179" i="4"/>
  <c r="D179" i="4"/>
  <c r="M178" i="4"/>
  <c r="L178" i="4"/>
  <c r="D178" i="4"/>
  <c r="M177" i="4"/>
  <c r="L177" i="4"/>
  <c r="D177" i="4"/>
  <c r="M176" i="4"/>
  <c r="L176" i="4"/>
  <c r="D176" i="4"/>
  <c r="M175" i="4"/>
  <c r="L175" i="4"/>
  <c r="D175" i="4"/>
  <c r="M174" i="4"/>
  <c r="L174" i="4"/>
  <c r="D174" i="4"/>
  <c r="L173" i="4"/>
  <c r="M173" i="4" s="1"/>
  <c r="D173" i="4"/>
  <c r="L172" i="4"/>
  <c r="M172" i="4" s="1"/>
  <c r="D172" i="4"/>
  <c r="M171" i="4"/>
  <c r="L171" i="4"/>
  <c r="D171" i="4"/>
  <c r="M170" i="4"/>
  <c r="L170" i="4"/>
  <c r="D170" i="4"/>
  <c r="L169" i="4"/>
  <c r="M169" i="4" s="1"/>
  <c r="D169" i="4"/>
  <c r="M168" i="4"/>
  <c r="L168" i="4"/>
  <c r="D168" i="4"/>
  <c r="L167" i="4"/>
  <c r="M167" i="4" s="1"/>
  <c r="D167" i="4"/>
  <c r="M166" i="4"/>
  <c r="L166" i="4"/>
  <c r="D166" i="4"/>
  <c r="M165" i="4"/>
  <c r="L165" i="4"/>
  <c r="D165" i="4"/>
  <c r="M164" i="4"/>
  <c r="L164" i="4"/>
  <c r="D164" i="4"/>
  <c r="M163" i="4"/>
  <c r="L163" i="4"/>
  <c r="D163" i="4"/>
  <c r="M162" i="4"/>
  <c r="L162" i="4"/>
  <c r="D162" i="4"/>
  <c r="L161" i="4"/>
  <c r="M161" i="4" s="1"/>
  <c r="D161" i="4"/>
  <c r="M160" i="4"/>
  <c r="L160" i="4"/>
  <c r="D160" i="4"/>
  <c r="L159" i="4"/>
  <c r="M159" i="4" s="1"/>
  <c r="D159" i="4"/>
  <c r="M158" i="4"/>
  <c r="L158" i="4"/>
  <c r="D158" i="4"/>
  <c r="M157" i="4"/>
  <c r="L157" i="4"/>
  <c r="D157" i="4"/>
  <c r="L156" i="4"/>
  <c r="M156" i="4" s="1"/>
  <c r="D156" i="4"/>
  <c r="M155" i="4"/>
  <c r="L155" i="4"/>
  <c r="D155" i="4"/>
  <c r="M154" i="4"/>
  <c r="L154" i="4"/>
  <c r="D154" i="4"/>
  <c r="M153" i="4"/>
  <c r="L153" i="4"/>
  <c r="D153" i="4"/>
  <c r="L152" i="4"/>
  <c r="M152" i="4" s="1"/>
  <c r="D152" i="4"/>
  <c r="L151" i="4"/>
  <c r="M151" i="4" s="1"/>
  <c r="D151" i="4"/>
  <c r="L150" i="4"/>
  <c r="M150" i="4" s="1"/>
  <c r="D150" i="4"/>
  <c r="L149" i="4"/>
  <c r="M149" i="4" s="1"/>
  <c r="D149" i="4"/>
  <c r="L148" i="4"/>
  <c r="M148" i="4" s="1"/>
  <c r="D148" i="4"/>
  <c r="M147" i="4"/>
  <c r="L147" i="4"/>
  <c r="D147" i="4"/>
  <c r="M146" i="4"/>
  <c r="L146" i="4"/>
  <c r="D146" i="4"/>
  <c r="M145" i="4"/>
  <c r="L145" i="4"/>
  <c r="D145" i="4"/>
  <c r="M144" i="4"/>
  <c r="L144" i="4"/>
  <c r="D144" i="4"/>
  <c r="L143" i="4"/>
  <c r="M143" i="4" s="1"/>
  <c r="D143" i="4"/>
  <c r="M142" i="4"/>
  <c r="L142" i="4"/>
  <c r="D142" i="4"/>
  <c r="M141" i="4"/>
  <c r="L141" i="4"/>
  <c r="D141" i="4"/>
  <c r="M140" i="4"/>
  <c r="L140" i="4"/>
  <c r="D140" i="4"/>
  <c r="M139" i="4"/>
  <c r="L139" i="4"/>
  <c r="D139" i="4"/>
  <c r="L138" i="4"/>
  <c r="M138" i="4" s="1"/>
  <c r="D138" i="4"/>
  <c r="L137" i="4"/>
  <c r="M137" i="4" s="1"/>
  <c r="D137" i="4"/>
  <c r="L136" i="4"/>
  <c r="M136" i="4" s="1"/>
  <c r="D136" i="4"/>
  <c r="M135" i="4"/>
  <c r="L135" i="4"/>
  <c r="D135" i="4"/>
  <c r="M134" i="4"/>
  <c r="L134" i="4"/>
  <c r="D134" i="4"/>
  <c r="M133" i="4"/>
  <c r="L133" i="4"/>
  <c r="D133" i="4"/>
  <c r="M132" i="4"/>
  <c r="L132" i="4"/>
  <c r="D132" i="4"/>
  <c r="M131" i="4"/>
  <c r="L131" i="4"/>
  <c r="D131" i="4"/>
  <c r="M130" i="4"/>
  <c r="L130" i="4"/>
  <c r="D130" i="4"/>
  <c r="M129" i="4"/>
  <c r="L129" i="4"/>
  <c r="D129" i="4"/>
  <c r="M128" i="4"/>
  <c r="L128" i="4"/>
  <c r="D128" i="4"/>
  <c r="L127" i="4"/>
  <c r="M127" i="4" s="1"/>
  <c r="D127" i="4"/>
  <c r="M126" i="4"/>
  <c r="L126" i="4"/>
  <c r="D126" i="4"/>
  <c r="M125" i="4"/>
  <c r="L125" i="4"/>
  <c r="D125" i="4"/>
  <c r="L124" i="4"/>
  <c r="M124" i="4" s="1"/>
  <c r="D124" i="4"/>
  <c r="M123" i="4"/>
  <c r="L123" i="4"/>
  <c r="D123" i="4"/>
  <c r="L122" i="4"/>
  <c r="M122" i="4" s="1"/>
  <c r="D122" i="4"/>
  <c r="M121" i="4"/>
  <c r="L121" i="4"/>
  <c r="D121" i="4"/>
  <c r="L120" i="4"/>
  <c r="M120" i="4" s="1"/>
  <c r="D120" i="4"/>
  <c r="M119" i="4"/>
  <c r="L119" i="4"/>
  <c r="D119" i="4"/>
  <c r="M118" i="4"/>
  <c r="L118" i="4"/>
  <c r="D118" i="4"/>
  <c r="M117" i="4"/>
  <c r="L117" i="4"/>
  <c r="D117" i="4"/>
  <c r="M116" i="4"/>
  <c r="L116" i="4"/>
  <c r="D116" i="4"/>
  <c r="M115" i="4"/>
  <c r="L115" i="4"/>
  <c r="D115" i="4"/>
  <c r="L114" i="4"/>
  <c r="M114" i="4" s="1"/>
  <c r="D114" i="4"/>
  <c r="M113" i="4"/>
  <c r="L113" i="4"/>
  <c r="D113" i="4"/>
  <c r="M112" i="4"/>
  <c r="L112" i="4"/>
  <c r="D112" i="4"/>
  <c r="L111" i="4"/>
  <c r="M111" i="4" s="1"/>
  <c r="D111" i="4"/>
  <c r="M110" i="4"/>
  <c r="L110" i="4"/>
  <c r="D110" i="4"/>
  <c r="M109" i="4"/>
  <c r="L109" i="4"/>
  <c r="D109" i="4"/>
  <c r="M108" i="4"/>
  <c r="L108" i="4"/>
  <c r="D108" i="4"/>
  <c r="M107" i="4"/>
  <c r="L107" i="4"/>
  <c r="D107" i="4"/>
  <c r="L106" i="4"/>
  <c r="M106" i="4" s="1"/>
  <c r="D106" i="4"/>
  <c r="M105" i="4"/>
  <c r="L105" i="4"/>
  <c r="D105" i="4"/>
  <c r="M104" i="4"/>
  <c r="L104" i="4"/>
  <c r="D104" i="4"/>
  <c r="M103" i="4"/>
  <c r="L103" i="4"/>
  <c r="D103" i="4"/>
  <c r="M102" i="4"/>
  <c r="L102" i="4"/>
  <c r="D102" i="4"/>
  <c r="M101" i="4"/>
  <c r="L101" i="4"/>
  <c r="D101" i="4"/>
  <c r="M100" i="4"/>
  <c r="L100" i="4"/>
  <c r="D100" i="4"/>
  <c r="M99" i="4"/>
  <c r="L99" i="4"/>
  <c r="D99" i="4"/>
  <c r="L98" i="4"/>
  <c r="M98" i="4" s="1"/>
  <c r="D98" i="4"/>
  <c r="M97" i="4"/>
  <c r="L97" i="4"/>
  <c r="D97" i="4"/>
  <c r="M96" i="4"/>
  <c r="L96" i="4"/>
  <c r="D96" i="4"/>
  <c r="L95" i="4"/>
  <c r="M95" i="4" s="1"/>
  <c r="D95" i="4"/>
  <c r="L94" i="4"/>
  <c r="M94" i="4" s="1"/>
  <c r="D94" i="4"/>
  <c r="L93" i="4"/>
  <c r="M93" i="4" s="1"/>
  <c r="D93" i="4"/>
  <c r="M92" i="4"/>
  <c r="L92" i="4"/>
  <c r="D92" i="4"/>
  <c r="L91" i="4"/>
  <c r="M91" i="4" s="1"/>
  <c r="D91" i="4"/>
  <c r="M90" i="4"/>
  <c r="L90" i="4"/>
  <c r="D90" i="4"/>
  <c r="L89" i="4"/>
  <c r="M89" i="4" s="1"/>
  <c r="D89" i="4"/>
  <c r="M88" i="4"/>
  <c r="L88" i="4"/>
  <c r="D88" i="4"/>
  <c r="M87" i="4"/>
  <c r="L87" i="4"/>
  <c r="D87" i="4"/>
  <c r="M86" i="4"/>
  <c r="L86" i="4"/>
  <c r="D86" i="4"/>
  <c r="L85" i="4"/>
  <c r="M85" i="4" s="1"/>
  <c r="D85" i="4"/>
  <c r="L84" i="4"/>
  <c r="M84" i="4" s="1"/>
  <c r="D84" i="4"/>
  <c r="M83" i="4"/>
  <c r="L83" i="4"/>
  <c r="D83" i="4"/>
  <c r="M82" i="4"/>
  <c r="L82" i="4"/>
  <c r="D82" i="4"/>
  <c r="M81" i="4"/>
  <c r="L81" i="4"/>
  <c r="D81" i="4"/>
  <c r="L80" i="4"/>
  <c r="M80" i="4" s="1"/>
  <c r="D80" i="4"/>
  <c r="M79" i="4"/>
  <c r="L79" i="4"/>
  <c r="D79" i="4"/>
  <c r="M78" i="4"/>
  <c r="L78" i="4"/>
  <c r="D78" i="4"/>
  <c r="L77" i="4"/>
  <c r="M77" i="4" s="1"/>
  <c r="D77" i="4"/>
  <c r="L76" i="4"/>
  <c r="M76" i="4" s="1"/>
  <c r="D76" i="4"/>
  <c r="L75" i="4"/>
  <c r="M75" i="4" s="1"/>
  <c r="D75" i="4"/>
  <c r="L74" i="4"/>
  <c r="M74" i="4" s="1"/>
  <c r="D74" i="4"/>
  <c r="L73" i="4"/>
  <c r="M73" i="4" s="1"/>
  <c r="D73" i="4"/>
  <c r="M72" i="4"/>
  <c r="L72" i="4"/>
  <c r="D72" i="4"/>
  <c r="M71" i="4"/>
  <c r="L71" i="4"/>
  <c r="D71" i="4"/>
  <c r="M70" i="4"/>
  <c r="L70" i="4"/>
  <c r="D70" i="4"/>
  <c r="M69" i="4"/>
  <c r="L69" i="4"/>
  <c r="D69" i="4"/>
  <c r="M68" i="4"/>
  <c r="L68" i="4"/>
  <c r="D68" i="4"/>
  <c r="M67" i="4"/>
  <c r="L67" i="4"/>
  <c r="D67" i="4"/>
  <c r="M66" i="4"/>
  <c r="L66" i="4"/>
  <c r="D66" i="4"/>
  <c r="L65" i="4"/>
  <c r="M65" i="4" s="1"/>
  <c r="D65" i="4"/>
  <c r="L64" i="4"/>
  <c r="M64" i="4" s="1"/>
  <c r="D64" i="4"/>
  <c r="L63" i="4"/>
  <c r="M63" i="4" s="1"/>
  <c r="D63" i="4"/>
  <c r="L62" i="4"/>
  <c r="M62" i="4" s="1"/>
  <c r="D62" i="4"/>
  <c r="M61" i="4"/>
  <c r="L61" i="4"/>
  <c r="D61" i="4"/>
  <c r="M60" i="4"/>
  <c r="L60" i="4"/>
  <c r="D60" i="4"/>
  <c r="M59" i="4"/>
  <c r="L59" i="4"/>
  <c r="D59" i="4"/>
  <c r="M58" i="4"/>
  <c r="L58" i="4"/>
  <c r="D58" i="4"/>
  <c r="M57" i="4"/>
  <c r="L57" i="4"/>
  <c r="D57" i="4"/>
  <c r="M56" i="4"/>
  <c r="L56" i="4"/>
  <c r="D56" i="4"/>
  <c r="M55" i="4"/>
  <c r="L55" i="4"/>
  <c r="D55" i="4"/>
  <c r="M54" i="4"/>
  <c r="L54" i="4"/>
  <c r="D54" i="4"/>
  <c r="L53" i="4"/>
  <c r="M53" i="4" s="1"/>
  <c r="D53" i="4"/>
  <c r="M52" i="4"/>
  <c r="L52" i="4"/>
  <c r="D52" i="4"/>
  <c r="M51" i="4"/>
  <c r="L51" i="4"/>
  <c r="D51" i="4"/>
  <c r="L50" i="4"/>
  <c r="M50" i="4" s="1"/>
  <c r="D50" i="4"/>
  <c r="M49" i="4"/>
  <c r="L49" i="4"/>
  <c r="D49" i="4"/>
  <c r="M48" i="4"/>
  <c r="L48" i="4"/>
  <c r="D48" i="4"/>
  <c r="M47" i="4"/>
  <c r="L47" i="4"/>
  <c r="D47" i="4"/>
  <c r="M46" i="4"/>
  <c r="L46" i="4"/>
  <c r="D46" i="4"/>
  <c r="L45" i="4"/>
  <c r="M45" i="4" s="1"/>
  <c r="D45" i="4"/>
  <c r="M44" i="4"/>
  <c r="L44" i="4"/>
  <c r="D44" i="4"/>
  <c r="L43" i="4"/>
  <c r="M43" i="4" s="1"/>
  <c r="D43" i="4"/>
  <c r="L42" i="4"/>
  <c r="M42" i="4" s="1"/>
  <c r="D42" i="4"/>
  <c r="M41" i="4"/>
  <c r="L41" i="4"/>
  <c r="D41" i="4"/>
  <c r="M40" i="4"/>
  <c r="L40" i="4"/>
  <c r="D40" i="4"/>
  <c r="M39" i="4"/>
  <c r="L39" i="4"/>
  <c r="D39" i="4"/>
  <c r="L38" i="4"/>
  <c r="M38" i="4" s="1"/>
  <c r="D38" i="4"/>
  <c r="L37" i="4"/>
  <c r="M37" i="4" s="1"/>
  <c r="D37" i="4"/>
  <c r="M36" i="4"/>
  <c r="L36" i="4"/>
  <c r="D36" i="4"/>
  <c r="M35" i="4"/>
  <c r="L35" i="4"/>
  <c r="D35" i="4"/>
  <c r="M34" i="4"/>
  <c r="L34" i="4"/>
  <c r="D34" i="4"/>
  <c r="L33" i="4"/>
  <c r="M33" i="4" s="1"/>
  <c r="D33" i="4"/>
  <c r="M32" i="4"/>
  <c r="L32" i="4"/>
  <c r="D32" i="4"/>
  <c r="M31" i="4"/>
  <c r="L31" i="4"/>
  <c r="D31" i="4"/>
  <c r="M30" i="4"/>
  <c r="L30" i="4"/>
  <c r="D30" i="4"/>
  <c r="M29" i="4"/>
  <c r="L29" i="4"/>
  <c r="D29" i="4"/>
  <c r="M28" i="4"/>
  <c r="L28" i="4"/>
  <c r="D28" i="4"/>
  <c r="L27" i="4"/>
  <c r="M27" i="4" s="1"/>
  <c r="D27" i="4"/>
  <c r="M26" i="4"/>
  <c r="L26" i="4"/>
  <c r="D26" i="4"/>
  <c r="M25" i="4"/>
  <c r="L25" i="4"/>
  <c r="D25" i="4"/>
  <c r="M24" i="4"/>
  <c r="L24" i="4"/>
  <c r="D24" i="4"/>
  <c r="M23" i="4"/>
  <c r="L23" i="4"/>
  <c r="D23" i="4"/>
  <c r="L22" i="4"/>
  <c r="M22" i="4" s="1"/>
  <c r="D22" i="4"/>
  <c r="M21" i="4"/>
  <c r="L21" i="4"/>
  <c r="D21" i="4"/>
  <c r="M20" i="4"/>
  <c r="L20" i="4"/>
  <c r="D20" i="4"/>
  <c r="M19" i="4"/>
  <c r="L19" i="4"/>
  <c r="D19" i="4"/>
  <c r="L18" i="4"/>
  <c r="M18" i="4" s="1"/>
  <c r="D18" i="4"/>
  <c r="M17" i="4"/>
  <c r="L17" i="4"/>
  <c r="D17" i="4"/>
  <c r="M16" i="4"/>
  <c r="L16" i="4"/>
  <c r="D16" i="4"/>
  <c r="M15" i="4"/>
  <c r="L15" i="4"/>
  <c r="D15" i="4"/>
  <c r="M14" i="4"/>
  <c r="L14" i="4"/>
  <c r="D14" i="4"/>
  <c r="L13" i="4"/>
  <c r="M13" i="4" s="1"/>
  <c r="D13" i="4"/>
  <c r="M12" i="4"/>
  <c r="L12" i="4"/>
  <c r="D12" i="4"/>
  <c r="L11" i="4"/>
  <c r="M11" i="4" s="1"/>
  <c r="D11" i="4"/>
  <c r="M10" i="4"/>
  <c r="L10" i="4"/>
  <c r="D10" i="4"/>
  <c r="L9" i="4"/>
  <c r="M9" i="4" s="1"/>
  <c r="D9" i="4"/>
  <c r="M8" i="4"/>
  <c r="L8" i="4"/>
  <c r="D8" i="4"/>
  <c r="M7" i="4"/>
  <c r="L7" i="4"/>
  <c r="D7" i="4"/>
  <c r="M6" i="4"/>
  <c r="L6" i="4"/>
  <c r="D6" i="4"/>
  <c r="M5" i="4"/>
  <c r="L5" i="4"/>
  <c r="D5" i="4"/>
  <c r="L4" i="4"/>
  <c r="M4" i="4" s="1"/>
  <c r="D4" i="4"/>
  <c r="M3" i="4"/>
  <c r="L3" i="4"/>
  <c r="D3" i="4"/>
  <c r="M2" i="4"/>
  <c r="L2" i="4"/>
  <c r="D2" i="4"/>
</calcChain>
</file>

<file path=xl/sharedStrings.xml><?xml version="1.0" encoding="utf-8"?>
<sst xmlns="http://schemas.openxmlformats.org/spreadsheetml/2006/main" count="25789" uniqueCount="5700">
  <si>
    <t>Notes</t>
  </si>
  <si>
    <t>Azure Bay Residences (Synthetic) — 850-Unit Luxury Condo Demo Workbook</t>
  </si>
  <si>
    <t>Sheets included:</t>
  </si>
  <si>
    <t>• Units_Residents — unit roster, owners/tenants, parking/boat/storage assignments</t>
  </si>
  <si>
    <t>• Accounts_AR — monthly assessments, balances, delinquency bucketing (formula-based)</t>
  </si>
  <si>
    <t>• Work_Orders — recent and active maintenance tickets</t>
  </si>
  <si>
    <t>• Violations — recent and active compliance items</t>
  </si>
  <si>
    <t>• Notices — board/management communications</t>
  </si>
  <si>
    <t>• Amenities_Parking — parking inventory and assignments</t>
  </si>
  <si>
    <t>• Amenities_BoatSlips — marina slip inventory and assignments</t>
  </si>
  <si>
    <t>• Vendors — vendor directory</t>
  </si>
  <si>
    <t>• SMS_Test_Set — example owner/resident questions for SMS/voice demos</t>
  </si>
  <si>
    <t>Tip: Demo flows that land well: balance/last payment, parking/boat slip, open work orders, and violations.</t>
  </si>
  <si>
    <t>Unit</t>
  </si>
  <si>
    <t>Floor</t>
  </si>
  <si>
    <t>Stack</t>
  </si>
  <si>
    <t>Unit Type</t>
  </si>
  <si>
    <t>Occupancy Type</t>
  </si>
  <si>
    <t>Owner Name</t>
  </si>
  <si>
    <t>Owner Phone</t>
  </si>
  <si>
    <t>Owner Email</t>
  </si>
  <si>
    <t>Tenant Name</t>
  </si>
  <si>
    <t>Lease Expiration</t>
  </si>
  <si>
    <t>Parking Primary</t>
  </si>
  <si>
    <t>Parking Secondary</t>
  </si>
  <si>
    <t>Boat Slip</t>
  </si>
  <si>
    <t>Storage Unit</t>
  </si>
  <si>
    <t>SMS Opt-In</t>
  </si>
  <si>
    <t>101</t>
  </si>
  <si>
    <t>1BR</t>
  </si>
  <si>
    <t>Owner</t>
  </si>
  <si>
    <t>Henry Delgado</t>
  </si>
  <si>
    <t>(305) 555-1001</t>
  </si>
  <si>
    <t>henry.delgado+101@demo-hoa.example</t>
  </si>
  <si>
    <t/>
  </si>
  <si>
    <t>P5-120</t>
  </si>
  <si>
    <t>Y</t>
  </si>
  <si>
    <t>102</t>
  </si>
  <si>
    <t>Renter</t>
  </si>
  <si>
    <t>Evelyn Gutierrez</t>
  </si>
  <si>
    <t>(305) 555-1002</t>
  </si>
  <si>
    <t>evelyn.gutierrez+102@demo-hoa.example</t>
  </si>
  <si>
    <t>Benjamin Perez</t>
  </si>
  <si>
    <t>P4-124</t>
  </si>
  <si>
    <t>S-234</t>
  </si>
  <si>
    <t>103</t>
  </si>
  <si>
    <t>Mason Hernandez</t>
  </si>
  <si>
    <t>(305) 555-1003</t>
  </si>
  <si>
    <t>mason.hernandez+103@demo-hoa.example</t>
  </si>
  <si>
    <t>Madison Perez</t>
  </si>
  <si>
    <t>P3-007</t>
  </si>
  <si>
    <t>104</t>
  </si>
  <si>
    <t>Charlotte Gutierrez</t>
  </si>
  <si>
    <t>(305) 555-1004</t>
  </si>
  <si>
    <t>charlotte.gutierrez+104@demo-hoa.example</t>
  </si>
  <si>
    <t>P2-058</t>
  </si>
  <si>
    <t>S-039</t>
  </si>
  <si>
    <t>105</t>
  </si>
  <si>
    <t>Emily Rivera</t>
  </si>
  <si>
    <t>(305) 555-1005</t>
  </si>
  <si>
    <t>emily.rivera+105@demo-hoa.example</t>
  </si>
  <si>
    <t>Henry Gonzalez</t>
  </si>
  <si>
    <t>P1-035</t>
  </si>
  <si>
    <t>S-094</t>
  </si>
  <si>
    <t>106</t>
  </si>
  <si>
    <t>Noah Rodriguez</t>
  </si>
  <si>
    <t>(305) 555-1006</t>
  </si>
  <si>
    <t>noah.rodriguez+106@demo-hoa.example</t>
  </si>
  <si>
    <t>P1-033</t>
  </si>
  <si>
    <t>S-046</t>
  </si>
  <si>
    <t>107</t>
  </si>
  <si>
    <t>2BR</t>
  </si>
  <si>
    <t>Lucas Flores</t>
  </si>
  <si>
    <t>(305) 555-1007</t>
  </si>
  <si>
    <t>lucas.flores+107@demo-hoa.example</t>
  </si>
  <si>
    <t>Mia Martinez</t>
  </si>
  <si>
    <t>P2-279</t>
  </si>
  <si>
    <t>B-035</t>
  </si>
  <si>
    <t>N</t>
  </si>
  <si>
    <t>108</t>
  </si>
  <si>
    <t>Abigail Ramirez</t>
  </si>
  <si>
    <t>(305) 555-1008</t>
  </si>
  <si>
    <t>abigail.ramirez+108@demo-hoa.example</t>
  </si>
  <si>
    <t>P3-148</t>
  </si>
  <si>
    <t>B-027</t>
  </si>
  <si>
    <t>S-175</t>
  </si>
  <si>
    <t>109</t>
  </si>
  <si>
    <t>Evelyn Gomez</t>
  </si>
  <si>
    <t>(305) 555-1009</t>
  </si>
  <si>
    <t>evelyn.gomez+109@demo-hoa.example</t>
  </si>
  <si>
    <t>P1-126</t>
  </si>
  <si>
    <t>P3-190</t>
  </si>
  <si>
    <t>110</t>
  </si>
  <si>
    <t>Charlotte Gomez</t>
  </si>
  <si>
    <t>(305) 555-1010</t>
  </si>
  <si>
    <t>charlotte.gomez+110@demo-hoa.example</t>
  </si>
  <si>
    <t>P4-172</t>
  </si>
  <si>
    <t>P2-229</t>
  </si>
  <si>
    <t>S-198</t>
  </si>
  <si>
    <t>111</t>
  </si>
  <si>
    <t>Logan Rivera</t>
  </si>
  <si>
    <t>(305) 555-1011</t>
  </si>
  <si>
    <t>logan.rivera+111@demo-hoa.example</t>
  </si>
  <si>
    <t>P1-188</t>
  </si>
  <si>
    <t>S-309</t>
  </si>
  <si>
    <t>112</t>
  </si>
  <si>
    <t>Madison Morales</t>
  </si>
  <si>
    <t>(305) 555-1012</t>
  </si>
  <si>
    <t>madison.morales+112@demo-hoa.example</t>
  </si>
  <si>
    <t>P1-244</t>
  </si>
  <si>
    <t>P5-088</t>
  </si>
  <si>
    <t>S-187</t>
  </si>
  <si>
    <t>113</t>
  </si>
  <si>
    <t>3BR</t>
  </si>
  <si>
    <t>Logan Ortiz</t>
  </si>
  <si>
    <t>(305) 555-1013</t>
  </si>
  <si>
    <t>logan.ortiz+113@demo-hoa.example</t>
  </si>
  <si>
    <t>Amelia Martinez</t>
  </si>
  <si>
    <t>P1-236</t>
  </si>
  <si>
    <t>P2-091</t>
  </si>
  <si>
    <t>S-137</t>
  </si>
  <si>
    <t>114</t>
  </si>
  <si>
    <t>Charlotte Romero</t>
  </si>
  <si>
    <t>(305) 555-1014</t>
  </si>
  <si>
    <t>charlotte.romero+114@demo-hoa.example</t>
  </si>
  <si>
    <t>P5-207</t>
  </si>
  <si>
    <t>P3-279</t>
  </si>
  <si>
    <t>115</t>
  </si>
  <si>
    <t>Michael Reyes</t>
  </si>
  <si>
    <t>(305) 555-1015</t>
  </si>
  <si>
    <t>michael.reyes+115@demo-hoa.example</t>
  </si>
  <si>
    <t>Noah Reyes</t>
  </si>
  <si>
    <t>P3-087</t>
  </si>
  <si>
    <t>P4-018</t>
  </si>
  <si>
    <t>B-030</t>
  </si>
  <si>
    <t>S-001</t>
  </si>
  <si>
    <t>116</t>
  </si>
  <si>
    <t>James Morales</t>
  </si>
  <si>
    <t>(305) 555-1016</t>
  </si>
  <si>
    <t>james.morales+116@demo-hoa.example</t>
  </si>
  <si>
    <t>Liam Romero</t>
  </si>
  <si>
    <t>P5-137</t>
  </si>
  <si>
    <t>S-215</t>
  </si>
  <si>
    <t>117</t>
  </si>
  <si>
    <t>PH</t>
  </si>
  <si>
    <t>Michael Alvarez</t>
  </si>
  <si>
    <t>(305) 555-1017</t>
  </si>
  <si>
    <t>michael.alvarez+117@demo-hoa.example</t>
  </si>
  <si>
    <t>P2-234</t>
  </si>
  <si>
    <t>P1-133</t>
  </si>
  <si>
    <t>201</t>
  </si>
  <si>
    <t>Charlotte Ramos</t>
  </si>
  <si>
    <t>(305) 555-1018</t>
  </si>
  <si>
    <t>charlotte.ramos+201@demo-hoa.example</t>
  </si>
  <si>
    <t>P4-120</t>
  </si>
  <si>
    <t>S-009</t>
  </si>
  <si>
    <t>202</t>
  </si>
  <si>
    <t>(305) 555-1019</t>
  </si>
  <si>
    <t>evelyn.gomez+202@demo-hoa.example</t>
  </si>
  <si>
    <t>P2-088</t>
  </si>
  <si>
    <t>S-188</t>
  </si>
  <si>
    <t>203</t>
  </si>
  <si>
    <t>Sebastian Chavez</t>
  </si>
  <si>
    <t>(305) 555-1020</t>
  </si>
  <si>
    <t>sebastian.chavez+203@demo-hoa.example</t>
  </si>
  <si>
    <t>P5-210</t>
  </si>
  <si>
    <t>S-270</t>
  </si>
  <si>
    <t>204</t>
  </si>
  <si>
    <t>Sophia Navarro</t>
  </si>
  <si>
    <t>(305) 555-1021</t>
  </si>
  <si>
    <t>sophia.navarro+204@demo-hoa.example</t>
  </si>
  <si>
    <t>P4-048</t>
  </si>
  <si>
    <t>S-123</t>
  </si>
  <si>
    <t>205</t>
  </si>
  <si>
    <t>Mason Vega</t>
  </si>
  <si>
    <t>(305) 555-1022</t>
  </si>
  <si>
    <t>mason.vega+205@demo-hoa.example</t>
  </si>
  <si>
    <t>P3-024</t>
  </si>
  <si>
    <t>S-216</t>
  </si>
  <si>
    <t>206</t>
  </si>
  <si>
    <t>Isabella Delgado</t>
  </si>
  <si>
    <t>(305) 555-1023</t>
  </si>
  <si>
    <t>isabella.delgado+206@demo-hoa.example</t>
  </si>
  <si>
    <t>P1-182</t>
  </si>
  <si>
    <t>S-266</t>
  </si>
  <si>
    <t>207</t>
  </si>
  <si>
    <t>Logan Gonzalez</t>
  </si>
  <si>
    <t>(305) 555-1024</t>
  </si>
  <si>
    <t>logan.gonzalez+207@demo-hoa.example</t>
  </si>
  <si>
    <t>Alexander Vega</t>
  </si>
  <si>
    <t>P1-012</t>
  </si>
  <si>
    <t>P3-218</t>
  </si>
  <si>
    <t>208</t>
  </si>
  <si>
    <t>Emily Hernandez</t>
  </si>
  <si>
    <t>(305) 555-1025</t>
  </si>
  <si>
    <t>emily.hernandez+208@demo-hoa.example</t>
  </si>
  <si>
    <t>Harper Morales</t>
  </si>
  <si>
    <t>P1-191</t>
  </si>
  <si>
    <t>P5-198</t>
  </si>
  <si>
    <t>209</t>
  </si>
  <si>
    <t>Liam Ruiz</t>
  </si>
  <si>
    <t>(305) 555-1026</t>
  </si>
  <si>
    <t>liam.ruiz+209@demo-hoa.example</t>
  </si>
  <si>
    <t>Mia Gutierrez</t>
  </si>
  <si>
    <t>P1-185</t>
  </si>
  <si>
    <t>P2-245</t>
  </si>
  <si>
    <t>S-150</t>
  </si>
  <si>
    <t>210</t>
  </si>
  <si>
    <t>Logan Torres</t>
  </si>
  <si>
    <t>(305) 555-1027</t>
  </si>
  <si>
    <t>logan.torres+210@demo-hoa.example</t>
  </si>
  <si>
    <t>P1-010</t>
  </si>
  <si>
    <t>P5-228</t>
  </si>
  <si>
    <t>S-162</t>
  </si>
  <si>
    <t>211</t>
  </si>
  <si>
    <t>Michael Vega</t>
  </si>
  <si>
    <t>(305) 555-1028</t>
  </si>
  <si>
    <t>michael.vega+211@demo-hoa.example</t>
  </si>
  <si>
    <t>P1-100</t>
  </si>
  <si>
    <t>212</t>
  </si>
  <si>
    <t>Amelia Castillo</t>
  </si>
  <si>
    <t>(305) 555-1029</t>
  </si>
  <si>
    <t>amelia.castillo+212@demo-hoa.example</t>
  </si>
  <si>
    <t>Isabella Suarez</t>
  </si>
  <si>
    <t>P4-043</t>
  </si>
  <si>
    <t>S-253</t>
  </si>
  <si>
    <t>213</t>
  </si>
  <si>
    <t>Noah Mendoza</t>
  </si>
  <si>
    <t>(305) 555-1030</t>
  </si>
  <si>
    <t>noah.mendoza+213@demo-hoa.example</t>
  </si>
  <si>
    <t>P4-060</t>
  </si>
  <si>
    <t>P3-282</t>
  </si>
  <si>
    <t>214</t>
  </si>
  <si>
    <t>Jackson Gomez</t>
  </si>
  <si>
    <t>(305) 555-1031</t>
  </si>
  <si>
    <t>jackson.gomez+214@demo-hoa.example</t>
  </si>
  <si>
    <t>Charlotte Gonzalez</t>
  </si>
  <si>
    <t>P2-015</t>
  </si>
  <si>
    <t>P5-111</t>
  </si>
  <si>
    <t>S-081</t>
  </si>
  <si>
    <t>215</t>
  </si>
  <si>
    <t>Charlotte Navarro</t>
  </si>
  <si>
    <t>(305) 555-1032</t>
  </si>
  <si>
    <t>charlotte.navarro+215@demo-hoa.example</t>
  </si>
  <si>
    <t>P5-284</t>
  </si>
  <si>
    <t>S-250</t>
  </si>
  <si>
    <t>216</t>
  </si>
  <si>
    <t>Elijah Gutierrez</t>
  </si>
  <si>
    <t>(305) 555-1033</t>
  </si>
  <si>
    <t>elijah.gutierrez+216@demo-hoa.example</t>
  </si>
  <si>
    <t>Harper Ortiz</t>
  </si>
  <si>
    <t>P5-105</t>
  </si>
  <si>
    <t>P2-005</t>
  </si>
  <si>
    <t>217</t>
  </si>
  <si>
    <t>Elijah Vargas</t>
  </si>
  <si>
    <t>(305) 555-1034</t>
  </si>
  <si>
    <t>elijah.vargas+217@demo-hoa.example</t>
  </si>
  <si>
    <t>P1-101</t>
  </si>
  <si>
    <t>P1-022</t>
  </si>
  <si>
    <t>301</t>
  </si>
  <si>
    <t>James Martinez</t>
  </si>
  <si>
    <t>(305) 555-1035</t>
  </si>
  <si>
    <t>james.martinez+301@demo-hoa.example</t>
  </si>
  <si>
    <t>Charlotte Martinez</t>
  </si>
  <si>
    <t>P5-135</t>
  </si>
  <si>
    <t>S-017</t>
  </si>
  <si>
    <t>302</t>
  </si>
  <si>
    <t>Mia Gonzalez</t>
  </si>
  <si>
    <t>(305) 555-1036</t>
  </si>
  <si>
    <t>mia.gonzalez+302@demo-hoa.example</t>
  </si>
  <si>
    <t>Mia Diaz</t>
  </si>
  <si>
    <t>P4-081</t>
  </si>
  <si>
    <t>303</t>
  </si>
  <si>
    <t>Liam Gonzalez</t>
  </si>
  <si>
    <t>(305) 555-1037</t>
  </si>
  <si>
    <t>liam.gonzalez+303@demo-hoa.example</t>
  </si>
  <si>
    <t>P5-002</t>
  </si>
  <si>
    <t>304</t>
  </si>
  <si>
    <t>Alexander Rivera</t>
  </si>
  <si>
    <t>(305) 555-1038</t>
  </si>
  <si>
    <t>alexander.rivera+304@demo-hoa.example</t>
  </si>
  <si>
    <t>P3-284</t>
  </si>
  <si>
    <t>S-142</t>
  </si>
  <si>
    <t>305</t>
  </si>
  <si>
    <t>(305) 555-1039</t>
  </si>
  <si>
    <t>logan.ortiz+305@demo-hoa.example</t>
  </si>
  <si>
    <t>Sofia Ramos</t>
  </si>
  <si>
    <t>P4-254</t>
  </si>
  <si>
    <t>306</t>
  </si>
  <si>
    <t>Elijah Torres</t>
  </si>
  <si>
    <t>(305) 555-1040</t>
  </si>
  <si>
    <t>elijah.torres+306@demo-hoa.example</t>
  </si>
  <si>
    <t>P3-140</t>
  </si>
  <si>
    <t>307</t>
  </si>
  <si>
    <t>Evelyn Castillo</t>
  </si>
  <si>
    <t>(305) 555-1041</t>
  </si>
  <si>
    <t>evelyn.castillo+307@demo-hoa.example</t>
  </si>
  <si>
    <t>P1-127</t>
  </si>
  <si>
    <t>308</t>
  </si>
  <si>
    <t>Olivia Reyes</t>
  </si>
  <si>
    <t>(305) 555-1042</t>
  </si>
  <si>
    <t>olivia.reyes+308@demo-hoa.example</t>
  </si>
  <si>
    <t>P4-257</t>
  </si>
  <si>
    <t>P5-110</t>
  </si>
  <si>
    <t>309</t>
  </si>
  <si>
    <t>Olivia Alvarez</t>
  </si>
  <si>
    <t>(305) 555-1043</t>
  </si>
  <si>
    <t>olivia.alvarez+309@demo-hoa.example</t>
  </si>
  <si>
    <t>P5-021</t>
  </si>
  <si>
    <t>P2-227</t>
  </si>
  <si>
    <t>S-140</t>
  </si>
  <si>
    <t>310</t>
  </si>
  <si>
    <t>(305) 555-1044</t>
  </si>
  <si>
    <t>michael.alvarez+310@demo-hoa.example</t>
  </si>
  <si>
    <t>Emily Delgado</t>
  </si>
  <si>
    <t>P2-252</t>
  </si>
  <si>
    <t>S-231</t>
  </si>
  <si>
    <t>311</t>
  </si>
  <si>
    <t>Elijah Rivera</t>
  </si>
  <si>
    <t>(305) 555-1045</t>
  </si>
  <si>
    <t>elijah.rivera+311@demo-hoa.example</t>
  </si>
  <si>
    <t>Elijah Gomez</t>
  </si>
  <si>
    <t>P4-262</t>
  </si>
  <si>
    <t>P1-016</t>
  </si>
  <si>
    <t>312</t>
  </si>
  <si>
    <t>Sofia Hernandez</t>
  </si>
  <si>
    <t>(305) 555-1046</t>
  </si>
  <si>
    <t>sofia.hernandez+312@demo-hoa.example</t>
  </si>
  <si>
    <t>P2-085</t>
  </si>
  <si>
    <t>P5-130</t>
  </si>
  <si>
    <t>313</t>
  </si>
  <si>
    <t>Sophia Lopez</t>
  </si>
  <si>
    <t>(305) 555-1047</t>
  </si>
  <si>
    <t>sophia.lopez+313@demo-hoa.example</t>
  </si>
  <si>
    <t>Alexander Romero</t>
  </si>
  <si>
    <t>P2-176</t>
  </si>
  <si>
    <t>P3-049</t>
  </si>
  <si>
    <t>314</t>
  </si>
  <si>
    <t>Mia Alvarez</t>
  </si>
  <si>
    <t>(305) 555-1048</t>
  </si>
  <si>
    <t>mia.alvarez+314@demo-hoa.example</t>
  </si>
  <si>
    <t>Madison Gonzalez</t>
  </si>
  <si>
    <t>P4-112</t>
  </si>
  <si>
    <t>S-261</t>
  </si>
  <si>
    <t>315</t>
  </si>
  <si>
    <t>Emily Martinez</t>
  </si>
  <si>
    <t>(305) 555-1049</t>
  </si>
  <si>
    <t>emily.martinez+315@demo-hoa.example</t>
  </si>
  <si>
    <t>P5-189</t>
  </si>
  <si>
    <t>S-262</t>
  </si>
  <si>
    <t>316</t>
  </si>
  <si>
    <t>(305) 555-1050</t>
  </si>
  <si>
    <t>liam.ruiz+316@demo-hoa.example</t>
  </si>
  <si>
    <t>Charlotte Delgado</t>
  </si>
  <si>
    <t>P3-181</t>
  </si>
  <si>
    <t>317</t>
  </si>
  <si>
    <t>Emily Chavez</t>
  </si>
  <si>
    <t>(305) 555-1051</t>
  </si>
  <si>
    <t>emily.chavez+317@demo-hoa.example</t>
  </si>
  <si>
    <t>P5-191</t>
  </si>
  <si>
    <t>P5-142</t>
  </si>
  <si>
    <t>S-061</t>
  </si>
  <si>
    <t>401</t>
  </si>
  <si>
    <t>Sofia Perez</t>
  </si>
  <si>
    <t>(305) 555-1052</t>
  </si>
  <si>
    <t>sofia.perez+401@demo-hoa.example</t>
  </si>
  <si>
    <t>P1-214</t>
  </si>
  <si>
    <t>S-240</t>
  </si>
  <si>
    <t>402</t>
  </si>
  <si>
    <t>Noah Diaz</t>
  </si>
  <si>
    <t>(305) 555-1053</t>
  </si>
  <si>
    <t>noah.diaz+402@demo-hoa.example</t>
  </si>
  <si>
    <t>P2-248</t>
  </si>
  <si>
    <t>403</t>
  </si>
  <si>
    <t>Harper Suarez</t>
  </si>
  <si>
    <t>(305) 555-1054</t>
  </si>
  <si>
    <t>harper.suarez+403@demo-hoa.example</t>
  </si>
  <si>
    <t>P5-215</t>
  </si>
  <si>
    <t>S-238</t>
  </si>
  <si>
    <t>404</t>
  </si>
  <si>
    <t>Lucas Martinez</t>
  </si>
  <si>
    <t>(305) 555-1055</t>
  </si>
  <si>
    <t>lucas.martinez+404@demo-hoa.example</t>
  </si>
  <si>
    <t>P2-230</t>
  </si>
  <si>
    <t>405</t>
  </si>
  <si>
    <t>Mason Gomez</t>
  </si>
  <si>
    <t>(305) 555-1056</t>
  </si>
  <si>
    <t>mason.gomez+405@demo-hoa.example</t>
  </si>
  <si>
    <t>Alexander Ramirez</t>
  </si>
  <si>
    <t>P2-136</t>
  </si>
  <si>
    <t>406</t>
  </si>
  <si>
    <t>Ella Sanchez</t>
  </si>
  <si>
    <t>(305) 555-1057</t>
  </si>
  <si>
    <t>ella.sanchez+406@demo-hoa.example</t>
  </si>
  <si>
    <t>Madison Ramirez</t>
  </si>
  <si>
    <t>P4-072</t>
  </si>
  <si>
    <t>B-029</t>
  </si>
  <si>
    <t>407</t>
  </si>
  <si>
    <t>Grace Gutierrez</t>
  </si>
  <si>
    <t>(305) 555-1058</t>
  </si>
  <si>
    <t>grace.gutierrez+407@demo-hoa.example</t>
  </si>
  <si>
    <t>Isabella Ramos</t>
  </si>
  <si>
    <t>P1-173</t>
  </si>
  <si>
    <t>P4-217</t>
  </si>
  <si>
    <t>408</t>
  </si>
  <si>
    <t>Liam Morales</t>
  </si>
  <si>
    <t>(305) 555-1059</t>
  </si>
  <si>
    <t>liam.morales+408@demo-hoa.example</t>
  </si>
  <si>
    <t>P5-084</t>
  </si>
  <si>
    <t>P4-250</t>
  </si>
  <si>
    <t>S-211</t>
  </si>
  <si>
    <t>409</t>
  </si>
  <si>
    <t>Michael Sanchez</t>
  </si>
  <si>
    <t>(305) 555-1060</t>
  </si>
  <si>
    <t>michael.sanchez+409@demo-hoa.example</t>
  </si>
  <si>
    <t>Abigail Hernandez</t>
  </si>
  <si>
    <t>P3-133</t>
  </si>
  <si>
    <t>P1-108</t>
  </si>
  <si>
    <t>S-105</t>
  </si>
  <si>
    <t>410</t>
  </si>
  <si>
    <t>(305) 555-1061</t>
  </si>
  <si>
    <t>madison.gonzalez+410@demo-hoa.example</t>
  </si>
  <si>
    <t>P1-215</t>
  </si>
  <si>
    <t>411</t>
  </si>
  <si>
    <t>Daniel Navarro</t>
  </si>
  <si>
    <t>(305) 555-1062</t>
  </si>
  <si>
    <t>daniel.navarro+411@demo-hoa.example</t>
  </si>
  <si>
    <t>P3-131</t>
  </si>
  <si>
    <t>P5-081</t>
  </si>
  <si>
    <t>412</t>
  </si>
  <si>
    <t>Lucas Ruiz</t>
  </si>
  <si>
    <t>(305) 555-1063</t>
  </si>
  <si>
    <t>lucas.ruiz+412@demo-hoa.example</t>
  </si>
  <si>
    <t>Ava Suarez</t>
  </si>
  <si>
    <t>P5-127</t>
  </si>
  <si>
    <t>P2-112</t>
  </si>
  <si>
    <t>413</t>
  </si>
  <si>
    <t>Isabella Cruz</t>
  </si>
  <si>
    <t>(305) 555-1064</t>
  </si>
  <si>
    <t>isabella.cruz+413@demo-hoa.example</t>
  </si>
  <si>
    <t>P3-278</t>
  </si>
  <si>
    <t>B-023</t>
  </si>
  <si>
    <t>414</t>
  </si>
  <si>
    <t>Alexander Martinez</t>
  </si>
  <si>
    <t>(305) 555-1065</t>
  </si>
  <si>
    <t>alexander.martinez+414@demo-hoa.example</t>
  </si>
  <si>
    <t>P4-194</t>
  </si>
  <si>
    <t>P2-071</t>
  </si>
  <si>
    <t>415</t>
  </si>
  <si>
    <t>Madison Navarro</t>
  </si>
  <si>
    <t>(305) 555-1066</t>
  </si>
  <si>
    <t>madison.navarro+415@demo-hoa.example</t>
  </si>
  <si>
    <t>P4-127</t>
  </si>
  <si>
    <t>S-093</t>
  </si>
  <si>
    <t>416</t>
  </si>
  <si>
    <t>Sophia Alvarez</t>
  </si>
  <si>
    <t>(305) 555-1067</t>
  </si>
  <si>
    <t>sophia.alvarez+416@demo-hoa.example</t>
  </si>
  <si>
    <t>P1-050</t>
  </si>
  <si>
    <t>P2-090</t>
  </si>
  <si>
    <t>S-157</t>
  </si>
  <si>
    <t>417</t>
  </si>
  <si>
    <t>James Castillo</t>
  </si>
  <si>
    <t>(305) 555-1068</t>
  </si>
  <si>
    <t>james.castillo+417@demo-hoa.example</t>
  </si>
  <si>
    <t>P1-069</t>
  </si>
  <si>
    <t>P3-082</t>
  </si>
  <si>
    <t>S-085</t>
  </si>
  <si>
    <t>501</t>
  </si>
  <si>
    <t>(305) 555-1069</t>
  </si>
  <si>
    <t>lucas.flores+501@demo-hoa.example</t>
  </si>
  <si>
    <t>P3-055</t>
  </si>
  <si>
    <t>502</t>
  </si>
  <si>
    <t>Sophia Diaz</t>
  </si>
  <si>
    <t>(305) 555-1070</t>
  </si>
  <si>
    <t>sophia.diaz+502@demo-hoa.example</t>
  </si>
  <si>
    <t>P4-123</t>
  </si>
  <si>
    <t>S-099</t>
  </si>
  <si>
    <t>503</t>
  </si>
  <si>
    <t>Isabella Martinez</t>
  </si>
  <si>
    <t>(305) 555-1071</t>
  </si>
  <si>
    <t>isabella.martinez+503@demo-hoa.example</t>
  </si>
  <si>
    <t>Amelia Diaz</t>
  </si>
  <si>
    <t>P4-040</t>
  </si>
  <si>
    <t>504</t>
  </si>
  <si>
    <t>Sebastian Rivera</t>
  </si>
  <si>
    <t>(305) 555-1072</t>
  </si>
  <si>
    <t>sebastian.rivera+504@demo-hoa.example</t>
  </si>
  <si>
    <t>P2-282</t>
  </si>
  <si>
    <t>S-071</t>
  </si>
  <si>
    <t>505</t>
  </si>
  <si>
    <t>Sofia Sanchez</t>
  </si>
  <si>
    <t>(305) 555-1073</t>
  </si>
  <si>
    <t>sofia.sanchez+505@demo-hoa.example</t>
  </si>
  <si>
    <t>Charlotte Cruz</t>
  </si>
  <si>
    <t>P5-012</t>
  </si>
  <si>
    <t>S-149</t>
  </si>
  <si>
    <t>506</t>
  </si>
  <si>
    <t>Elijah Morales</t>
  </si>
  <si>
    <t>(305) 555-1074</t>
  </si>
  <si>
    <t>elijah.morales+506@demo-hoa.example</t>
  </si>
  <si>
    <t>P4-180</t>
  </si>
  <si>
    <t>S-004</t>
  </si>
  <si>
    <t>507</t>
  </si>
  <si>
    <t>Abigail Navarro</t>
  </si>
  <si>
    <t>(305) 555-1075</t>
  </si>
  <si>
    <t>abigail.navarro+507@demo-hoa.example</t>
  </si>
  <si>
    <t>P5-231</t>
  </si>
  <si>
    <t>P3-225</t>
  </si>
  <si>
    <t>S-296</t>
  </si>
  <si>
    <t>508</t>
  </si>
  <si>
    <t>Lucas Diaz</t>
  </si>
  <si>
    <t>(305) 555-1076</t>
  </si>
  <si>
    <t>lucas.diaz+508@demo-hoa.example</t>
  </si>
  <si>
    <t>P4-132</t>
  </si>
  <si>
    <t>P3-149</t>
  </si>
  <si>
    <t>S-260</t>
  </si>
  <si>
    <t>509</t>
  </si>
  <si>
    <t>Harper Perez</t>
  </si>
  <si>
    <t>(305) 555-1077</t>
  </si>
  <si>
    <t>harper.perez+509@demo-hoa.example</t>
  </si>
  <si>
    <t>Michael Delgado</t>
  </si>
  <si>
    <t>P4-062</t>
  </si>
  <si>
    <t>P5-234</t>
  </si>
  <si>
    <t>510</t>
  </si>
  <si>
    <t>Daniel Martinez</t>
  </si>
  <si>
    <t>(305) 555-1078</t>
  </si>
  <si>
    <t>daniel.martinez+510@demo-hoa.example</t>
  </si>
  <si>
    <t>Madison Rodriguez</t>
  </si>
  <si>
    <t>P5-155</t>
  </si>
  <si>
    <t>S-176</t>
  </si>
  <si>
    <t>511</t>
  </si>
  <si>
    <t>Daniel Cruz</t>
  </si>
  <si>
    <t>(305) 555-1079</t>
  </si>
  <si>
    <t>daniel.cruz+511@demo-hoa.example</t>
  </si>
  <si>
    <t>P2-083</t>
  </si>
  <si>
    <t>512</t>
  </si>
  <si>
    <t>Amelia Chavez</t>
  </si>
  <si>
    <t>(305) 555-1080</t>
  </si>
  <si>
    <t>amelia.chavez+512@demo-hoa.example</t>
  </si>
  <si>
    <t>P3-018</t>
  </si>
  <si>
    <t>S-100</t>
  </si>
  <si>
    <t>513</t>
  </si>
  <si>
    <t>Isabella Vargas</t>
  </si>
  <si>
    <t>(305) 555-1081</t>
  </si>
  <si>
    <t>isabella.vargas+513@demo-hoa.example</t>
  </si>
  <si>
    <t>P3-084</t>
  </si>
  <si>
    <t>P4-036</t>
  </si>
  <si>
    <t>514</t>
  </si>
  <si>
    <t>Sofia Ramirez</t>
  </si>
  <si>
    <t>(305) 555-1082</t>
  </si>
  <si>
    <t>sofia.ramirez+514@demo-hoa.example</t>
  </si>
  <si>
    <t>P2-241</t>
  </si>
  <si>
    <t>P3-094</t>
  </si>
  <si>
    <t>B-016</t>
  </si>
  <si>
    <t>515</t>
  </si>
  <si>
    <t>Elijah Martinez</t>
  </si>
  <si>
    <t>(305) 555-1083</t>
  </si>
  <si>
    <t>elijah.martinez+515@demo-hoa.example</t>
  </si>
  <si>
    <t>P5-061</t>
  </si>
  <si>
    <t>B-090</t>
  </si>
  <si>
    <t>516</t>
  </si>
  <si>
    <t>Lucas Sanchez</t>
  </si>
  <si>
    <t>(305) 555-1084</t>
  </si>
  <si>
    <t>lucas.sanchez+516@demo-hoa.example</t>
  </si>
  <si>
    <t>Grace Navarro</t>
  </si>
  <si>
    <t>P2-102</t>
  </si>
  <si>
    <t>P4-091</t>
  </si>
  <si>
    <t>B-082</t>
  </si>
  <si>
    <t>S-263</t>
  </si>
  <si>
    <t>517</t>
  </si>
  <si>
    <t>Olivia Rodriguez</t>
  </si>
  <si>
    <t>(305) 555-1085</t>
  </si>
  <si>
    <t>olivia.rodriguez+517@demo-hoa.example</t>
  </si>
  <si>
    <t>P4-054</t>
  </si>
  <si>
    <t>P4-055</t>
  </si>
  <si>
    <t>601</t>
  </si>
  <si>
    <t>Sofia Romero</t>
  </si>
  <si>
    <t>(305) 555-1086</t>
  </si>
  <si>
    <t>sofia.romero+601@demo-hoa.example</t>
  </si>
  <si>
    <t>Noah Gutierrez</t>
  </si>
  <si>
    <t>P1-135</t>
  </si>
  <si>
    <t>S-113</t>
  </si>
  <si>
    <t>602</t>
  </si>
  <si>
    <t>Amelia Delgado</t>
  </si>
  <si>
    <t>(305) 555-1087</t>
  </si>
  <si>
    <t>amelia.delgado+602@demo-hoa.example</t>
  </si>
  <si>
    <t>P4-094</t>
  </si>
  <si>
    <t>603</t>
  </si>
  <si>
    <t>Charlotte Hernandez</t>
  </si>
  <si>
    <t>(305) 555-1088</t>
  </si>
  <si>
    <t>charlotte.hernandez+603@demo-hoa.example</t>
  </si>
  <si>
    <t>P1-144</t>
  </si>
  <si>
    <t>604</t>
  </si>
  <si>
    <t>Henry Castillo</t>
  </si>
  <si>
    <t>(305) 555-1089</t>
  </si>
  <si>
    <t>henry.castillo+604@demo-hoa.example</t>
  </si>
  <si>
    <t>P2-261</t>
  </si>
  <si>
    <t>S-005</t>
  </si>
  <si>
    <t>605</t>
  </si>
  <si>
    <t>Amelia Lopez</t>
  </si>
  <si>
    <t>(305) 555-1090</t>
  </si>
  <si>
    <t>amelia.lopez+605@demo-hoa.example</t>
  </si>
  <si>
    <t>P4-092</t>
  </si>
  <si>
    <t>S-101</t>
  </si>
  <si>
    <t>606</t>
  </si>
  <si>
    <t>James Chavez</t>
  </si>
  <si>
    <t>(305) 555-1091</t>
  </si>
  <si>
    <t>james.chavez+606@demo-hoa.example</t>
  </si>
  <si>
    <t>P5-038</t>
  </si>
  <si>
    <t>S-288</t>
  </si>
  <si>
    <t>607</t>
  </si>
  <si>
    <t>Noah Romero</t>
  </si>
  <si>
    <t>(305) 555-1092</t>
  </si>
  <si>
    <t>noah.romero+607@demo-hoa.example</t>
  </si>
  <si>
    <t>P5-027</t>
  </si>
  <si>
    <t>608</t>
  </si>
  <si>
    <t>Amelia Ortiz</t>
  </si>
  <si>
    <t>(305) 555-1093</t>
  </si>
  <si>
    <t>amelia.ortiz+608@demo-hoa.example</t>
  </si>
  <si>
    <t>P1-134</t>
  </si>
  <si>
    <t>P1-095</t>
  </si>
  <si>
    <t>S-092</t>
  </si>
  <si>
    <t>609</t>
  </si>
  <si>
    <t>(305) 555-1094</t>
  </si>
  <si>
    <t>elijah.vargas+609@demo-hoa.example</t>
  </si>
  <si>
    <t>Alexander Sanchez</t>
  </si>
  <si>
    <t>P1-208</t>
  </si>
  <si>
    <t>P4-220</t>
  </si>
  <si>
    <t>S-279</t>
  </si>
  <si>
    <t>610</t>
  </si>
  <si>
    <t>Ella Navarro</t>
  </si>
  <si>
    <t>(305) 555-1095</t>
  </si>
  <si>
    <t>ella.navarro+610@demo-hoa.example</t>
  </si>
  <si>
    <t>P3-083</t>
  </si>
  <si>
    <t>611</t>
  </si>
  <si>
    <t>Olivia Flores</t>
  </si>
  <si>
    <t>(305) 555-1096</t>
  </si>
  <si>
    <t>olivia.flores+611@demo-hoa.example</t>
  </si>
  <si>
    <t>Michael Mendoza</t>
  </si>
  <si>
    <t>P1-004</t>
  </si>
  <si>
    <t>612</t>
  </si>
  <si>
    <t>Logan Perez</t>
  </si>
  <si>
    <t>(305) 555-1097</t>
  </si>
  <si>
    <t>logan.perez+612@demo-hoa.example</t>
  </si>
  <si>
    <t>P5-008</t>
  </si>
  <si>
    <t>613</t>
  </si>
  <si>
    <t>(305) 555-1098</t>
  </si>
  <si>
    <t>henry.delgado+613@demo-hoa.example</t>
  </si>
  <si>
    <t>Benjamin Alvarez</t>
  </si>
  <si>
    <t>P3-152</t>
  </si>
  <si>
    <t>S-168</t>
  </si>
  <si>
    <t>614</t>
  </si>
  <si>
    <t>Charlotte Chavez</t>
  </si>
  <si>
    <t>(305) 555-1099</t>
  </si>
  <si>
    <t>charlotte.chavez+614@demo-hoa.example</t>
  </si>
  <si>
    <t>P4-044</t>
  </si>
  <si>
    <t>P5-023</t>
  </si>
  <si>
    <t>615</t>
  </si>
  <si>
    <t>Daniel Alvarez</t>
  </si>
  <si>
    <t>(305) 555-1100</t>
  </si>
  <si>
    <t>daniel.alvarez+615@demo-hoa.example</t>
  </si>
  <si>
    <t>James Perez</t>
  </si>
  <si>
    <t>P1-058</t>
  </si>
  <si>
    <t>P4-033</t>
  </si>
  <si>
    <t>616</t>
  </si>
  <si>
    <t>Lucas Gutierrez</t>
  </si>
  <si>
    <t>(305) 555-1101</t>
  </si>
  <si>
    <t>lucas.gutierrez+616@demo-hoa.example</t>
  </si>
  <si>
    <t>P3-144</t>
  </si>
  <si>
    <t>617</t>
  </si>
  <si>
    <t>Evelyn Gonzalez</t>
  </si>
  <si>
    <t>(305) 555-1102</t>
  </si>
  <si>
    <t>evelyn.gonzalez+617@demo-hoa.example</t>
  </si>
  <si>
    <t>P3-072</t>
  </si>
  <si>
    <t>P4-035</t>
  </si>
  <si>
    <t>S-181</t>
  </si>
  <si>
    <t>701</t>
  </si>
  <si>
    <t>Henry Sanchez</t>
  </si>
  <si>
    <t>(305) 555-1103</t>
  </si>
  <si>
    <t>henry.sanchez+701@demo-hoa.example</t>
  </si>
  <si>
    <t>P3-183</t>
  </si>
  <si>
    <t>702</t>
  </si>
  <si>
    <t>Sofia Lopez</t>
  </si>
  <si>
    <t>(305) 555-1104</t>
  </si>
  <si>
    <t>sofia.lopez+702@demo-hoa.example</t>
  </si>
  <si>
    <t>P4-138</t>
  </si>
  <si>
    <t>S-116</t>
  </si>
  <si>
    <t>703</t>
  </si>
  <si>
    <t>Olivia Chavez</t>
  </si>
  <si>
    <t>(305) 555-1105</t>
  </si>
  <si>
    <t>olivia.chavez+703@demo-hoa.example</t>
  </si>
  <si>
    <t>P5-261</t>
  </si>
  <si>
    <t>704</t>
  </si>
  <si>
    <t>(305) 555-1106</t>
  </si>
  <si>
    <t>alexander.vega+704@demo-hoa.example</t>
  </si>
  <si>
    <t>P5-119</t>
  </si>
  <si>
    <t>S-104</t>
  </si>
  <si>
    <t>705</t>
  </si>
  <si>
    <t>Henry Navarro</t>
  </si>
  <si>
    <t>(305) 555-1107</t>
  </si>
  <si>
    <t>henry.navarro+705@demo-hoa.example</t>
  </si>
  <si>
    <t>P3-056</t>
  </si>
  <si>
    <t>706</t>
  </si>
  <si>
    <t>Olivia Vargas</t>
  </si>
  <si>
    <t>(305) 555-1108</t>
  </si>
  <si>
    <t>olivia.vargas+706@demo-hoa.example</t>
  </si>
  <si>
    <t>Charlotte Vargas</t>
  </si>
  <si>
    <t>P2-159</t>
  </si>
  <si>
    <t>S-062</t>
  </si>
  <si>
    <t>707</t>
  </si>
  <si>
    <t>Mia Ramirez</t>
  </si>
  <si>
    <t>(305) 555-1109</t>
  </si>
  <si>
    <t>mia.ramirez+707@demo-hoa.example</t>
  </si>
  <si>
    <t>P1-273</t>
  </si>
  <si>
    <t>P4-075</t>
  </si>
  <si>
    <t>S-248</t>
  </si>
  <si>
    <t>708</t>
  </si>
  <si>
    <t>Ethan Ortiz</t>
  </si>
  <si>
    <t>(305) 555-1110</t>
  </si>
  <si>
    <t>ethan.ortiz+708@demo-hoa.example</t>
  </si>
  <si>
    <t>P3-161</t>
  </si>
  <si>
    <t>709</t>
  </si>
  <si>
    <t>Olivia Ruiz</t>
  </si>
  <si>
    <t>(305) 555-1111</t>
  </si>
  <si>
    <t>olivia.ruiz+709@demo-hoa.example</t>
  </si>
  <si>
    <t>P4-004</t>
  </si>
  <si>
    <t>P5-016</t>
  </si>
  <si>
    <t>S-199</t>
  </si>
  <si>
    <t>710</t>
  </si>
  <si>
    <t>Elijah Reyes</t>
  </si>
  <si>
    <t>(305) 555-1112</t>
  </si>
  <si>
    <t>elijah.reyes+710@demo-hoa.example</t>
  </si>
  <si>
    <t>P4-233</t>
  </si>
  <si>
    <t>S-086</t>
  </si>
  <si>
    <t>711</t>
  </si>
  <si>
    <t>Amelia Ramirez</t>
  </si>
  <si>
    <t>(305) 555-1113</t>
  </si>
  <si>
    <t>amelia.ramirez+711@demo-hoa.example</t>
  </si>
  <si>
    <t>P1-107</t>
  </si>
  <si>
    <t>P2-232</t>
  </si>
  <si>
    <t>S-183</t>
  </si>
  <si>
    <t>712</t>
  </si>
  <si>
    <t>Amelia Suarez</t>
  </si>
  <si>
    <t>(305) 555-1114</t>
  </si>
  <si>
    <t>amelia.suarez+712@demo-hoa.example</t>
  </si>
  <si>
    <t>P3-172</t>
  </si>
  <si>
    <t>P5-099</t>
  </si>
  <si>
    <t>713</t>
  </si>
  <si>
    <t>Ella Castillo</t>
  </si>
  <si>
    <t>(305) 555-1115</t>
  </si>
  <si>
    <t>ella.castillo+713@demo-hoa.example</t>
  </si>
  <si>
    <t>P1-034</t>
  </si>
  <si>
    <t>S-256</t>
  </si>
  <si>
    <t>714</t>
  </si>
  <si>
    <t>(305) 555-1116</t>
  </si>
  <si>
    <t>lucas.sanchez+714@demo-hoa.example</t>
  </si>
  <si>
    <t>Henry Romero</t>
  </si>
  <si>
    <t>P5-224</t>
  </si>
  <si>
    <t>715</t>
  </si>
  <si>
    <t>Amelia Vargas</t>
  </si>
  <si>
    <t>(305) 555-1117</t>
  </si>
  <si>
    <t>amelia.vargas+715@demo-hoa.example</t>
  </si>
  <si>
    <t>P4-249</t>
  </si>
  <si>
    <t>P1-009</t>
  </si>
  <si>
    <t>S-190</t>
  </si>
  <si>
    <t>716</t>
  </si>
  <si>
    <t>Henry Reyes</t>
  </si>
  <si>
    <t>(305) 555-1118</t>
  </si>
  <si>
    <t>henry.reyes+716@demo-hoa.example</t>
  </si>
  <si>
    <t>Sebastian Martinez</t>
  </si>
  <si>
    <t>P1-113</t>
  </si>
  <si>
    <t>P3-268</t>
  </si>
  <si>
    <t>717</t>
  </si>
  <si>
    <t>(305) 555-1119</t>
  </si>
  <si>
    <t>amelia.castillo+717@demo-hoa.example</t>
  </si>
  <si>
    <t>P2-151</t>
  </si>
  <si>
    <t>P5-199</t>
  </si>
  <si>
    <t>801</t>
  </si>
  <si>
    <t>Olivia Ramos</t>
  </si>
  <si>
    <t>(305) 555-1120</t>
  </si>
  <si>
    <t>olivia.ramos+801@demo-hoa.example</t>
  </si>
  <si>
    <t>Ava Navarro</t>
  </si>
  <si>
    <t>P4-151</t>
  </si>
  <si>
    <t>802</t>
  </si>
  <si>
    <t>Benjamin Ruiz</t>
  </si>
  <si>
    <t>(305) 555-1121</t>
  </si>
  <si>
    <t>benjamin.ruiz+802@demo-hoa.example</t>
  </si>
  <si>
    <t>P4-215</t>
  </si>
  <si>
    <t>S-274</t>
  </si>
  <si>
    <t>803</t>
  </si>
  <si>
    <t>Henry Rivera</t>
  </si>
  <si>
    <t>(305) 555-1122</t>
  </si>
  <si>
    <t>henry.rivera+803@demo-hoa.example</t>
  </si>
  <si>
    <t>Grace Alvarez</t>
  </si>
  <si>
    <t>P3-252</t>
  </si>
  <si>
    <t>S-060</t>
  </si>
  <si>
    <t>804</t>
  </si>
  <si>
    <t>Benjamin Sanchez</t>
  </si>
  <si>
    <t>(305) 555-1123</t>
  </si>
  <si>
    <t>benjamin.sanchez+804@demo-hoa.example</t>
  </si>
  <si>
    <t>P1-193</t>
  </si>
  <si>
    <t>805</t>
  </si>
  <si>
    <t>Amelia Hernandez</t>
  </si>
  <si>
    <t>(305) 555-1124</t>
  </si>
  <si>
    <t>amelia.hernandez+805@demo-hoa.example</t>
  </si>
  <si>
    <t>P3-215</t>
  </si>
  <si>
    <t>S-064</t>
  </si>
  <si>
    <t>806</t>
  </si>
  <si>
    <t>(305) 555-1125</t>
  </si>
  <si>
    <t>noah.mendoza+806@demo-hoa.example</t>
  </si>
  <si>
    <t>P4-227</t>
  </si>
  <si>
    <t>S-306</t>
  </si>
  <si>
    <t>807</t>
  </si>
  <si>
    <t>Ava Mendoza</t>
  </si>
  <si>
    <t>(305) 555-1126</t>
  </si>
  <si>
    <t>ava.mendoza+807@demo-hoa.example</t>
  </si>
  <si>
    <t>P1-238</t>
  </si>
  <si>
    <t>P1-049</t>
  </si>
  <si>
    <t>S-083</t>
  </si>
  <si>
    <t>808</t>
  </si>
  <si>
    <t>Henry Lopez</t>
  </si>
  <si>
    <t>(305) 555-1127</t>
  </si>
  <si>
    <t>henry.lopez+808@demo-hoa.example</t>
  </si>
  <si>
    <t>P4-023</t>
  </si>
  <si>
    <t>P1-057</t>
  </si>
  <si>
    <t>S-020</t>
  </si>
  <si>
    <t>809</t>
  </si>
  <si>
    <t>Ava Vargas</t>
  </si>
  <si>
    <t>(305) 555-1128</t>
  </si>
  <si>
    <t>ava.vargas+809@demo-hoa.example</t>
  </si>
  <si>
    <t>P4-210</t>
  </si>
  <si>
    <t>810</t>
  </si>
  <si>
    <t>(305) 555-1129</t>
  </si>
  <si>
    <t>mia.gonzalez+810@demo-hoa.example</t>
  </si>
  <si>
    <t>P3-092</t>
  </si>
  <si>
    <t>811</t>
  </si>
  <si>
    <t>Lucas Chavez</t>
  </si>
  <si>
    <t>(305) 555-1130</t>
  </si>
  <si>
    <t>lucas.chavez+811@demo-hoa.example</t>
  </si>
  <si>
    <t>P5-140</t>
  </si>
  <si>
    <t>812</t>
  </si>
  <si>
    <t>Evelyn Sanchez</t>
  </si>
  <si>
    <t>(305) 555-1131</t>
  </si>
  <si>
    <t>evelyn.sanchez+812@demo-hoa.example</t>
  </si>
  <si>
    <t>P1-221</t>
  </si>
  <si>
    <t>B-001</t>
  </si>
  <si>
    <t>S-023</t>
  </si>
  <si>
    <t>813</t>
  </si>
  <si>
    <t>Emily Vargas</t>
  </si>
  <si>
    <t>(305) 555-1132</t>
  </si>
  <si>
    <t>emily.vargas+813@demo-hoa.example</t>
  </si>
  <si>
    <t>P5-145</t>
  </si>
  <si>
    <t>P5-279</t>
  </si>
  <si>
    <t>B-008</t>
  </si>
  <si>
    <t>814</t>
  </si>
  <si>
    <t>Logan Alvarez</t>
  </si>
  <si>
    <t>(305) 555-1133</t>
  </si>
  <si>
    <t>logan.alvarez+814@demo-hoa.example</t>
  </si>
  <si>
    <t>P2-267</t>
  </si>
  <si>
    <t>P5-108</t>
  </si>
  <si>
    <t>815</t>
  </si>
  <si>
    <t>(305) 555-1134</t>
  </si>
  <si>
    <t>sebastian.martinez+815@demo-hoa.example</t>
  </si>
  <si>
    <t>P4-079</t>
  </si>
  <si>
    <t>S-026</t>
  </si>
  <si>
    <t>816</t>
  </si>
  <si>
    <t>Logan Vargas</t>
  </si>
  <si>
    <t>(305) 555-1135</t>
  </si>
  <si>
    <t>logan.vargas+816@demo-hoa.example</t>
  </si>
  <si>
    <t>P3-212</t>
  </si>
  <si>
    <t>P4-179</t>
  </si>
  <si>
    <t>B-062</t>
  </si>
  <si>
    <t>S-033</t>
  </si>
  <si>
    <t>817</t>
  </si>
  <si>
    <t>Madison Ruiz</t>
  </si>
  <si>
    <t>(305) 555-1136</t>
  </si>
  <si>
    <t>madison.ruiz+817@demo-hoa.example</t>
  </si>
  <si>
    <t>P2-199</t>
  </si>
  <si>
    <t>P4-045</t>
  </si>
  <si>
    <t>S-138</t>
  </si>
  <si>
    <t>901</t>
  </si>
  <si>
    <t>Mia Morales</t>
  </si>
  <si>
    <t>(305) 555-1137</t>
  </si>
  <si>
    <t>mia.morales+901@demo-hoa.example</t>
  </si>
  <si>
    <t>Alexander Vargas</t>
  </si>
  <si>
    <t>P3-281</t>
  </si>
  <si>
    <t>902</t>
  </si>
  <si>
    <t>James Gutierrez</t>
  </si>
  <si>
    <t>(305) 555-1138</t>
  </si>
  <si>
    <t>james.gutierrez+902@demo-hoa.example</t>
  </si>
  <si>
    <t>P3-195</t>
  </si>
  <si>
    <t>903</t>
  </si>
  <si>
    <t>Ava Rivera</t>
  </si>
  <si>
    <t>(305) 555-1139</t>
  </si>
  <si>
    <t>ava.rivera+903@demo-hoa.example</t>
  </si>
  <si>
    <t>P1-180</t>
  </si>
  <si>
    <t>S-096</t>
  </si>
  <si>
    <t>904</t>
  </si>
  <si>
    <t>Elijah Navarro</t>
  </si>
  <si>
    <t>(305) 555-1140</t>
  </si>
  <si>
    <t>elijah.navarro+904@demo-hoa.example</t>
  </si>
  <si>
    <t>P4-206</t>
  </si>
  <si>
    <t>905</t>
  </si>
  <si>
    <t>Ava Martinez</t>
  </si>
  <si>
    <t>(305) 555-1141</t>
  </si>
  <si>
    <t>ava.martinez+905@demo-hoa.example</t>
  </si>
  <si>
    <t>Jackson Navarro</t>
  </si>
  <si>
    <t>P5-063</t>
  </si>
  <si>
    <t>S-186</t>
  </si>
  <si>
    <t>906</t>
  </si>
  <si>
    <t>Benjamin Cruz</t>
  </si>
  <si>
    <t>(305) 555-1142</t>
  </si>
  <si>
    <t>benjamin.cruz+906@demo-hoa.example</t>
  </si>
  <si>
    <t>P4-027</t>
  </si>
  <si>
    <t>907</t>
  </si>
  <si>
    <t>Ethan Ramirez</t>
  </si>
  <si>
    <t>(305) 555-1143</t>
  </si>
  <si>
    <t>ethan.ramirez+907@demo-hoa.example</t>
  </si>
  <si>
    <t>Henry Gutierrez</t>
  </si>
  <si>
    <t>P5-206</t>
  </si>
  <si>
    <t>P1-239</t>
  </si>
  <si>
    <t>908</t>
  </si>
  <si>
    <t>Mason Ramos</t>
  </si>
  <si>
    <t>(305) 555-1144</t>
  </si>
  <si>
    <t>mason.ramos+908@demo-hoa.example</t>
  </si>
  <si>
    <t>P5-203</t>
  </si>
  <si>
    <t>909</t>
  </si>
  <si>
    <t>Benjamin Rodriguez</t>
  </si>
  <si>
    <t>(305) 555-1145</t>
  </si>
  <si>
    <t>benjamin.rodriguez+909@demo-hoa.example</t>
  </si>
  <si>
    <t>P2-099</t>
  </si>
  <si>
    <t>P5-193</t>
  </si>
  <si>
    <t>S-019</t>
  </si>
  <si>
    <t>910</t>
  </si>
  <si>
    <t>Evelyn Ramirez</t>
  </si>
  <si>
    <t>(305) 555-1146</t>
  </si>
  <si>
    <t>evelyn.ramirez+910@demo-hoa.example</t>
  </si>
  <si>
    <t>P1-099</t>
  </si>
  <si>
    <t>P3-051</t>
  </si>
  <si>
    <t>911</t>
  </si>
  <si>
    <t>Evelyn Reyes</t>
  </si>
  <si>
    <t>(305) 555-1147</t>
  </si>
  <si>
    <t>evelyn.reyes+911@demo-hoa.example</t>
  </si>
  <si>
    <t>Sofia Vega</t>
  </si>
  <si>
    <t>P2-014</t>
  </si>
  <si>
    <t>B-059</t>
  </si>
  <si>
    <t>S-077</t>
  </si>
  <si>
    <t>912</t>
  </si>
  <si>
    <t>Sophia Ramirez</t>
  </si>
  <si>
    <t>(305) 555-1148</t>
  </si>
  <si>
    <t>sophia.ramirez+912@demo-hoa.example</t>
  </si>
  <si>
    <t>P4-128</t>
  </si>
  <si>
    <t>P3-251</t>
  </si>
  <si>
    <t>913</t>
  </si>
  <si>
    <t>Isabella Gonzalez</t>
  </si>
  <si>
    <t>(305) 555-1149</t>
  </si>
  <si>
    <t>isabella.gonzalez+913@demo-hoa.example</t>
  </si>
  <si>
    <t>P2-032</t>
  </si>
  <si>
    <t>914</t>
  </si>
  <si>
    <t>Madison Sanchez</t>
  </si>
  <si>
    <t>(305) 555-1150</t>
  </si>
  <si>
    <t>madison.sanchez+914@demo-hoa.example</t>
  </si>
  <si>
    <t>P3-241</t>
  </si>
  <si>
    <t>P2-095</t>
  </si>
  <si>
    <t>915</t>
  </si>
  <si>
    <t>Olivia Gonzalez</t>
  </si>
  <si>
    <t>(305) 555-1151</t>
  </si>
  <si>
    <t>olivia.gonzalez+915@demo-hoa.example</t>
  </si>
  <si>
    <t>P3-110</t>
  </si>
  <si>
    <t>P2-064</t>
  </si>
  <si>
    <t>S-214</t>
  </si>
  <si>
    <t>916</t>
  </si>
  <si>
    <t>Logan Ramirez</t>
  </si>
  <si>
    <t>(305) 555-1152</t>
  </si>
  <si>
    <t>logan.ramirez+916@demo-hoa.example</t>
  </si>
  <si>
    <t>P4-030</t>
  </si>
  <si>
    <t>P1-114</t>
  </si>
  <si>
    <t>S-025</t>
  </si>
  <si>
    <t>917</t>
  </si>
  <si>
    <t>James Alvarez</t>
  </si>
  <si>
    <t>(305) 555-1153</t>
  </si>
  <si>
    <t>james.alvarez+917@demo-hoa.example</t>
  </si>
  <si>
    <t>Emily Castillo</t>
  </si>
  <si>
    <t>P4-278</t>
  </si>
  <si>
    <t>P1-041</t>
  </si>
  <si>
    <t>S-220</t>
  </si>
  <si>
    <t>1001</t>
  </si>
  <si>
    <t>Harper Martinez</t>
  </si>
  <si>
    <t>(305) 555-1154</t>
  </si>
  <si>
    <t>harper.martinez+1001@demo-hoa.example</t>
  </si>
  <si>
    <t>P5-185</t>
  </si>
  <si>
    <t>S-182</t>
  </si>
  <si>
    <t>1002</t>
  </si>
  <si>
    <t>Ethan Gomez</t>
  </si>
  <si>
    <t>(305) 555-1155</t>
  </si>
  <si>
    <t>ethan.gomez+1002@demo-hoa.example</t>
  </si>
  <si>
    <t>P5-211</t>
  </si>
  <si>
    <t>S-271</t>
  </si>
  <si>
    <t>1003</t>
  </si>
  <si>
    <t>Benjamin Vega</t>
  </si>
  <si>
    <t>(305) 555-1156</t>
  </si>
  <si>
    <t>benjamin.vega+1003@demo-hoa.example</t>
  </si>
  <si>
    <t>P3-066</t>
  </si>
  <si>
    <t>B-041</t>
  </si>
  <si>
    <t>1004</t>
  </si>
  <si>
    <t>(305) 555-1157</t>
  </si>
  <si>
    <t>evelyn.ramirez+1004@demo-hoa.example</t>
  </si>
  <si>
    <t>P4-011</t>
  </si>
  <si>
    <t>1005</t>
  </si>
  <si>
    <t>Charlotte Torres</t>
  </si>
  <si>
    <t>(305) 555-1158</t>
  </si>
  <si>
    <t>charlotte.torres+1005@demo-hoa.example</t>
  </si>
  <si>
    <t>P4-155</t>
  </si>
  <si>
    <t>S-139</t>
  </si>
  <si>
    <t>1006</t>
  </si>
  <si>
    <t>(305) 555-1159</t>
  </si>
  <si>
    <t>abigail.ramirez+1006@demo-hoa.example</t>
  </si>
  <si>
    <t>P1-003</t>
  </si>
  <si>
    <t>B-092</t>
  </si>
  <si>
    <t>1007</t>
  </si>
  <si>
    <t>Henry Diaz</t>
  </si>
  <si>
    <t>(305) 555-1160</t>
  </si>
  <si>
    <t>henry.diaz+1007@demo-hoa.example</t>
  </si>
  <si>
    <t>P2-031</t>
  </si>
  <si>
    <t>P4-203</t>
  </si>
  <si>
    <t>1008</t>
  </si>
  <si>
    <t>Sofia Gomez</t>
  </si>
  <si>
    <t>(305) 555-1161</t>
  </si>
  <si>
    <t>sofia.gomez+1008@demo-hoa.example</t>
  </si>
  <si>
    <t>P2-239</t>
  </si>
  <si>
    <t>1009</t>
  </si>
  <si>
    <t>Noah Martinez</t>
  </si>
  <si>
    <t>(305) 555-1162</t>
  </si>
  <si>
    <t>noah.martinez+1009@demo-hoa.example</t>
  </si>
  <si>
    <t>P5-230</t>
  </si>
  <si>
    <t>P5-220</t>
  </si>
  <si>
    <t>S-119</t>
  </si>
  <si>
    <t>1010</t>
  </si>
  <si>
    <t>Sebastian Delgado</t>
  </si>
  <si>
    <t>(305) 555-1163</t>
  </si>
  <si>
    <t>sebastian.delgado+1010@demo-hoa.example</t>
  </si>
  <si>
    <t>P3-086</t>
  </si>
  <si>
    <t>P2-144</t>
  </si>
  <si>
    <t>1011</t>
  </si>
  <si>
    <t>Daniel Diaz</t>
  </si>
  <si>
    <t>(305) 555-1164</t>
  </si>
  <si>
    <t>daniel.diaz+1011@demo-hoa.example</t>
  </si>
  <si>
    <t>Abigail Lopez</t>
  </si>
  <si>
    <t>P5-163</t>
  </si>
  <si>
    <t>P2-063</t>
  </si>
  <si>
    <t>1012</t>
  </si>
  <si>
    <t>Logan Mendoza</t>
  </si>
  <si>
    <t>(305) 555-1165</t>
  </si>
  <si>
    <t>logan.mendoza+1012@demo-hoa.example</t>
  </si>
  <si>
    <t>Grace Cruz</t>
  </si>
  <si>
    <t>P5-036</t>
  </si>
  <si>
    <t>P4-084</t>
  </si>
  <si>
    <t>1013</t>
  </si>
  <si>
    <t>Abigail Diaz</t>
  </si>
  <si>
    <t>(305) 555-1166</t>
  </si>
  <si>
    <t>abigail.diaz+1013@demo-hoa.example</t>
  </si>
  <si>
    <t>Jackson Suarez</t>
  </si>
  <si>
    <t>P2-237</t>
  </si>
  <si>
    <t>P3-037</t>
  </si>
  <si>
    <t>S-269</t>
  </si>
  <si>
    <t>1014</t>
  </si>
  <si>
    <t>Noah Ramirez</t>
  </si>
  <si>
    <t>(305) 555-1167</t>
  </si>
  <si>
    <t>noah.ramirez+1014@demo-hoa.example</t>
  </si>
  <si>
    <t>P1-159</t>
  </si>
  <si>
    <t>P3-155</t>
  </si>
  <si>
    <t>S-043</t>
  </si>
  <si>
    <t>1015</t>
  </si>
  <si>
    <t>(305) 555-1168</t>
  </si>
  <si>
    <t>sofia.hernandez+1015@demo-hoa.example</t>
  </si>
  <si>
    <t>P4-271</t>
  </si>
  <si>
    <t>P5-052</t>
  </si>
  <si>
    <t>1016</t>
  </si>
  <si>
    <t>(305) 555-1169</t>
  </si>
  <si>
    <t>charlotte.gomez+1016@demo-hoa.example</t>
  </si>
  <si>
    <t>P5-017</t>
  </si>
  <si>
    <t>P1-045</t>
  </si>
  <si>
    <t>S-267</t>
  </si>
  <si>
    <t>1017</t>
  </si>
  <si>
    <t>Liam Flores</t>
  </si>
  <si>
    <t>(305) 555-1170</t>
  </si>
  <si>
    <t>liam.flores+1017@demo-hoa.example</t>
  </si>
  <si>
    <t>P5-082</t>
  </si>
  <si>
    <t>P1-203</t>
  </si>
  <si>
    <t>S-264</t>
  </si>
  <si>
    <t>1101</t>
  </si>
  <si>
    <t>Emily Perez</t>
  </si>
  <si>
    <t>(305) 555-1171</t>
  </si>
  <si>
    <t>emily.perez+1101@demo-hoa.example</t>
  </si>
  <si>
    <t>P2-045</t>
  </si>
  <si>
    <t>1102</t>
  </si>
  <si>
    <t>Michael Cruz</t>
  </si>
  <si>
    <t>(305) 555-1172</t>
  </si>
  <si>
    <t>michael.cruz+1102@demo-hoa.example</t>
  </si>
  <si>
    <t>Michael Chavez</t>
  </si>
  <si>
    <t>P5-044</t>
  </si>
  <si>
    <t>B-003</t>
  </si>
  <si>
    <t>S-172</t>
  </si>
  <si>
    <t>1103</t>
  </si>
  <si>
    <t>Benjamin Hernandez</t>
  </si>
  <si>
    <t>(305) 555-1173</t>
  </si>
  <si>
    <t>benjamin.hernandez+1103@demo-hoa.example</t>
  </si>
  <si>
    <t>P4-049</t>
  </si>
  <si>
    <t>S-126</t>
  </si>
  <si>
    <t>1104</t>
  </si>
  <si>
    <t>(305) 555-1174</t>
  </si>
  <si>
    <t>mason.hernandez+1104@demo-hoa.example</t>
  </si>
  <si>
    <t>P4-223</t>
  </si>
  <si>
    <t>B-075</t>
  </si>
  <si>
    <t>1105</t>
  </si>
  <si>
    <t>Charlotte Perez</t>
  </si>
  <si>
    <t>(305) 555-1175</t>
  </si>
  <si>
    <t>charlotte.perez+1105@demo-hoa.example</t>
  </si>
  <si>
    <t>P5-133</t>
  </si>
  <si>
    <t>S-011</t>
  </si>
  <si>
    <t>1106</t>
  </si>
  <si>
    <t>Ella Torres</t>
  </si>
  <si>
    <t>(305) 555-1176</t>
  </si>
  <si>
    <t>ella.torres+1106@demo-hoa.example</t>
  </si>
  <si>
    <t>P1-038</t>
  </si>
  <si>
    <t>1107</t>
  </si>
  <si>
    <t>Madison Ramos</t>
  </si>
  <si>
    <t>(305) 555-1177</t>
  </si>
  <si>
    <t>madison.ramos+1107@demo-hoa.example</t>
  </si>
  <si>
    <t>P5-257</t>
  </si>
  <si>
    <t>P3-032</t>
  </si>
  <si>
    <t>S-068</t>
  </si>
  <si>
    <t>1108</t>
  </si>
  <si>
    <t>Charlotte Vega</t>
  </si>
  <si>
    <t>(305) 555-1178</t>
  </si>
  <si>
    <t>charlotte.vega+1108@demo-hoa.example</t>
  </si>
  <si>
    <t>P1-092</t>
  </si>
  <si>
    <t>S-255</t>
  </si>
  <si>
    <t>1109</t>
  </si>
  <si>
    <t>(305) 555-1179</t>
  </si>
  <si>
    <t>harper.perez+1109@demo-hoa.example</t>
  </si>
  <si>
    <t>Ethan Sanchez</t>
  </si>
  <si>
    <t>P4-019</t>
  </si>
  <si>
    <t>P4-131</t>
  </si>
  <si>
    <t>1110</t>
  </si>
  <si>
    <t>(305) 555-1180</t>
  </si>
  <si>
    <t>sebastian.delgado+1110@demo-hoa.example</t>
  </si>
  <si>
    <t>Noah Hernandez</t>
  </si>
  <si>
    <t>P1-167</t>
  </si>
  <si>
    <t>P5-146</t>
  </si>
  <si>
    <t>S-298</t>
  </si>
  <si>
    <t>1111</t>
  </si>
  <si>
    <t>Sophia Gonzalez</t>
  </si>
  <si>
    <t>(305) 555-1181</t>
  </si>
  <si>
    <t>sophia.gonzalez+1111@demo-hoa.example</t>
  </si>
  <si>
    <t>P2-081</t>
  </si>
  <si>
    <t>P1-154</t>
  </si>
  <si>
    <t>1112</t>
  </si>
  <si>
    <t>Grace Gomez</t>
  </si>
  <si>
    <t>(305) 555-1182</t>
  </si>
  <si>
    <t>grace.gomez+1112@demo-hoa.example</t>
  </si>
  <si>
    <t>Grace Reyes</t>
  </si>
  <si>
    <t>P3-164</t>
  </si>
  <si>
    <t>1113</t>
  </si>
  <si>
    <t>Grace Rivera</t>
  </si>
  <si>
    <t>(305) 555-1183</t>
  </si>
  <si>
    <t>grace.rivera+1113@demo-hoa.example</t>
  </si>
  <si>
    <t>P4-163</t>
  </si>
  <si>
    <t>S-184</t>
  </si>
  <si>
    <t>1114</t>
  </si>
  <si>
    <t>Ella Ortiz</t>
  </si>
  <si>
    <t>(305) 555-1184</t>
  </si>
  <si>
    <t>ella.ortiz+1114@demo-hoa.example</t>
  </si>
  <si>
    <t>P3-038</t>
  </si>
  <si>
    <t>1115</t>
  </si>
  <si>
    <t>Alexander Castillo</t>
  </si>
  <si>
    <t>(305) 555-1185</t>
  </si>
  <si>
    <t>alexander.castillo+1115@demo-hoa.example</t>
  </si>
  <si>
    <t>Noah Sanchez</t>
  </si>
  <si>
    <t>P4-277</t>
  </si>
  <si>
    <t>S-308</t>
  </si>
  <si>
    <t>1116</t>
  </si>
  <si>
    <t>Sofia Gutierrez</t>
  </si>
  <si>
    <t>(305) 555-1186</t>
  </si>
  <si>
    <t>sofia.gutierrez+1116@demo-hoa.example</t>
  </si>
  <si>
    <t>P1-223</t>
  </si>
  <si>
    <t>P3-029</t>
  </si>
  <si>
    <t>1117</t>
  </si>
  <si>
    <t>(305) 555-1187</t>
  </si>
  <si>
    <t>harper.martinez+1117@demo-hoa.example</t>
  </si>
  <si>
    <t>P4-218</t>
  </si>
  <si>
    <t>P3-020</t>
  </si>
  <si>
    <t>S-275</t>
  </si>
  <si>
    <t>1201</t>
  </si>
  <si>
    <t>(305) 555-1188</t>
  </si>
  <si>
    <t>harper.perez+1201@demo-hoa.example</t>
  </si>
  <si>
    <t>P5-015</t>
  </si>
  <si>
    <t>1202</t>
  </si>
  <si>
    <t>(305) 555-1189</t>
  </si>
  <si>
    <t>charlotte.martinez+1202@demo-hoa.example</t>
  </si>
  <si>
    <t>P5-019</t>
  </si>
  <si>
    <t>S-122</t>
  </si>
  <si>
    <t>1203</t>
  </si>
  <si>
    <t>Emily Reyes</t>
  </si>
  <si>
    <t>(305) 555-1190</t>
  </si>
  <si>
    <t>emily.reyes+1203@demo-hoa.example</t>
  </si>
  <si>
    <t>P3-193</t>
  </si>
  <si>
    <t>1204</t>
  </si>
  <si>
    <t>Henry Rodriguez</t>
  </si>
  <si>
    <t>(305) 555-1191</t>
  </si>
  <si>
    <t>henry.rodriguez+1204@demo-hoa.example</t>
  </si>
  <si>
    <t>P3-028</t>
  </si>
  <si>
    <t>S-239</t>
  </si>
  <si>
    <t>1205</t>
  </si>
  <si>
    <t>Isabella Morales</t>
  </si>
  <si>
    <t>(305) 555-1192</t>
  </si>
  <si>
    <t>isabella.morales+1205@demo-hoa.example</t>
  </si>
  <si>
    <t>P3-246</t>
  </si>
  <si>
    <t>S-201</t>
  </si>
  <si>
    <t>1206</t>
  </si>
  <si>
    <t>Ella Ruiz</t>
  </si>
  <si>
    <t>(305) 555-1193</t>
  </si>
  <si>
    <t>ella.ruiz+1206@demo-hoa.example</t>
  </si>
  <si>
    <t>P4-109</t>
  </si>
  <si>
    <t>1207</t>
  </si>
  <si>
    <t>Amelia Torres</t>
  </si>
  <si>
    <t>(305) 555-1194</t>
  </si>
  <si>
    <t>amelia.torres+1207@demo-hoa.example</t>
  </si>
  <si>
    <t>P1-274</t>
  </si>
  <si>
    <t>1208</t>
  </si>
  <si>
    <t>(305) 555-1195</t>
  </si>
  <si>
    <t>olivia.alvarez+1208@demo-hoa.example</t>
  </si>
  <si>
    <t>P5-073</t>
  </si>
  <si>
    <t>P5-214</t>
  </si>
  <si>
    <t>S-189</t>
  </si>
  <si>
    <t>1209</t>
  </si>
  <si>
    <t>Abigail Ruiz</t>
  </si>
  <si>
    <t>(305) 555-1196</t>
  </si>
  <si>
    <t>abigail.ruiz+1209@demo-hoa.example</t>
  </si>
  <si>
    <t>P3-106</t>
  </si>
  <si>
    <t>P4-037</t>
  </si>
  <si>
    <t>1210</t>
  </si>
  <si>
    <t>Ella Alvarez</t>
  </si>
  <si>
    <t>(305) 555-1197</t>
  </si>
  <si>
    <t>ella.alvarez+1210@demo-hoa.example</t>
  </si>
  <si>
    <t>Grace Chavez</t>
  </si>
  <si>
    <t>P2-264</t>
  </si>
  <si>
    <t>P2-130</t>
  </si>
  <si>
    <t>S-120</t>
  </si>
  <si>
    <t>1211</t>
  </si>
  <si>
    <t>Michael Navarro</t>
  </si>
  <si>
    <t>(305) 555-1198</t>
  </si>
  <si>
    <t>michael.navarro+1211@demo-hoa.example</t>
  </si>
  <si>
    <t>P1-039</t>
  </si>
  <si>
    <t>P3-231</t>
  </si>
  <si>
    <t>1212</t>
  </si>
  <si>
    <t>Emily Ramos</t>
  </si>
  <si>
    <t>(305) 555-1199</t>
  </si>
  <si>
    <t>emily.ramos+1212@demo-hoa.example</t>
  </si>
  <si>
    <t>P4-032</t>
  </si>
  <si>
    <t>P4-198</t>
  </si>
  <si>
    <t>1213</t>
  </si>
  <si>
    <t>(305) 555-1200</t>
  </si>
  <si>
    <t>jackson.navarro+1213@demo-hoa.example</t>
  </si>
  <si>
    <t>P4-177</t>
  </si>
  <si>
    <t>P2-027</t>
  </si>
  <si>
    <t>1214</t>
  </si>
  <si>
    <t>(305) 555-1201</t>
  </si>
  <si>
    <t>elijah.rivera+1214@demo-hoa.example</t>
  </si>
  <si>
    <t>P1-270</t>
  </si>
  <si>
    <t>P2-180</t>
  </si>
  <si>
    <t>1215</t>
  </si>
  <si>
    <t>Benjamin Castillo</t>
  </si>
  <si>
    <t>(305) 555-1202</t>
  </si>
  <si>
    <t>benjamin.castillo+1215@demo-hoa.example</t>
  </si>
  <si>
    <t>P3-188</t>
  </si>
  <si>
    <t>P4-106</t>
  </si>
  <si>
    <t>1216</t>
  </si>
  <si>
    <t>(305) 555-1203</t>
  </si>
  <si>
    <t>madison.ruiz+1216@demo-hoa.example</t>
  </si>
  <si>
    <t>P3-175</t>
  </si>
  <si>
    <t>S-282</t>
  </si>
  <si>
    <t>1217</t>
  </si>
  <si>
    <t>Ethan Hernandez</t>
  </si>
  <si>
    <t>(305) 555-1204</t>
  </si>
  <si>
    <t>ethan.hernandez+1217@demo-hoa.example</t>
  </si>
  <si>
    <t>P3-014</t>
  </si>
  <si>
    <t>P5-256</t>
  </si>
  <si>
    <t>S-278</t>
  </si>
  <si>
    <t>1301</t>
  </si>
  <si>
    <t>(305) 555-1205</t>
  </si>
  <si>
    <t>elijah.gomez+1301@demo-hoa.example</t>
  </si>
  <si>
    <t>P2-113</t>
  </si>
  <si>
    <t>S-300</t>
  </si>
  <si>
    <t>1302</t>
  </si>
  <si>
    <t>Sofia Castillo</t>
  </si>
  <si>
    <t>(305) 555-1206</t>
  </si>
  <si>
    <t>sofia.castillo+1302@demo-hoa.example</t>
  </si>
  <si>
    <t>P2-119</t>
  </si>
  <si>
    <t>1303</t>
  </si>
  <si>
    <t>Daniel Lopez</t>
  </si>
  <si>
    <t>(305) 555-1207</t>
  </si>
  <si>
    <t>daniel.lopez+1303@demo-hoa.example</t>
  </si>
  <si>
    <t>Emily Ruiz</t>
  </si>
  <si>
    <t>P3-105</t>
  </si>
  <si>
    <t>1304</t>
  </si>
  <si>
    <t>Daniel Castillo</t>
  </si>
  <si>
    <t>(305) 555-1208</t>
  </si>
  <si>
    <t>daniel.castillo+1304@demo-hoa.example</t>
  </si>
  <si>
    <t>P3-011</t>
  </si>
  <si>
    <t>S-121</t>
  </si>
  <si>
    <t>1305</t>
  </si>
  <si>
    <t>(305) 555-1209</t>
  </si>
  <si>
    <t>mia.gutierrez+1305@demo-hoa.example</t>
  </si>
  <si>
    <t>Michael Vargas</t>
  </si>
  <si>
    <t>P3-048</t>
  </si>
  <si>
    <t>B-038</t>
  </si>
  <si>
    <t>S-112</t>
  </si>
  <si>
    <t>1306</t>
  </si>
  <si>
    <t>Benjamin Flores</t>
  </si>
  <si>
    <t>(305) 555-1210</t>
  </si>
  <si>
    <t>benjamin.flores+1306@demo-hoa.example</t>
  </si>
  <si>
    <t>P1-243</t>
  </si>
  <si>
    <t>S-194</t>
  </si>
  <si>
    <t>1307</t>
  </si>
  <si>
    <t>Noah Cruz</t>
  </si>
  <si>
    <t>(305) 555-1211</t>
  </si>
  <si>
    <t>noah.cruz+1307@demo-hoa.example</t>
  </si>
  <si>
    <t>P5-139</t>
  </si>
  <si>
    <t>P1-023</t>
  </si>
  <si>
    <t>1308</t>
  </si>
  <si>
    <t>Harper Flores</t>
  </si>
  <si>
    <t>(305) 555-1212</t>
  </si>
  <si>
    <t>harper.flores+1308@demo-hoa.example</t>
  </si>
  <si>
    <t>P2-121</t>
  </si>
  <si>
    <t>P2-209</t>
  </si>
  <si>
    <t>S-301</t>
  </si>
  <si>
    <t>1309</t>
  </si>
  <si>
    <t>Mia Navarro</t>
  </si>
  <si>
    <t>(305) 555-1213</t>
  </si>
  <si>
    <t>mia.navarro+1309@demo-hoa.example</t>
  </si>
  <si>
    <t>Madison Vega</t>
  </si>
  <si>
    <t>P2-103</t>
  </si>
  <si>
    <t>1310</t>
  </si>
  <si>
    <t>Olivia Perez</t>
  </si>
  <si>
    <t>(305) 555-1214</t>
  </si>
  <si>
    <t>olivia.perez+1310@demo-hoa.example</t>
  </si>
  <si>
    <t>P4-118</t>
  </si>
  <si>
    <t>P4-119</t>
  </si>
  <si>
    <t>S-054</t>
  </si>
  <si>
    <t>1311</t>
  </si>
  <si>
    <t>Michael Martinez</t>
  </si>
  <si>
    <t>(305) 555-1215</t>
  </si>
  <si>
    <t>michael.martinez+1311@demo-hoa.example</t>
  </si>
  <si>
    <t>P2-098</t>
  </si>
  <si>
    <t>B-074</t>
  </si>
  <si>
    <t>1312</t>
  </si>
  <si>
    <t>Madison Gomez</t>
  </si>
  <si>
    <t>(305) 555-1216</t>
  </si>
  <si>
    <t>madison.gomez+1312@demo-hoa.example</t>
  </si>
  <si>
    <t>P4-058</t>
  </si>
  <si>
    <t>1313</t>
  </si>
  <si>
    <t>(305) 555-1217</t>
  </si>
  <si>
    <t>harper.martinez+1313@demo-hoa.example</t>
  </si>
  <si>
    <t>Noah Torres</t>
  </si>
  <si>
    <t>P2-117</t>
  </si>
  <si>
    <t>P5-054</t>
  </si>
  <si>
    <t>1314</t>
  </si>
  <si>
    <t>Sofia Vargas</t>
  </si>
  <si>
    <t>(305) 555-1218</t>
  </si>
  <si>
    <t>sofia.vargas+1314@demo-hoa.example</t>
  </si>
  <si>
    <t>P2-196</t>
  </si>
  <si>
    <t>P2-202</t>
  </si>
  <si>
    <t>1315</t>
  </si>
  <si>
    <t>Ethan Gutierrez</t>
  </si>
  <si>
    <t>(305) 555-1219</t>
  </si>
  <si>
    <t>ethan.gutierrez+1315@demo-hoa.example</t>
  </si>
  <si>
    <t>P5-172</t>
  </si>
  <si>
    <t>1316</t>
  </si>
  <si>
    <t>Liam Gutierrez</t>
  </si>
  <si>
    <t>(305) 555-1220</t>
  </si>
  <si>
    <t>liam.gutierrez+1316@demo-hoa.example</t>
  </si>
  <si>
    <t>P1-177</t>
  </si>
  <si>
    <t>P2-059</t>
  </si>
  <si>
    <t>S-082</t>
  </si>
  <si>
    <t>1317</t>
  </si>
  <si>
    <t>Elijah Romero</t>
  </si>
  <si>
    <t>(305) 555-1221</t>
  </si>
  <si>
    <t>elijah.romero+1317@demo-hoa.example</t>
  </si>
  <si>
    <t>P4-228</t>
  </si>
  <si>
    <t>P4-152</t>
  </si>
  <si>
    <t>S-134</t>
  </si>
  <si>
    <t>1401</t>
  </si>
  <si>
    <t>Emily Alvarez</t>
  </si>
  <si>
    <t>(305) 555-1222</t>
  </si>
  <si>
    <t>emily.alvarez+1401@demo-hoa.example</t>
  </si>
  <si>
    <t>P3-073</t>
  </si>
  <si>
    <t>1402</t>
  </si>
  <si>
    <t>Alexander Ortiz</t>
  </si>
  <si>
    <t>(305) 555-1223</t>
  </si>
  <si>
    <t>alexander.ortiz+1402@demo-hoa.example</t>
  </si>
  <si>
    <t>Sofia Alvarez</t>
  </si>
  <si>
    <t>P4-212</t>
  </si>
  <si>
    <t>S-052</t>
  </si>
  <si>
    <t>1403</t>
  </si>
  <si>
    <t>(305) 555-1224</t>
  </si>
  <si>
    <t>sofia.lopez+1403@demo-hoa.example</t>
  </si>
  <si>
    <t>P2-013</t>
  </si>
  <si>
    <t>S-115</t>
  </si>
  <si>
    <t>1404</t>
  </si>
  <si>
    <t>Mia Cruz</t>
  </si>
  <si>
    <t>(305) 555-1225</t>
  </si>
  <si>
    <t>mia.cruz+1404@demo-hoa.example</t>
  </si>
  <si>
    <t>P3-021</t>
  </si>
  <si>
    <t>1405</t>
  </si>
  <si>
    <t>(305) 555-1226</t>
  </si>
  <si>
    <t>emily.ruiz+1405@demo-hoa.example</t>
  </si>
  <si>
    <t>P4-052</t>
  </si>
  <si>
    <t>1406</t>
  </si>
  <si>
    <t>Ava Gutierrez</t>
  </si>
  <si>
    <t>(305) 555-1227</t>
  </si>
  <si>
    <t>ava.gutierrez+1406@demo-hoa.example</t>
  </si>
  <si>
    <t>P2-215</t>
  </si>
  <si>
    <t>1407</t>
  </si>
  <si>
    <t>Daniel Vargas</t>
  </si>
  <si>
    <t>(305) 555-1228</t>
  </si>
  <si>
    <t>daniel.vargas+1407@demo-hoa.example</t>
  </si>
  <si>
    <t>P5-041</t>
  </si>
  <si>
    <t>S-295</t>
  </si>
  <si>
    <t>1408</t>
  </si>
  <si>
    <t>Mason Morales</t>
  </si>
  <si>
    <t>(305) 555-1229</t>
  </si>
  <si>
    <t>mason.morales+1408@demo-hoa.example</t>
  </si>
  <si>
    <t>P4-093</t>
  </si>
  <si>
    <t>1409</t>
  </si>
  <si>
    <t>Sofia Flores</t>
  </si>
  <si>
    <t>(305) 555-1230</t>
  </si>
  <si>
    <t>sofia.flores+1409@demo-hoa.example</t>
  </si>
  <si>
    <t>P1-260</t>
  </si>
  <si>
    <t>1410</t>
  </si>
  <si>
    <t>(305) 555-1231</t>
  </si>
  <si>
    <t>logan.ortiz+1410@demo-hoa.example</t>
  </si>
  <si>
    <t>Abigail Ramos</t>
  </si>
  <si>
    <t>P1-175</t>
  </si>
  <si>
    <t>1411</t>
  </si>
  <si>
    <t>Sophia Martinez</t>
  </si>
  <si>
    <t>(305) 555-1232</t>
  </si>
  <si>
    <t>sophia.martinez+1411@demo-hoa.example</t>
  </si>
  <si>
    <t>P4-148</t>
  </si>
  <si>
    <t>S-244</t>
  </si>
  <si>
    <t>1412</t>
  </si>
  <si>
    <t>Mason Sanchez</t>
  </si>
  <si>
    <t>(305) 555-1233</t>
  </si>
  <si>
    <t>mason.sanchez+1412@demo-hoa.example</t>
  </si>
  <si>
    <t>Madison Chavez</t>
  </si>
  <si>
    <t>P3-222</t>
  </si>
  <si>
    <t>S-303</t>
  </si>
  <si>
    <t>1413</t>
  </si>
  <si>
    <t>(305) 555-1234</t>
  </si>
  <si>
    <t>henry.delgado+1413@demo-hoa.example</t>
  </si>
  <si>
    <t>P1-036</t>
  </si>
  <si>
    <t>B-046</t>
  </si>
  <si>
    <t>1414</t>
  </si>
  <si>
    <t>(305) 555-1235</t>
  </si>
  <si>
    <t>isabella.vargas+1414@demo-hoa.example</t>
  </si>
  <si>
    <t>P1-070</t>
  </si>
  <si>
    <t>1415</t>
  </si>
  <si>
    <t>Ethan Alvarez</t>
  </si>
  <si>
    <t>(305) 555-1236</t>
  </si>
  <si>
    <t>ethan.alvarez+1415@demo-hoa.example</t>
  </si>
  <si>
    <t>P3-093</t>
  </si>
  <si>
    <t>P2-165</t>
  </si>
  <si>
    <t>1416</t>
  </si>
  <si>
    <t>Ethan Ramos</t>
  </si>
  <si>
    <t>(305) 555-1237</t>
  </si>
  <si>
    <t>ethan.ramos+1416@demo-hoa.example</t>
  </si>
  <si>
    <t>P1-098</t>
  </si>
  <si>
    <t>S-290</t>
  </si>
  <si>
    <t>1417</t>
  </si>
  <si>
    <t>Sebastian Castillo</t>
  </si>
  <si>
    <t>(305) 555-1238</t>
  </si>
  <si>
    <t>sebastian.castillo+1417@demo-hoa.example</t>
  </si>
  <si>
    <t>P3-006</t>
  </si>
  <si>
    <t>P4-135</t>
  </si>
  <si>
    <t>1501</t>
  </si>
  <si>
    <t>(305) 555-1239</t>
  </si>
  <si>
    <t>henry.gutierrez+1501@demo-hoa.example</t>
  </si>
  <si>
    <t>P2-073</t>
  </si>
  <si>
    <t>S-127</t>
  </si>
  <si>
    <t>1502</t>
  </si>
  <si>
    <t>James Flores</t>
  </si>
  <si>
    <t>(305) 555-1240</t>
  </si>
  <si>
    <t>james.flores+1502@demo-hoa.example</t>
  </si>
  <si>
    <t>P4-153</t>
  </si>
  <si>
    <t>S-118</t>
  </si>
  <si>
    <t>1503</t>
  </si>
  <si>
    <t>Harper Ramirez</t>
  </si>
  <si>
    <t>(305) 555-1241</t>
  </si>
  <si>
    <t>harper.ramirez+1503@demo-hoa.example</t>
  </si>
  <si>
    <t>P5-056</t>
  </si>
  <si>
    <t>1504</t>
  </si>
  <si>
    <t>Logan Romero</t>
  </si>
  <si>
    <t>(305) 555-1242</t>
  </si>
  <si>
    <t>logan.romero+1504@demo-hoa.example</t>
  </si>
  <si>
    <t>P1-242</t>
  </si>
  <si>
    <t>S-129</t>
  </si>
  <si>
    <t>1505</t>
  </si>
  <si>
    <t>(305) 555-1243</t>
  </si>
  <si>
    <t>mason.vega+1505@demo-hoa.example</t>
  </si>
  <si>
    <t>P3-041</t>
  </si>
  <si>
    <t>1506</t>
  </si>
  <si>
    <t>(305) 555-1244</t>
  </si>
  <si>
    <t>noah.sanchez+1506@demo-hoa.example</t>
  </si>
  <si>
    <t>P3-090</t>
  </si>
  <si>
    <t>1507</t>
  </si>
  <si>
    <t>Grace Romero</t>
  </si>
  <si>
    <t>(305) 555-1245</t>
  </si>
  <si>
    <t>grace.romero+1507@demo-hoa.example</t>
  </si>
  <si>
    <t>Madison Reyes</t>
  </si>
  <si>
    <t>P2-171</t>
  </si>
  <si>
    <t>S-003</t>
  </si>
  <si>
    <t>1508</t>
  </si>
  <si>
    <t>Logan Hernandez</t>
  </si>
  <si>
    <t>(305) 555-1246</t>
  </si>
  <si>
    <t>logan.hernandez+1508@demo-hoa.example</t>
  </si>
  <si>
    <t>P4-108</t>
  </si>
  <si>
    <t>P4-230</t>
  </si>
  <si>
    <t>1509</t>
  </si>
  <si>
    <t>Alexander Hernandez</t>
  </si>
  <si>
    <t>(305) 555-1247</t>
  </si>
  <si>
    <t>alexander.hernandez+1509@demo-hoa.example</t>
  </si>
  <si>
    <t>P4-051</t>
  </si>
  <si>
    <t>1510</t>
  </si>
  <si>
    <t>Mason Suarez</t>
  </si>
  <si>
    <t>(305) 555-1248</t>
  </si>
  <si>
    <t>mason.suarez+1510@demo-hoa.example</t>
  </si>
  <si>
    <t>P1-079</t>
  </si>
  <si>
    <t>S-170</t>
  </si>
  <si>
    <t>1511</t>
  </si>
  <si>
    <t>(305) 555-1249</t>
  </si>
  <si>
    <t>henry.delgado+1511@demo-hoa.example</t>
  </si>
  <si>
    <t>Jackson Chavez</t>
  </si>
  <si>
    <t>P5-013</t>
  </si>
  <si>
    <t>P1-061</t>
  </si>
  <si>
    <t>1512</t>
  </si>
  <si>
    <t>Abigail Vargas</t>
  </si>
  <si>
    <t>(305) 555-1250</t>
  </si>
  <si>
    <t>abigail.vargas+1512@demo-hoa.example</t>
  </si>
  <si>
    <t>P4-150</t>
  </si>
  <si>
    <t>P3-008</t>
  </si>
  <si>
    <t>B-049</t>
  </si>
  <si>
    <t>1513</t>
  </si>
  <si>
    <t>Sophia Perez</t>
  </si>
  <si>
    <t>(305) 555-1251</t>
  </si>
  <si>
    <t>sophia.perez+1513@demo-hoa.example</t>
  </si>
  <si>
    <t>P2-200</t>
  </si>
  <si>
    <t>P4-251</t>
  </si>
  <si>
    <t>S-006</t>
  </si>
  <si>
    <t>1514</t>
  </si>
  <si>
    <t>(305) 555-1252</t>
  </si>
  <si>
    <t>amelia.lopez+1514@demo-hoa.example</t>
  </si>
  <si>
    <t>P1-209</t>
  </si>
  <si>
    <t>P3-249</t>
  </si>
  <si>
    <t>1515</t>
  </si>
  <si>
    <t>Isabella Rivera</t>
  </si>
  <si>
    <t>(305) 555-1253</t>
  </si>
  <si>
    <t>isabella.rivera+1515@demo-hoa.example</t>
  </si>
  <si>
    <t>P4-209</t>
  </si>
  <si>
    <t>P3-099</t>
  </si>
  <si>
    <t>S-179</t>
  </si>
  <si>
    <t>1516</t>
  </si>
  <si>
    <t>Ethan Rodriguez</t>
  </si>
  <si>
    <t>(305) 555-1254</t>
  </si>
  <si>
    <t>ethan.rodriguez+1516@demo-hoa.example</t>
  </si>
  <si>
    <t>Olivia Ramirez</t>
  </si>
  <si>
    <t>P1-160</t>
  </si>
  <si>
    <t>1517</t>
  </si>
  <si>
    <t>Mason Ortiz</t>
  </si>
  <si>
    <t>(305) 555-1255</t>
  </si>
  <si>
    <t>mason.ortiz+1517@demo-hoa.example</t>
  </si>
  <si>
    <t>P4-190</t>
  </si>
  <si>
    <t>P4-103</t>
  </si>
  <si>
    <t>1601</t>
  </si>
  <si>
    <t>(305) 555-1256</t>
  </si>
  <si>
    <t>emily.hernandez+1601@demo-hoa.example</t>
  </si>
  <si>
    <t>Michael Hernandez</t>
  </si>
  <si>
    <t>P4-275</t>
  </si>
  <si>
    <t>1602</t>
  </si>
  <si>
    <t>(305) 555-1257</t>
  </si>
  <si>
    <t>grace.chavez+1602@demo-hoa.example</t>
  </si>
  <si>
    <t>P2-277</t>
  </si>
  <si>
    <t>1603</t>
  </si>
  <si>
    <t>Evelyn Hernandez</t>
  </si>
  <si>
    <t>(305) 555-1258</t>
  </si>
  <si>
    <t>evelyn.hernandez+1603@demo-hoa.example</t>
  </si>
  <si>
    <t>P1-063</t>
  </si>
  <si>
    <t>S-133</t>
  </si>
  <si>
    <t>1604</t>
  </si>
  <si>
    <t>(305) 555-1259</t>
  </si>
  <si>
    <t>ethan.ramos+1604@demo-hoa.example</t>
  </si>
  <si>
    <t>P3-102</t>
  </si>
  <si>
    <t>1605</t>
  </si>
  <si>
    <t>Lucas Hernandez</t>
  </si>
  <si>
    <t>(305) 555-1260</t>
  </si>
  <si>
    <t>lucas.hernandez+1605@demo-hoa.example</t>
  </si>
  <si>
    <t>Amelia Gomez</t>
  </si>
  <si>
    <t>P2-074</t>
  </si>
  <si>
    <t>1606</t>
  </si>
  <si>
    <t>(305) 555-1261</t>
  </si>
  <si>
    <t>emily.rivera+1606@demo-hoa.example</t>
  </si>
  <si>
    <t>P5-011</t>
  </si>
  <si>
    <t>S-286</t>
  </si>
  <si>
    <t>1607</t>
  </si>
  <si>
    <t>James Ramos</t>
  </si>
  <si>
    <t>(305) 555-1262</t>
  </si>
  <si>
    <t>james.ramos+1607@demo-hoa.example</t>
  </si>
  <si>
    <t>P2-118</t>
  </si>
  <si>
    <t>1608</t>
  </si>
  <si>
    <t>James Ortiz</t>
  </si>
  <si>
    <t>(305) 555-1263</t>
  </si>
  <si>
    <t>james.ortiz+1608@demo-hoa.example</t>
  </si>
  <si>
    <t>Henry Ortiz</t>
  </si>
  <si>
    <t>P1-068</t>
  </si>
  <si>
    <t>P2-114</t>
  </si>
  <si>
    <t>S-010</t>
  </si>
  <si>
    <t>1609</t>
  </si>
  <si>
    <t>Alexander Mendoza</t>
  </si>
  <si>
    <t>(305) 555-1264</t>
  </si>
  <si>
    <t>alexander.mendoza+1609@demo-hoa.example</t>
  </si>
  <si>
    <t>P2-191</t>
  </si>
  <si>
    <t>1610</t>
  </si>
  <si>
    <t>Ethan Castillo</t>
  </si>
  <si>
    <t>(305) 555-1265</t>
  </si>
  <si>
    <t>ethan.castillo+1610@demo-hoa.example</t>
  </si>
  <si>
    <t>P3-101</t>
  </si>
  <si>
    <t>B-064</t>
  </si>
  <si>
    <t>S-251</t>
  </si>
  <si>
    <t>1611</t>
  </si>
  <si>
    <t>(305) 555-1266</t>
  </si>
  <si>
    <t>sophia.martinez+1611@demo-hoa.example</t>
  </si>
  <si>
    <t>Ethan Torres</t>
  </si>
  <si>
    <t>P3-166</t>
  </si>
  <si>
    <t>1612</t>
  </si>
  <si>
    <t>(305) 555-1267</t>
  </si>
  <si>
    <t>elijah.navarro+1612@demo-hoa.example</t>
  </si>
  <si>
    <t>P2-138</t>
  </si>
  <si>
    <t>P3-036</t>
  </si>
  <si>
    <t>S-285</t>
  </si>
  <si>
    <t>1613</t>
  </si>
  <si>
    <t>Daniel Rivera</t>
  </si>
  <si>
    <t>(305) 555-1268</t>
  </si>
  <si>
    <t>daniel.rivera+1613@demo-hoa.example</t>
  </si>
  <si>
    <t>P3-267</t>
  </si>
  <si>
    <t>B-039</t>
  </si>
  <si>
    <t>1614</t>
  </si>
  <si>
    <t>Sebastian Gutierrez</t>
  </si>
  <si>
    <t>(305) 555-1269</t>
  </si>
  <si>
    <t>sebastian.gutierrez+1614@demo-hoa.example</t>
  </si>
  <si>
    <t>P3-114</t>
  </si>
  <si>
    <t>1615</t>
  </si>
  <si>
    <t>Mia Hernandez</t>
  </si>
  <si>
    <t>(305) 555-1270</t>
  </si>
  <si>
    <t>mia.hernandez+1615@demo-hoa.example</t>
  </si>
  <si>
    <t>P1-186</t>
  </si>
  <si>
    <t>P2-208</t>
  </si>
  <si>
    <t>S-098</t>
  </si>
  <si>
    <t>1616</t>
  </si>
  <si>
    <t>(305) 555-1271</t>
  </si>
  <si>
    <t>sofia.gutierrez+1616@demo-hoa.example</t>
  </si>
  <si>
    <t>Benjamin Ramirez</t>
  </si>
  <si>
    <t>P5-161</t>
  </si>
  <si>
    <t>S-297</t>
  </si>
  <si>
    <t>1617</t>
  </si>
  <si>
    <t>(305) 555-1272</t>
  </si>
  <si>
    <t>madison.ramirez+1617@demo-hoa.example</t>
  </si>
  <si>
    <t>P4-273</t>
  </si>
  <si>
    <t>P4-156</t>
  </si>
  <si>
    <t>1701</t>
  </si>
  <si>
    <t>Charlotte Castillo</t>
  </si>
  <si>
    <t>(305) 555-1273</t>
  </si>
  <si>
    <t>charlotte.castillo+1701@demo-hoa.example</t>
  </si>
  <si>
    <t>P3-013</t>
  </si>
  <si>
    <t>S-045</t>
  </si>
  <si>
    <t>1702</t>
  </si>
  <si>
    <t>Amelia Navarro</t>
  </si>
  <si>
    <t>(305) 555-1274</t>
  </si>
  <si>
    <t>amelia.navarro+1702@demo-hoa.example</t>
  </si>
  <si>
    <t>P5-114</t>
  </si>
  <si>
    <t>1703</t>
  </si>
  <si>
    <t>Elijah Perez</t>
  </si>
  <si>
    <t>(305) 555-1275</t>
  </si>
  <si>
    <t>elijah.perez+1703@demo-hoa.example</t>
  </si>
  <si>
    <t>P4-147</t>
  </si>
  <si>
    <t>S-155</t>
  </si>
  <si>
    <t>1704</t>
  </si>
  <si>
    <t>(305) 555-1276</t>
  </si>
  <si>
    <t>sofia.perez+1704@demo-hoa.example</t>
  </si>
  <si>
    <t>P4-057</t>
  </si>
  <si>
    <t>S-128</t>
  </si>
  <si>
    <t>1705</t>
  </si>
  <si>
    <t>Emily Rodriguez</t>
  </si>
  <si>
    <t>(305) 555-1277</t>
  </si>
  <si>
    <t>emily.rodriguez+1705@demo-hoa.example</t>
  </si>
  <si>
    <t>P1-264</t>
  </si>
  <si>
    <t>1706</t>
  </si>
  <si>
    <t>James Hernandez</t>
  </si>
  <si>
    <t>(305) 555-1278</t>
  </si>
  <si>
    <t>james.hernandez+1706@demo-hoa.example</t>
  </si>
  <si>
    <t>P2-172</t>
  </si>
  <si>
    <t>1707</t>
  </si>
  <si>
    <t>(305) 555-1279</t>
  </si>
  <si>
    <t>alexander.martinez+1707@demo-hoa.example</t>
  </si>
  <si>
    <t>P1-060</t>
  </si>
  <si>
    <t>P4-121</t>
  </si>
  <si>
    <t>S-218</t>
  </si>
  <si>
    <t>1708</t>
  </si>
  <si>
    <t>(305) 555-1280</t>
  </si>
  <si>
    <t>evelyn.gutierrez+1708@demo-hoa.example</t>
  </si>
  <si>
    <t>P4-142</t>
  </si>
  <si>
    <t>S-258</t>
  </si>
  <si>
    <t>1709</t>
  </si>
  <si>
    <t>(305) 555-1281</t>
  </si>
  <si>
    <t>charlotte.ramos+1709@demo-hoa.example</t>
  </si>
  <si>
    <t>P5-109</t>
  </si>
  <si>
    <t>P5-158</t>
  </si>
  <si>
    <t>S-177</t>
  </si>
  <si>
    <t>1710</t>
  </si>
  <si>
    <t>(305) 555-1282</t>
  </si>
  <si>
    <t>amelia.ramirez+1710@demo-hoa.example</t>
  </si>
  <si>
    <t>P3-004</t>
  </si>
  <si>
    <t>P1-019</t>
  </si>
  <si>
    <t>S-075</t>
  </si>
  <si>
    <t>1711</t>
  </si>
  <si>
    <t>(305) 555-1283</t>
  </si>
  <si>
    <t>henry.gutierrez+1711@demo-hoa.example</t>
  </si>
  <si>
    <t>Amelia Vega</t>
  </si>
  <si>
    <t>P3-233</t>
  </si>
  <si>
    <t>P2-243</t>
  </si>
  <si>
    <t>1712</t>
  </si>
  <si>
    <t>(305) 555-1284</t>
  </si>
  <si>
    <t>abigail.navarro+1712@demo-hoa.example</t>
  </si>
  <si>
    <t>P1-206</t>
  </si>
  <si>
    <t>P4-133</t>
  </si>
  <si>
    <t>B-052</t>
  </si>
  <si>
    <t>S-066</t>
  </si>
  <si>
    <t>1713</t>
  </si>
  <si>
    <t>Evelyn Chavez</t>
  </si>
  <si>
    <t>(305) 555-1285</t>
  </si>
  <si>
    <t>evelyn.chavez+1713@demo-hoa.example</t>
  </si>
  <si>
    <t>P2-179</t>
  </si>
  <si>
    <t>P3-134</t>
  </si>
  <si>
    <t>S-036</t>
  </si>
  <si>
    <t>1714</t>
  </si>
  <si>
    <t>Grace Ramos</t>
  </si>
  <si>
    <t>(305) 555-1286</t>
  </si>
  <si>
    <t>grace.ramos+1714@demo-hoa.example</t>
  </si>
  <si>
    <t>P3-095</t>
  </si>
  <si>
    <t>P4-186</t>
  </si>
  <si>
    <t>1715</t>
  </si>
  <si>
    <t>Isabella Ramirez</t>
  </si>
  <si>
    <t>(305) 555-1287</t>
  </si>
  <si>
    <t>isabella.ramirez+1715@demo-hoa.example</t>
  </si>
  <si>
    <t>Isabella Ruiz</t>
  </si>
  <si>
    <t>P1-169</t>
  </si>
  <si>
    <t>P3-223</t>
  </si>
  <si>
    <t>1716</t>
  </si>
  <si>
    <t>Jackson Ortiz</t>
  </si>
  <si>
    <t>(305) 555-1288</t>
  </si>
  <si>
    <t>jackson.ortiz+1716@demo-hoa.example</t>
  </si>
  <si>
    <t>James Vargas</t>
  </si>
  <si>
    <t>P3-142</t>
  </si>
  <si>
    <t>1717</t>
  </si>
  <si>
    <t>Abigail Gonzalez</t>
  </si>
  <si>
    <t>(305) 555-1289</t>
  </si>
  <si>
    <t>abigail.gonzalez+1717@demo-hoa.example</t>
  </si>
  <si>
    <t>P3-226</t>
  </si>
  <si>
    <t>P1-171</t>
  </si>
  <si>
    <t>1801</t>
  </si>
  <si>
    <t>Harper Rivera</t>
  </si>
  <si>
    <t>(305) 555-1290</t>
  </si>
  <si>
    <t>harper.rivera+1801@demo-hoa.example</t>
  </si>
  <si>
    <t>Sofia Rodriguez</t>
  </si>
  <si>
    <t>P5-134</t>
  </si>
  <si>
    <t>B-031</t>
  </si>
  <si>
    <t>S-237</t>
  </si>
  <si>
    <t>1802</t>
  </si>
  <si>
    <t>(305) 555-1291</t>
  </si>
  <si>
    <t>alexander.rivera+1802@demo-hoa.example</t>
  </si>
  <si>
    <t>P4-064</t>
  </si>
  <si>
    <t>S-078</t>
  </si>
  <si>
    <t>1803</t>
  </si>
  <si>
    <t>(305) 555-1292</t>
  </si>
  <si>
    <t>abigail.gonzalez+1803@demo-hoa.example</t>
  </si>
  <si>
    <t>P3-213</t>
  </si>
  <si>
    <t>1804</t>
  </si>
  <si>
    <t>(305) 555-1293</t>
  </si>
  <si>
    <t>henry.romero+1804@demo-hoa.example</t>
  </si>
  <si>
    <t>P3-236</t>
  </si>
  <si>
    <t>S-053</t>
  </si>
  <si>
    <t>1805</t>
  </si>
  <si>
    <t>(305) 555-1294</t>
  </si>
  <si>
    <t>henry.ortiz+1805@demo-hoa.example</t>
  </si>
  <si>
    <t>Mason Torres</t>
  </si>
  <si>
    <t>P3-068</t>
  </si>
  <si>
    <t>B-094</t>
  </si>
  <si>
    <t>S-291</t>
  </si>
  <si>
    <t>1806</t>
  </si>
  <si>
    <t>Michael Rivera</t>
  </si>
  <si>
    <t>(305) 555-1295</t>
  </si>
  <si>
    <t>michael.rivera+1806@demo-hoa.example</t>
  </si>
  <si>
    <t>P2-042</t>
  </si>
  <si>
    <t>S-015</t>
  </si>
  <si>
    <t>1807</t>
  </si>
  <si>
    <t>Jackson Alvarez</t>
  </si>
  <si>
    <t>(305) 555-1296</t>
  </si>
  <si>
    <t>jackson.alvarez+1807@demo-hoa.example</t>
  </si>
  <si>
    <t>P3-123</t>
  </si>
  <si>
    <t>S-102</t>
  </si>
  <si>
    <t>1808</t>
  </si>
  <si>
    <t>Elijah Suarez</t>
  </si>
  <si>
    <t>(305) 555-1297</t>
  </si>
  <si>
    <t>elijah.suarez+1808@demo-hoa.example</t>
  </si>
  <si>
    <t>P2-271</t>
  </si>
  <si>
    <t>1809</t>
  </si>
  <si>
    <t>(305) 555-1298</t>
  </si>
  <si>
    <t>abigail.diaz+1809@demo-hoa.example</t>
  </si>
  <si>
    <t>P1-093</t>
  </si>
  <si>
    <t>S-057</t>
  </si>
  <si>
    <t>1810</t>
  </si>
  <si>
    <t>(305) 555-1299</t>
  </si>
  <si>
    <t>charlotte.torres+1810@demo-hoa.example</t>
  </si>
  <si>
    <t>P5-225</t>
  </si>
  <si>
    <t>1811</t>
  </si>
  <si>
    <t>Ava Gonzalez</t>
  </si>
  <si>
    <t>(305) 555-1300</t>
  </si>
  <si>
    <t>ava.gonzalez+1811@demo-hoa.example</t>
  </si>
  <si>
    <t>P3-030</t>
  </si>
  <si>
    <t>1812</t>
  </si>
  <si>
    <t>(305) 555-1301</t>
  </si>
  <si>
    <t>noah.cruz+1812@demo-hoa.example</t>
  </si>
  <si>
    <t>P5-212</t>
  </si>
  <si>
    <t>B-018</t>
  </si>
  <si>
    <t>1813</t>
  </si>
  <si>
    <t>Emily Cruz</t>
  </si>
  <si>
    <t>(305) 555-1302</t>
  </si>
  <si>
    <t>emily.cruz+1813@demo-hoa.example</t>
  </si>
  <si>
    <t>P3-244</t>
  </si>
  <si>
    <t>S-012</t>
  </si>
  <si>
    <t>1814</t>
  </si>
  <si>
    <t>(305) 555-1303</t>
  </si>
  <si>
    <t>ava.martinez+1814@demo-hoa.example</t>
  </si>
  <si>
    <t>Daniel Gomez</t>
  </si>
  <si>
    <t>P5-260</t>
  </si>
  <si>
    <t>P1-090</t>
  </si>
  <si>
    <t>1815</t>
  </si>
  <si>
    <t>Emily Romero</t>
  </si>
  <si>
    <t>(305) 555-1304</t>
  </si>
  <si>
    <t>emily.romero+1815@demo-hoa.example</t>
  </si>
  <si>
    <t>P2-104</t>
  </si>
  <si>
    <t>1816</t>
  </si>
  <si>
    <t>Noah Morales</t>
  </si>
  <si>
    <t>(305) 555-1305</t>
  </si>
  <si>
    <t>noah.morales+1816@demo-hoa.example</t>
  </si>
  <si>
    <t>P2-107</t>
  </si>
  <si>
    <t>P5-268</t>
  </si>
  <si>
    <t>S-268</t>
  </si>
  <si>
    <t>1817</t>
  </si>
  <si>
    <t>(305) 555-1306</t>
  </si>
  <si>
    <t>ava.mendoza+1817@demo-hoa.example</t>
  </si>
  <si>
    <t>P2-012</t>
  </si>
  <si>
    <t>B-061</t>
  </si>
  <si>
    <t>1901</t>
  </si>
  <si>
    <t>Isabella Reyes</t>
  </si>
  <si>
    <t>(305) 555-1307</t>
  </si>
  <si>
    <t>isabella.reyes+1901@demo-hoa.example</t>
  </si>
  <si>
    <t>P1-138</t>
  </si>
  <si>
    <t>1902</t>
  </si>
  <si>
    <t>Emily Ramirez</t>
  </si>
  <si>
    <t>(305) 555-1308</t>
  </si>
  <si>
    <t>emily.ramirez+1902@demo-hoa.example</t>
  </si>
  <si>
    <t>P2-137</t>
  </si>
  <si>
    <t>1903</t>
  </si>
  <si>
    <t>Jackson Hernandez</t>
  </si>
  <si>
    <t>(305) 555-1309</t>
  </si>
  <si>
    <t>jackson.hernandez+1903@demo-hoa.example</t>
  </si>
  <si>
    <t>P3-059</t>
  </si>
  <si>
    <t>S-135</t>
  </si>
  <si>
    <t>1904</t>
  </si>
  <si>
    <t>(305) 555-1310</t>
  </si>
  <si>
    <t>olivia.rodriguez+1904@demo-hoa.example</t>
  </si>
  <si>
    <t>P4-168</t>
  </si>
  <si>
    <t>S-164</t>
  </si>
  <si>
    <t>1905</t>
  </si>
  <si>
    <t>Michael Rodriguez</t>
  </si>
  <si>
    <t>(305) 555-1311</t>
  </si>
  <si>
    <t>michael.rodriguez+1905@demo-hoa.example</t>
  </si>
  <si>
    <t>P3-045</t>
  </si>
  <si>
    <t>1906</t>
  </si>
  <si>
    <t>Ella Suarez</t>
  </si>
  <si>
    <t>(305) 555-1312</t>
  </si>
  <si>
    <t>ella.suarez+1906@demo-hoa.example</t>
  </si>
  <si>
    <t>P2-017</t>
  </si>
  <si>
    <t>B-065</t>
  </si>
  <si>
    <t>1907</t>
  </si>
  <si>
    <t>(305) 555-1313</t>
  </si>
  <si>
    <t>ella.torres+1907@demo-hoa.example</t>
  </si>
  <si>
    <t>P2-011</t>
  </si>
  <si>
    <t>1908</t>
  </si>
  <si>
    <t>Liam Sanchez</t>
  </si>
  <si>
    <t>(305) 555-1314</t>
  </si>
  <si>
    <t>liam.sanchez+1908@demo-hoa.example</t>
  </si>
  <si>
    <t>Harper Romero</t>
  </si>
  <si>
    <t>P2-145</t>
  </si>
  <si>
    <t>P4-170</t>
  </si>
  <si>
    <t>1909</t>
  </si>
  <si>
    <t>(305) 555-1315</t>
  </si>
  <si>
    <t>michael.cruz+1909@demo-hoa.example</t>
  </si>
  <si>
    <t>Logan Gutierrez</t>
  </si>
  <si>
    <t>P3-261</t>
  </si>
  <si>
    <t>P2-273</t>
  </si>
  <si>
    <t>S-152</t>
  </si>
  <si>
    <t>1910</t>
  </si>
  <si>
    <t>Ava Perez</t>
  </si>
  <si>
    <t>(305) 555-1316</t>
  </si>
  <si>
    <t>ava.perez+1910@demo-hoa.example</t>
  </si>
  <si>
    <t>P5-254</t>
  </si>
  <si>
    <t>1911</t>
  </si>
  <si>
    <t>Madison Hernandez</t>
  </si>
  <si>
    <t>(305) 555-1317</t>
  </si>
  <si>
    <t>madison.hernandez+1911@demo-hoa.example</t>
  </si>
  <si>
    <t>P1-129</t>
  </si>
  <si>
    <t>P5-092</t>
  </si>
  <si>
    <t>1912</t>
  </si>
  <si>
    <t>Sofia Chavez</t>
  </si>
  <si>
    <t>(305) 555-1318</t>
  </si>
  <si>
    <t>sofia.chavez+1912@demo-hoa.example</t>
  </si>
  <si>
    <t>P1-166</t>
  </si>
  <si>
    <t>S-073</t>
  </si>
  <si>
    <t>1913</t>
  </si>
  <si>
    <t>James Romero</t>
  </si>
  <si>
    <t>(305) 555-1319</t>
  </si>
  <si>
    <t>james.romero+1913@demo-hoa.example</t>
  </si>
  <si>
    <t>Sophia Torres</t>
  </si>
  <si>
    <t>P2-093</t>
  </si>
  <si>
    <t>1914</t>
  </si>
  <si>
    <t>(305) 555-1320</t>
  </si>
  <si>
    <t>amelia.navarro+1914@demo-hoa.example</t>
  </si>
  <si>
    <t>Ella Vargas</t>
  </si>
  <si>
    <t>P4-267</t>
  </si>
  <si>
    <t>P3-132</t>
  </si>
  <si>
    <t>S-029</t>
  </si>
  <si>
    <t>1915</t>
  </si>
  <si>
    <t>Michael Perez</t>
  </si>
  <si>
    <t>(305) 555-1321</t>
  </si>
  <si>
    <t>michael.perez+1915@demo-hoa.example</t>
  </si>
  <si>
    <t>P2-023</t>
  </si>
  <si>
    <t>1916</t>
  </si>
  <si>
    <t>(305) 555-1322</t>
  </si>
  <si>
    <t>elijah.suarez+1916@demo-hoa.example</t>
  </si>
  <si>
    <t>P4-099</t>
  </si>
  <si>
    <t>P2-242</t>
  </si>
  <si>
    <t>1917</t>
  </si>
  <si>
    <t>Ella Gonzalez</t>
  </si>
  <si>
    <t>(305) 555-1323</t>
  </si>
  <si>
    <t>ella.gonzalez+1917@demo-hoa.example</t>
  </si>
  <si>
    <t>P1-253</t>
  </si>
  <si>
    <t>P1-257</t>
  </si>
  <si>
    <t>S-284</t>
  </si>
  <si>
    <t>2001</t>
  </si>
  <si>
    <t>Abigail Torres</t>
  </si>
  <si>
    <t>(305) 555-1324</t>
  </si>
  <si>
    <t>abigail.torres+2001@demo-hoa.example</t>
  </si>
  <si>
    <t>P4-269</t>
  </si>
  <si>
    <t>S-089</t>
  </si>
  <si>
    <t>2002</t>
  </si>
  <si>
    <t>(305) 555-1325</t>
  </si>
  <si>
    <t>emily.martinez+2002@demo-hoa.example</t>
  </si>
  <si>
    <t>P5-218</t>
  </si>
  <si>
    <t>S-226</t>
  </si>
  <si>
    <t>2003</t>
  </si>
  <si>
    <t>Noah Ruiz</t>
  </si>
  <si>
    <t>(305) 555-1326</t>
  </si>
  <si>
    <t>noah.ruiz+2003@demo-hoa.example</t>
  </si>
  <si>
    <t>P3-141</t>
  </si>
  <si>
    <t>S-132</t>
  </si>
  <si>
    <t>2004</t>
  </si>
  <si>
    <t>Isabella Gutierrez</t>
  </si>
  <si>
    <t>(305) 555-1327</t>
  </si>
  <si>
    <t>isabella.gutierrez+2004@demo-hoa.example</t>
  </si>
  <si>
    <t>P3-078</t>
  </si>
  <si>
    <t>2005</t>
  </si>
  <si>
    <t>Abigail Gomez</t>
  </si>
  <si>
    <t>(305) 555-1328</t>
  </si>
  <si>
    <t>abigail.gomez+2005@demo-hoa.example</t>
  </si>
  <si>
    <t>Daniel Morales</t>
  </si>
  <si>
    <t>P3-061</t>
  </si>
  <si>
    <t>2006</t>
  </si>
  <si>
    <t>Alexander Morales</t>
  </si>
  <si>
    <t>(305) 555-1329</t>
  </si>
  <si>
    <t>alexander.morales+2006@demo-hoa.example</t>
  </si>
  <si>
    <t>P1-240</t>
  </si>
  <si>
    <t>2007</t>
  </si>
  <si>
    <t>(305) 555-1330</t>
  </si>
  <si>
    <t>michael.rivera+2007@demo-hoa.example</t>
  </si>
  <si>
    <t>P3-207</t>
  </si>
  <si>
    <t>2008</t>
  </si>
  <si>
    <t>Ava Romero</t>
  </si>
  <si>
    <t>(305) 555-1331</t>
  </si>
  <si>
    <t>ava.romero+2008@demo-hoa.example</t>
  </si>
  <si>
    <t>P4-038</t>
  </si>
  <si>
    <t>P5-179</t>
  </si>
  <si>
    <t>2009</t>
  </si>
  <si>
    <t>Sofia Ruiz</t>
  </si>
  <si>
    <t>(305) 555-1332</t>
  </si>
  <si>
    <t>sofia.ruiz+2009@demo-hoa.example</t>
  </si>
  <si>
    <t>Amelia Cruz</t>
  </si>
  <si>
    <t>P5-018</t>
  </si>
  <si>
    <t>P2-139</t>
  </si>
  <si>
    <t>2010</t>
  </si>
  <si>
    <t>(305) 555-1333</t>
  </si>
  <si>
    <t>abigail.ramirez+2010@demo-hoa.example</t>
  </si>
  <si>
    <t>P2-100</t>
  </si>
  <si>
    <t>P5-196</t>
  </si>
  <si>
    <t>B-004</t>
  </si>
  <si>
    <t>2011</t>
  </si>
  <si>
    <t>Ella Vega</t>
  </si>
  <si>
    <t>(305) 555-1334</t>
  </si>
  <si>
    <t>ella.vega+2011@demo-hoa.example</t>
  </si>
  <si>
    <t>P1-158</t>
  </si>
  <si>
    <t>2012</t>
  </si>
  <si>
    <t>Sebastian Suarez</t>
  </si>
  <si>
    <t>(305) 555-1335</t>
  </si>
  <si>
    <t>sebastian.suarez+2012@demo-hoa.example</t>
  </si>
  <si>
    <t>Olivia Gomez</t>
  </si>
  <si>
    <t>P5-125</t>
  </si>
  <si>
    <t>S-307</t>
  </si>
  <si>
    <t>2013</t>
  </si>
  <si>
    <t>Liam Rivera</t>
  </si>
  <si>
    <t>(305) 555-1336</t>
  </si>
  <si>
    <t>liam.rivera+2013@demo-hoa.example</t>
  </si>
  <si>
    <t>P1-085</t>
  </si>
  <si>
    <t>P5-024</t>
  </si>
  <si>
    <t>S-293</t>
  </si>
  <si>
    <t>2014</t>
  </si>
  <si>
    <t>(305) 555-1337</t>
  </si>
  <si>
    <t>noah.ramirez+2014@demo-hoa.example</t>
  </si>
  <si>
    <t>P2-211</t>
  </si>
  <si>
    <t>P1-073</t>
  </si>
  <si>
    <t>2015</t>
  </si>
  <si>
    <t>(305) 555-1338</t>
  </si>
  <si>
    <t>noah.diaz+2015@demo-hoa.example</t>
  </si>
  <si>
    <t>P2-140</t>
  </si>
  <si>
    <t>P3-264</t>
  </si>
  <si>
    <t>2016</t>
  </si>
  <si>
    <t>Isabella Chavez</t>
  </si>
  <si>
    <t>(305) 555-1339</t>
  </si>
  <si>
    <t>isabella.chavez+2016@demo-hoa.example</t>
  </si>
  <si>
    <t>P3-153</t>
  </si>
  <si>
    <t>2017</t>
  </si>
  <si>
    <t>Benjamin Gomez</t>
  </si>
  <si>
    <t>(305) 555-1340</t>
  </si>
  <si>
    <t>benjamin.gomez+2017@demo-hoa.example</t>
  </si>
  <si>
    <t>P4-187</t>
  </si>
  <si>
    <t>P1-116</t>
  </si>
  <si>
    <t>B-026</t>
  </si>
  <si>
    <t>2101</t>
  </si>
  <si>
    <t>Liam Cruz</t>
  </si>
  <si>
    <t>(305) 555-1341</t>
  </si>
  <si>
    <t>liam.cruz+2101@demo-hoa.example</t>
  </si>
  <si>
    <t>P3-227</t>
  </si>
  <si>
    <t>2102</t>
  </si>
  <si>
    <t>Sebastian Gonzalez</t>
  </si>
  <si>
    <t>(305) 555-1342</t>
  </si>
  <si>
    <t>sebastian.gonzalez+2102@demo-hoa.example</t>
  </si>
  <si>
    <t>Jackson Ruiz</t>
  </si>
  <si>
    <t>P1-059</t>
  </si>
  <si>
    <t>S-107</t>
  </si>
  <si>
    <t>2103</t>
  </si>
  <si>
    <t>Isabella Sanchez</t>
  </si>
  <si>
    <t>(305) 555-1343</t>
  </si>
  <si>
    <t>isabella.sanchez+2103@demo-hoa.example</t>
  </si>
  <si>
    <t>P4-066</t>
  </si>
  <si>
    <t>2104</t>
  </si>
  <si>
    <t>(305) 555-1344</t>
  </si>
  <si>
    <t>liam.flores+2104@demo-hoa.example</t>
  </si>
  <si>
    <t>P5-009</t>
  </si>
  <si>
    <t>S-166</t>
  </si>
  <si>
    <t>2105</t>
  </si>
  <si>
    <t>Amelia Alvarez</t>
  </si>
  <si>
    <t>(305) 555-1345</t>
  </si>
  <si>
    <t>amelia.alvarez+2105@demo-hoa.example</t>
  </si>
  <si>
    <t>P5-115</t>
  </si>
  <si>
    <t>2106</t>
  </si>
  <si>
    <t>Evelyn Mendoza</t>
  </si>
  <si>
    <t>(305) 555-1346</t>
  </si>
  <si>
    <t>evelyn.mendoza+2106@demo-hoa.example</t>
  </si>
  <si>
    <t>Mia Vega</t>
  </si>
  <si>
    <t>P5-094</t>
  </si>
  <si>
    <t>2107</t>
  </si>
  <si>
    <t>Evelyn Flores</t>
  </si>
  <si>
    <t>(305) 555-1347</t>
  </si>
  <si>
    <t>evelyn.flores+2107@demo-hoa.example</t>
  </si>
  <si>
    <t>P3-019</t>
  </si>
  <si>
    <t>P3-203</t>
  </si>
  <si>
    <t>S-209</t>
  </si>
  <si>
    <t>2108</t>
  </si>
  <si>
    <t>Evelyn Torres</t>
  </si>
  <si>
    <t>(305) 555-1348</t>
  </si>
  <si>
    <t>evelyn.torres+2108@demo-hoa.example</t>
  </si>
  <si>
    <t>Henry Martinez</t>
  </si>
  <si>
    <t>P2-037</t>
  </si>
  <si>
    <t>2109</t>
  </si>
  <si>
    <t>Charlotte Alvarez</t>
  </si>
  <si>
    <t>(305) 555-1349</t>
  </si>
  <si>
    <t>charlotte.alvarez+2109@demo-hoa.example</t>
  </si>
  <si>
    <t>P2-122</t>
  </si>
  <si>
    <t>P3-263</t>
  </si>
  <si>
    <t>2110</t>
  </si>
  <si>
    <t>(305) 555-1350</t>
  </si>
  <si>
    <t>benjamin.flores+2110@demo-hoa.example</t>
  </si>
  <si>
    <t>P5-186</t>
  </si>
  <si>
    <t>S-125</t>
  </si>
  <si>
    <t>2111</t>
  </si>
  <si>
    <t>(305) 555-1351</t>
  </si>
  <si>
    <t>sofia.vega+2111@demo-hoa.example</t>
  </si>
  <si>
    <t>P2-190</t>
  </si>
  <si>
    <t>P4-284</t>
  </si>
  <si>
    <t>S-249</t>
  </si>
  <si>
    <t>2112</t>
  </si>
  <si>
    <t>(305) 555-1352</t>
  </si>
  <si>
    <t>logan.romero+2112@demo-hoa.example</t>
  </si>
  <si>
    <t>P2-068</t>
  </si>
  <si>
    <t>P1-037</t>
  </si>
  <si>
    <t>S-114</t>
  </si>
  <si>
    <t>2113</t>
  </si>
  <si>
    <t>Sebastian Ruiz</t>
  </si>
  <si>
    <t>(305) 555-1353</t>
  </si>
  <si>
    <t>sebastian.ruiz+2113@demo-hoa.example</t>
  </si>
  <si>
    <t>P2-281</t>
  </si>
  <si>
    <t>2114</t>
  </si>
  <si>
    <t>(305) 555-1354</t>
  </si>
  <si>
    <t>alexander.vargas+2114@demo-hoa.example</t>
  </si>
  <si>
    <t>P4-204</t>
  </si>
  <si>
    <t>P4-140</t>
  </si>
  <si>
    <t>S-203</t>
  </si>
  <si>
    <t>2115</t>
  </si>
  <si>
    <t>Emily Gomez</t>
  </si>
  <si>
    <t>(305) 555-1355</t>
  </si>
  <si>
    <t>emily.gomez+2115@demo-hoa.example</t>
  </si>
  <si>
    <t>P1-145</t>
  </si>
  <si>
    <t>P2-078</t>
  </si>
  <si>
    <t>S-021</t>
  </si>
  <si>
    <t>2116</t>
  </si>
  <si>
    <t>(305) 555-1356</t>
  </si>
  <si>
    <t>benjamin.ramirez+2116@demo-hoa.example</t>
  </si>
  <si>
    <t>P1-148</t>
  </si>
  <si>
    <t>P4-113</t>
  </si>
  <si>
    <t>2117</t>
  </si>
  <si>
    <t>Madison Martinez</t>
  </si>
  <si>
    <t>(305) 555-1357</t>
  </si>
  <si>
    <t>madison.martinez+2117@demo-hoa.example</t>
  </si>
  <si>
    <t>P4-231</t>
  </si>
  <si>
    <t>P1-150</t>
  </si>
  <si>
    <t>2201</t>
  </si>
  <si>
    <t>Sofia Delgado</t>
  </si>
  <si>
    <t>(305) 555-1358</t>
  </si>
  <si>
    <t>sofia.delgado+2201@demo-hoa.example</t>
  </si>
  <si>
    <t>P3-228</t>
  </si>
  <si>
    <t>B-089</t>
  </si>
  <si>
    <t>S-013</t>
  </si>
  <si>
    <t>2202</t>
  </si>
  <si>
    <t>(305) 555-1359</t>
  </si>
  <si>
    <t>michael.martinez+2202@demo-hoa.example</t>
  </si>
  <si>
    <t>P4-167</t>
  </si>
  <si>
    <t>2203</t>
  </si>
  <si>
    <t>(305) 555-1360</t>
  </si>
  <si>
    <t>mason.suarez+2203@demo-hoa.example</t>
  </si>
  <si>
    <t>P5-078</t>
  </si>
  <si>
    <t>2204</t>
  </si>
  <si>
    <t>Emily Morales</t>
  </si>
  <si>
    <t>(305) 555-1361</t>
  </si>
  <si>
    <t>emily.morales+2204@demo-hoa.example</t>
  </si>
  <si>
    <t>P4-022</t>
  </si>
  <si>
    <t>S-159</t>
  </si>
  <si>
    <t>2205</t>
  </si>
  <si>
    <t>Harper Rodriguez</t>
  </si>
  <si>
    <t>(305) 555-1362</t>
  </si>
  <si>
    <t>harper.rodriguez+2205@demo-hoa.example</t>
  </si>
  <si>
    <t>P5-246</t>
  </si>
  <si>
    <t>S-202</t>
  </si>
  <si>
    <t>2206</t>
  </si>
  <si>
    <t>(305) 555-1363</t>
  </si>
  <si>
    <t>emily.cruz+2206@demo-hoa.example</t>
  </si>
  <si>
    <t>P4-104</t>
  </si>
  <si>
    <t>2207</t>
  </si>
  <si>
    <t>(305) 555-1364</t>
  </si>
  <si>
    <t>evelyn.mendoza+2207@demo-hoa.example</t>
  </si>
  <si>
    <t>P1-081</t>
  </si>
  <si>
    <t>P1-077</t>
  </si>
  <si>
    <t>2208</t>
  </si>
  <si>
    <t>(305) 555-1365</t>
  </si>
  <si>
    <t>sebastian.rivera+2208@demo-hoa.example</t>
  </si>
  <si>
    <t>P1-178</t>
  </si>
  <si>
    <t>P4-266</t>
  </si>
  <si>
    <t>S-236</t>
  </si>
  <si>
    <t>2209</t>
  </si>
  <si>
    <t>(305) 555-1366</t>
  </si>
  <si>
    <t>mia.vega+2209@demo-hoa.example</t>
  </si>
  <si>
    <t>P1-161</t>
  </si>
  <si>
    <t>P4-005</t>
  </si>
  <si>
    <t>S-245</t>
  </si>
  <si>
    <t>2210</t>
  </si>
  <si>
    <t>(305) 555-1367</t>
  </si>
  <si>
    <t>alexander.vega+2210@demo-hoa.example</t>
  </si>
  <si>
    <t>Elijah Ramirez</t>
  </si>
  <si>
    <t>P5-171</t>
  </si>
  <si>
    <t>2211</t>
  </si>
  <si>
    <t>(305) 555-1368</t>
  </si>
  <si>
    <t>ella.ruiz+2211@demo-hoa.example</t>
  </si>
  <si>
    <t>P3-154</t>
  </si>
  <si>
    <t>P5-098</t>
  </si>
  <si>
    <t>B-069</t>
  </si>
  <si>
    <t>S-022</t>
  </si>
  <si>
    <t>2212</t>
  </si>
  <si>
    <t>Liam Lopez</t>
  </si>
  <si>
    <t>(305) 555-1369</t>
  </si>
  <si>
    <t>liam.lopez+2212@demo-hoa.example</t>
  </si>
  <si>
    <t>P1-102</t>
  </si>
  <si>
    <t>2213</t>
  </si>
  <si>
    <t>Mason Rivera</t>
  </si>
  <si>
    <t>(305) 555-1370</t>
  </si>
  <si>
    <t>mason.rivera+2213@demo-hoa.example</t>
  </si>
  <si>
    <t>P5-270</t>
  </si>
  <si>
    <t>P4-157</t>
  </si>
  <si>
    <t>B-005</t>
  </si>
  <si>
    <t>S-153</t>
  </si>
  <si>
    <t>2214</t>
  </si>
  <si>
    <t>Sofia Navarro</t>
  </si>
  <si>
    <t>(305) 555-1371</t>
  </si>
  <si>
    <t>sofia.navarro+2214@demo-hoa.example</t>
  </si>
  <si>
    <t>P2-156</t>
  </si>
  <si>
    <t>P2-021</t>
  </si>
  <si>
    <t>2215</t>
  </si>
  <si>
    <t>Emily Gutierrez</t>
  </si>
  <si>
    <t>(305) 555-1372</t>
  </si>
  <si>
    <t>emily.gutierrez+2215@demo-hoa.example</t>
  </si>
  <si>
    <t>Noah Ortiz</t>
  </si>
  <si>
    <t>P3-255</t>
  </si>
  <si>
    <t>2216</t>
  </si>
  <si>
    <t>James Cruz</t>
  </si>
  <si>
    <t>(305) 555-1373</t>
  </si>
  <si>
    <t>james.cruz+2216@demo-hoa.example</t>
  </si>
  <si>
    <t>Sophia Vargas</t>
  </si>
  <si>
    <t>P3-065</t>
  </si>
  <si>
    <t>P4-065</t>
  </si>
  <si>
    <t>2217</t>
  </si>
  <si>
    <t>Ava Morales</t>
  </si>
  <si>
    <t>(305) 555-1374</t>
  </si>
  <si>
    <t>ava.morales+2217@demo-hoa.example</t>
  </si>
  <si>
    <t>P1-232</t>
  </si>
  <si>
    <t>P2-143</t>
  </si>
  <si>
    <t>2301</t>
  </si>
  <si>
    <t>Emily Sanchez</t>
  </si>
  <si>
    <t>(305) 555-1375</t>
  </si>
  <si>
    <t>emily.sanchez+2301@demo-hoa.example</t>
  </si>
  <si>
    <t>P1-122</t>
  </si>
  <si>
    <t>S-146</t>
  </si>
  <si>
    <t>2302</t>
  </si>
  <si>
    <t>(305) 555-1376</t>
  </si>
  <si>
    <t>madison.rodriguez+2302@demo-hoa.example</t>
  </si>
  <si>
    <t>P1-255</t>
  </si>
  <si>
    <t>S-084</t>
  </si>
  <si>
    <t>2303</t>
  </si>
  <si>
    <t>Ella Rivera</t>
  </si>
  <si>
    <t>(305) 555-1377</t>
  </si>
  <si>
    <t>ella.rivera+2303@demo-hoa.example</t>
  </si>
  <si>
    <t>P4-021</t>
  </si>
  <si>
    <t>2304</t>
  </si>
  <si>
    <t>Harper Vega</t>
  </si>
  <si>
    <t>(305) 555-1378</t>
  </si>
  <si>
    <t>harper.vega+2304@demo-hoa.example</t>
  </si>
  <si>
    <t>P5-029</t>
  </si>
  <si>
    <t>2305</t>
  </si>
  <si>
    <t>(305) 555-1379</t>
  </si>
  <si>
    <t>daniel.rivera+2305@demo-hoa.example</t>
  </si>
  <si>
    <t>P1-153</t>
  </si>
  <si>
    <t>B-010</t>
  </si>
  <si>
    <t>2306</t>
  </si>
  <si>
    <t>(305) 555-1380</t>
  </si>
  <si>
    <t>ava.rivera+2306@demo-hoa.example</t>
  </si>
  <si>
    <t>P1-156</t>
  </si>
  <si>
    <t>2307</t>
  </si>
  <si>
    <t>Jackson Delgado</t>
  </si>
  <si>
    <t>(305) 555-1381</t>
  </si>
  <si>
    <t>jackson.delgado+2307@demo-hoa.example</t>
  </si>
  <si>
    <t>P5-264</t>
  </si>
  <si>
    <t>2308</t>
  </si>
  <si>
    <t>Ella Flores</t>
  </si>
  <si>
    <t>(305) 555-1382</t>
  </si>
  <si>
    <t>ella.flores+2308@demo-hoa.example</t>
  </si>
  <si>
    <t>P1-076</t>
  </si>
  <si>
    <t>P2-220</t>
  </si>
  <si>
    <t>B-056</t>
  </si>
  <si>
    <t>S-200</t>
  </si>
  <si>
    <t>2309</t>
  </si>
  <si>
    <t>Elijah Vega</t>
  </si>
  <si>
    <t>(305) 555-1383</t>
  </si>
  <si>
    <t>elijah.vega+2309@demo-hoa.example</t>
  </si>
  <si>
    <t>P2-127</t>
  </si>
  <si>
    <t>P1-067</t>
  </si>
  <si>
    <t>S-227</t>
  </si>
  <si>
    <t>2310</t>
  </si>
  <si>
    <t>Mia Ruiz</t>
  </si>
  <si>
    <t>(305) 555-1384</t>
  </si>
  <si>
    <t>mia.ruiz+2310@demo-hoa.example</t>
  </si>
  <si>
    <t>Evelyn Alvarez</t>
  </si>
  <si>
    <t>P5-240</t>
  </si>
  <si>
    <t>2311</t>
  </si>
  <si>
    <t>Olivia Morales</t>
  </si>
  <si>
    <t>(305) 555-1385</t>
  </si>
  <si>
    <t>olivia.morales+2311@demo-hoa.example</t>
  </si>
  <si>
    <t>Grace Martinez</t>
  </si>
  <si>
    <t>P2-206</t>
  </si>
  <si>
    <t>B-015</t>
  </si>
  <si>
    <t>2312</t>
  </si>
  <si>
    <t>(305) 555-1386</t>
  </si>
  <si>
    <t>logan.rivera+2312@demo-hoa.example</t>
  </si>
  <si>
    <t>P4-240</t>
  </si>
  <si>
    <t>2313</t>
  </si>
  <si>
    <t>(305) 555-1387</t>
  </si>
  <si>
    <t>james.chavez+2313@demo-hoa.example</t>
  </si>
  <si>
    <t>P1-053</t>
  </si>
  <si>
    <t>P1-189</t>
  </si>
  <si>
    <t>S-041</t>
  </si>
  <si>
    <t>2314</t>
  </si>
  <si>
    <t>(305) 555-1388</t>
  </si>
  <si>
    <t>olivia.chavez+2314@demo-hoa.example</t>
  </si>
  <si>
    <t>P4-197</t>
  </si>
  <si>
    <t>P5-077</t>
  </si>
  <si>
    <t>S-088</t>
  </si>
  <si>
    <t>2315</t>
  </si>
  <si>
    <t>Ethan Mendoza</t>
  </si>
  <si>
    <t>(305) 555-1389</t>
  </si>
  <si>
    <t>ethan.mendoza+2315@demo-hoa.example</t>
  </si>
  <si>
    <t>P5-113</t>
  </si>
  <si>
    <t>P2-197</t>
  </si>
  <si>
    <t>2316</t>
  </si>
  <si>
    <t>Sofia Suarez</t>
  </si>
  <si>
    <t>(305) 555-1390</t>
  </si>
  <si>
    <t>sofia.suarez+2316@demo-hoa.example</t>
  </si>
  <si>
    <t>Daniel Delgado</t>
  </si>
  <si>
    <t>P2-008</t>
  </si>
  <si>
    <t>2317</t>
  </si>
  <si>
    <t>(305) 555-1391</t>
  </si>
  <si>
    <t>sofia.suarez+2317@demo-hoa.example</t>
  </si>
  <si>
    <t>P3-088</t>
  </si>
  <si>
    <t>P1-106</t>
  </si>
  <si>
    <t>S-280</t>
  </si>
  <si>
    <t>2401</t>
  </si>
  <si>
    <t>Elijah Lopez</t>
  </si>
  <si>
    <t>(305) 555-1392</t>
  </si>
  <si>
    <t>elijah.lopez+2401@demo-hoa.example</t>
  </si>
  <si>
    <t>P3-035</t>
  </si>
  <si>
    <t>S-108</t>
  </si>
  <si>
    <t>2402</t>
  </si>
  <si>
    <t>Ella Mendoza</t>
  </si>
  <si>
    <t>(305) 555-1393</t>
  </si>
  <si>
    <t>ella.mendoza+2402@demo-hoa.example</t>
  </si>
  <si>
    <t>P2-275</t>
  </si>
  <si>
    <t>2403</t>
  </si>
  <si>
    <t>Lucas Vargas</t>
  </si>
  <si>
    <t>(305) 555-1394</t>
  </si>
  <si>
    <t>lucas.vargas+2403@demo-hoa.example</t>
  </si>
  <si>
    <t>P2-016</t>
  </si>
  <si>
    <t>S-097</t>
  </si>
  <si>
    <t>2404</t>
  </si>
  <si>
    <t>Benjamin Ramos</t>
  </si>
  <si>
    <t>(305) 555-1395</t>
  </si>
  <si>
    <t>benjamin.ramos+2404@demo-hoa.example</t>
  </si>
  <si>
    <t>P1-056</t>
  </si>
  <si>
    <t>2405</t>
  </si>
  <si>
    <t>(305) 555-1396</t>
  </si>
  <si>
    <t>harper.rivera+2405@demo-hoa.example</t>
  </si>
  <si>
    <t>P1-047</t>
  </si>
  <si>
    <t>2406</t>
  </si>
  <si>
    <t>Charlotte Rivera</t>
  </si>
  <si>
    <t>(305) 555-1397</t>
  </si>
  <si>
    <t>charlotte.rivera+2406@demo-hoa.example</t>
  </si>
  <si>
    <t>Elijah Castillo</t>
  </si>
  <si>
    <t>P1-281</t>
  </si>
  <si>
    <t>S-304</t>
  </si>
  <si>
    <t>2407</t>
  </si>
  <si>
    <t>(305) 555-1398</t>
  </si>
  <si>
    <t>charlotte.vargas+2407@demo-hoa.example</t>
  </si>
  <si>
    <t>P3-178</t>
  </si>
  <si>
    <t>P3-171</t>
  </si>
  <si>
    <t>S-136</t>
  </si>
  <si>
    <t>2408</t>
  </si>
  <si>
    <t>Abigail Rodriguez</t>
  </si>
  <si>
    <t>(305) 555-1399</t>
  </si>
  <si>
    <t>abigail.rodriguez+2408@demo-hoa.example</t>
  </si>
  <si>
    <t>Alexander Gutierrez</t>
  </si>
  <si>
    <t>P5-076</t>
  </si>
  <si>
    <t>S-024</t>
  </si>
  <si>
    <t>2409</t>
  </si>
  <si>
    <t>Jackson Rodriguez</t>
  </si>
  <si>
    <t>(305) 555-1400</t>
  </si>
  <si>
    <t>jackson.rodriguez+2409@demo-hoa.example</t>
  </si>
  <si>
    <t>Lucas Reyes</t>
  </si>
  <si>
    <t>P2-026</t>
  </si>
  <si>
    <t>P1-184</t>
  </si>
  <si>
    <t>S-276</t>
  </si>
  <si>
    <t>2410</t>
  </si>
  <si>
    <t>Logan Diaz</t>
  </si>
  <si>
    <t>(305) 555-1401</t>
  </si>
  <si>
    <t>logan.diaz+2410@demo-hoa.example</t>
  </si>
  <si>
    <t>P2-086</t>
  </si>
  <si>
    <t>S-163</t>
  </si>
  <si>
    <t>2411</t>
  </si>
  <si>
    <t>Sophia Romero</t>
  </si>
  <si>
    <t>(305) 555-1402</t>
  </si>
  <si>
    <t>sophia.romero+2411@demo-hoa.example</t>
  </si>
  <si>
    <t>P1-233</t>
  </si>
  <si>
    <t>2412</t>
  </si>
  <si>
    <t>(305) 555-1403</t>
  </si>
  <si>
    <t>sofia.vargas+2412@demo-hoa.example</t>
  </si>
  <si>
    <t>Sebastian Reyes</t>
  </si>
  <si>
    <t>P4-196</t>
  </si>
  <si>
    <t>P5-053</t>
  </si>
  <si>
    <t>2413</t>
  </si>
  <si>
    <t>(305) 555-1404</t>
  </si>
  <si>
    <t>elijah.navarro+2413@demo-hoa.example</t>
  </si>
  <si>
    <t>P5-232</t>
  </si>
  <si>
    <t>2414</t>
  </si>
  <si>
    <t>(305) 555-1405</t>
  </si>
  <si>
    <t>sofia.gomez+2414@demo-hoa.example</t>
  </si>
  <si>
    <t>P2-006</t>
  </si>
  <si>
    <t>P2-254</t>
  </si>
  <si>
    <t>2415</t>
  </si>
  <si>
    <t>Grace Vargas</t>
  </si>
  <si>
    <t>(305) 555-1406</t>
  </si>
  <si>
    <t>grace.vargas+2415@demo-hoa.example</t>
  </si>
  <si>
    <t>P3-240</t>
  </si>
  <si>
    <t>P3-235</t>
  </si>
  <si>
    <t>2416</t>
  </si>
  <si>
    <t>(305) 555-1407</t>
  </si>
  <si>
    <t>olivia.chavez+2416@demo-hoa.example</t>
  </si>
  <si>
    <t>P1-222</t>
  </si>
  <si>
    <t>2417</t>
  </si>
  <si>
    <t>Liam Mendoza</t>
  </si>
  <si>
    <t>(305) 555-1408</t>
  </si>
  <si>
    <t>liam.mendoza+2417@demo-hoa.example</t>
  </si>
  <si>
    <t>P4-082</t>
  </si>
  <si>
    <t>P4-213</t>
  </si>
  <si>
    <t>2501</t>
  </si>
  <si>
    <t>Mason Delgado</t>
  </si>
  <si>
    <t>(305) 555-1409</t>
  </si>
  <si>
    <t>mason.delgado+2501@demo-hoa.example</t>
  </si>
  <si>
    <t>P5-187</t>
  </si>
  <si>
    <t>B-083</t>
  </si>
  <si>
    <t>2502</t>
  </si>
  <si>
    <t>Alexander Torres</t>
  </si>
  <si>
    <t>(305) 555-1410</t>
  </si>
  <si>
    <t>alexander.torres+2502@demo-hoa.example</t>
  </si>
  <si>
    <t>P1-123</t>
  </si>
  <si>
    <t>S-195</t>
  </si>
  <si>
    <t>2503</t>
  </si>
  <si>
    <t>Henry Perez</t>
  </si>
  <si>
    <t>(305) 555-1411</t>
  </si>
  <si>
    <t>henry.perez+2503@demo-hoa.example</t>
  </si>
  <si>
    <t>P5-122</t>
  </si>
  <si>
    <t>S-018</t>
  </si>
  <si>
    <t>2504</t>
  </si>
  <si>
    <t>Alexander Cruz</t>
  </si>
  <si>
    <t>(305) 555-1412</t>
  </si>
  <si>
    <t>alexander.cruz+2504@demo-hoa.example</t>
  </si>
  <si>
    <t>P4-216</t>
  </si>
  <si>
    <t>2505</t>
  </si>
  <si>
    <t>(305) 555-1413</t>
  </si>
  <si>
    <t>madison.ruiz+2505@demo-hoa.example</t>
  </si>
  <si>
    <t>P3-139</t>
  </si>
  <si>
    <t>S-103</t>
  </si>
  <si>
    <t>2506</t>
  </si>
  <si>
    <t>Sofia Diaz</t>
  </si>
  <si>
    <t>(305) 555-1414</t>
  </si>
  <si>
    <t>sofia.diaz+2506@demo-hoa.example</t>
  </si>
  <si>
    <t>P3-220</t>
  </si>
  <si>
    <t>2507</t>
  </si>
  <si>
    <t>(305) 555-1415</t>
  </si>
  <si>
    <t>evelyn.alvarez+2507@demo-hoa.example</t>
  </si>
  <si>
    <t>P5-104</t>
  </si>
  <si>
    <t>S-208</t>
  </si>
  <si>
    <t>2508</t>
  </si>
  <si>
    <t>(305) 555-1416</t>
  </si>
  <si>
    <t>henry.lopez+2508@demo-hoa.example</t>
  </si>
  <si>
    <t>P4-126</t>
  </si>
  <si>
    <t>P1-278</t>
  </si>
  <si>
    <t>2509</t>
  </si>
  <si>
    <t>(305) 555-1417</t>
  </si>
  <si>
    <t>sofia.perez+2509@demo-hoa.example</t>
  </si>
  <si>
    <t>P2-181</t>
  </si>
  <si>
    <t>P3-196</t>
  </si>
  <si>
    <t>B-032</t>
  </si>
  <si>
    <t>S-145</t>
  </si>
  <si>
    <t>2510</t>
  </si>
  <si>
    <t>James Ramirez</t>
  </si>
  <si>
    <t>(305) 555-1418</t>
  </si>
  <si>
    <t>james.ramirez+2510@demo-hoa.example</t>
  </si>
  <si>
    <t>Michael Flores</t>
  </si>
  <si>
    <t>P5-217</t>
  </si>
  <si>
    <t>P5-281</t>
  </si>
  <si>
    <t>B-058</t>
  </si>
  <si>
    <t>2511</t>
  </si>
  <si>
    <t>Alexander Gonzalez</t>
  </si>
  <si>
    <t>(305) 555-1419</t>
  </si>
  <si>
    <t>alexander.gonzalez+2511@demo-hoa.example</t>
  </si>
  <si>
    <t>P4-175</t>
  </si>
  <si>
    <t>P2-069</t>
  </si>
  <si>
    <t>2512</t>
  </si>
  <si>
    <t>(305) 555-1420</t>
  </si>
  <si>
    <t>daniel.cruz+2512@demo-hoa.example</t>
  </si>
  <si>
    <t>P3-260</t>
  </si>
  <si>
    <t>P4-211</t>
  </si>
  <si>
    <t>2513</t>
  </si>
  <si>
    <t>Liam Diaz</t>
  </si>
  <si>
    <t>(305) 555-1421</t>
  </si>
  <si>
    <t>liam.diaz+2513@demo-hoa.example</t>
  </si>
  <si>
    <t>P5-043</t>
  </si>
  <si>
    <t>P3-120</t>
  </si>
  <si>
    <t>2514</t>
  </si>
  <si>
    <t>(305) 555-1422</t>
  </si>
  <si>
    <t>isabella.vargas+2514@demo-hoa.example</t>
  </si>
  <si>
    <t>P5-126</t>
  </si>
  <si>
    <t>P5-164</t>
  </si>
  <si>
    <t>2515</t>
  </si>
  <si>
    <t>Noah Ramos</t>
  </si>
  <si>
    <t>(305) 555-1423</t>
  </si>
  <si>
    <t>noah.ramos+2515@demo-hoa.example</t>
  </si>
  <si>
    <t>P3-177</t>
  </si>
  <si>
    <t>B-014</t>
  </si>
  <si>
    <t>2516</t>
  </si>
  <si>
    <t>Olivia Vega</t>
  </si>
  <si>
    <t>(305) 555-1424</t>
  </si>
  <si>
    <t>olivia.vega+2516@demo-hoa.example</t>
  </si>
  <si>
    <t>P1-227</t>
  </si>
  <si>
    <t>P2-018</t>
  </si>
  <si>
    <t>S-037</t>
  </si>
  <si>
    <t>2517</t>
  </si>
  <si>
    <t>Ava Diaz</t>
  </si>
  <si>
    <t>(305) 555-1425</t>
  </si>
  <si>
    <t>ava.diaz+2517@demo-hoa.example</t>
  </si>
  <si>
    <t>P4-165</t>
  </si>
  <si>
    <t>P1-018</t>
  </si>
  <si>
    <t>2601</t>
  </si>
  <si>
    <t>(305) 555-1426</t>
  </si>
  <si>
    <t>emily.hernandez+2601@demo-hoa.example</t>
  </si>
  <si>
    <t>P2-175</t>
  </si>
  <si>
    <t>S-204</t>
  </si>
  <si>
    <t>2602</t>
  </si>
  <si>
    <t>(305) 555-1427</t>
  </si>
  <si>
    <t>charlotte.alvarez+2602@demo-hoa.example</t>
  </si>
  <si>
    <t>P2-219</t>
  </si>
  <si>
    <t>S-002</t>
  </si>
  <si>
    <t>2603</t>
  </si>
  <si>
    <t>(305) 555-1428</t>
  </si>
  <si>
    <t>isabella.gonzalez+2603@demo-hoa.example</t>
  </si>
  <si>
    <t>P5-067</t>
  </si>
  <si>
    <t>B-012</t>
  </si>
  <si>
    <t>S-230</t>
  </si>
  <si>
    <t>2604</t>
  </si>
  <si>
    <t>Emily Flores</t>
  </si>
  <si>
    <t>(305) 555-1429</t>
  </si>
  <si>
    <t>emily.flores+2604@demo-hoa.example</t>
  </si>
  <si>
    <t>Elijah Chavez</t>
  </si>
  <si>
    <t>P1-247</t>
  </si>
  <si>
    <t>B-063</t>
  </si>
  <si>
    <t>2605</t>
  </si>
  <si>
    <t>(305) 555-1430</t>
  </si>
  <si>
    <t>emily.alvarez+2605@demo-hoa.example</t>
  </si>
  <si>
    <t>P3-001</t>
  </si>
  <si>
    <t>2606</t>
  </si>
  <si>
    <t>Sophia Ortiz</t>
  </si>
  <si>
    <t>(305) 555-1431</t>
  </si>
  <si>
    <t>sophia.ortiz+2606@demo-hoa.example</t>
  </si>
  <si>
    <t>P4-238</t>
  </si>
  <si>
    <t>2607</t>
  </si>
  <si>
    <t>Liam Vega</t>
  </si>
  <si>
    <t>(305) 555-1432</t>
  </si>
  <si>
    <t>liam.vega+2607@demo-hoa.example</t>
  </si>
  <si>
    <t>P4-261</t>
  </si>
  <si>
    <t>P5-087</t>
  </si>
  <si>
    <t>2608</t>
  </si>
  <si>
    <t>Henry Vargas</t>
  </si>
  <si>
    <t>(305) 555-1433</t>
  </si>
  <si>
    <t>henry.vargas+2608@demo-hoa.example</t>
  </si>
  <si>
    <t>P1-088</t>
  </si>
  <si>
    <t>P1-196</t>
  </si>
  <si>
    <t>2609</t>
  </si>
  <si>
    <t>(305) 555-1434</t>
  </si>
  <si>
    <t>olivia.ruiz+2609@demo-hoa.example</t>
  </si>
  <si>
    <t>P2-246</t>
  </si>
  <si>
    <t>B-054</t>
  </si>
  <si>
    <t>S-087</t>
  </si>
  <si>
    <t>2610</t>
  </si>
  <si>
    <t>(305) 555-1435</t>
  </si>
  <si>
    <t>ethan.mendoza+2610@demo-hoa.example</t>
  </si>
  <si>
    <t>P1-011</t>
  </si>
  <si>
    <t>P5-216</t>
  </si>
  <si>
    <t>2611</t>
  </si>
  <si>
    <t>(305) 555-1436</t>
  </si>
  <si>
    <t>noah.rodriguez+2611@demo-hoa.example</t>
  </si>
  <si>
    <t>P1-283</t>
  </si>
  <si>
    <t>P5-102</t>
  </si>
  <si>
    <t>S-242</t>
  </si>
  <si>
    <t>2612</t>
  </si>
  <si>
    <t>Evelyn Morales</t>
  </si>
  <si>
    <t>(305) 555-1437</t>
  </si>
  <si>
    <t>evelyn.morales+2612@demo-hoa.example</t>
  </si>
  <si>
    <t>P2-003</t>
  </si>
  <si>
    <t>P2-065</t>
  </si>
  <si>
    <t>2613</t>
  </si>
  <si>
    <t>(305) 555-1438</t>
  </si>
  <si>
    <t>mason.gomez+2613@demo-hoa.example</t>
  </si>
  <si>
    <t>P1-265</t>
  </si>
  <si>
    <t>P2-080</t>
  </si>
  <si>
    <t>2614</t>
  </si>
  <si>
    <t>Daniel Sanchez</t>
  </si>
  <si>
    <t>(305) 555-1439</t>
  </si>
  <si>
    <t>daniel.sanchez+2614@demo-hoa.example</t>
  </si>
  <si>
    <t>P5-229</t>
  </si>
  <si>
    <t>2615</t>
  </si>
  <si>
    <t>(305) 555-1440</t>
  </si>
  <si>
    <t>mason.sanchez+2615@demo-hoa.example</t>
  </si>
  <si>
    <t>P4-102</t>
  </si>
  <si>
    <t>P3-159</t>
  </si>
  <si>
    <t>S-225</t>
  </si>
  <si>
    <t>2616</t>
  </si>
  <si>
    <t>(305) 555-1441</t>
  </si>
  <si>
    <t>henry.rodriguez+2616@demo-hoa.example</t>
  </si>
  <si>
    <t>P4-181</t>
  </si>
  <si>
    <t>P4-003</t>
  </si>
  <si>
    <t>S-180</t>
  </si>
  <si>
    <t>2617</t>
  </si>
  <si>
    <t>Daniel Vega</t>
  </si>
  <si>
    <t>(305) 555-1442</t>
  </si>
  <si>
    <t>daniel.vega+2617@demo-hoa.example</t>
  </si>
  <si>
    <t>P3-182</t>
  </si>
  <si>
    <t>P3-150</t>
  </si>
  <si>
    <t>B-002</t>
  </si>
  <si>
    <t>S-070</t>
  </si>
  <si>
    <t>2701</t>
  </si>
  <si>
    <t>(305) 555-1443</t>
  </si>
  <si>
    <t>elijah.martinez+2701@demo-hoa.example</t>
  </si>
  <si>
    <t>P3-057</t>
  </si>
  <si>
    <t>2702</t>
  </si>
  <si>
    <t>(305) 555-1444</t>
  </si>
  <si>
    <t>michael.sanchez+2702@demo-hoa.example</t>
  </si>
  <si>
    <t>P5-028</t>
  </si>
  <si>
    <t>2703</t>
  </si>
  <si>
    <t>Jackson Morales</t>
  </si>
  <si>
    <t>(305) 555-1445</t>
  </si>
  <si>
    <t>jackson.morales+2703@demo-hoa.example</t>
  </si>
  <si>
    <t>P3-262</t>
  </si>
  <si>
    <t>2704</t>
  </si>
  <si>
    <t>Grace Perez</t>
  </si>
  <si>
    <t>(305) 555-1446</t>
  </si>
  <si>
    <t>grace.perez+2704@demo-hoa.example</t>
  </si>
  <si>
    <t>Abigail Chavez</t>
  </si>
  <si>
    <t>P4-001</t>
  </si>
  <si>
    <t>S-265</t>
  </si>
  <si>
    <t>2705</t>
  </si>
  <si>
    <t>(305) 555-1447</t>
  </si>
  <si>
    <t>michael.reyes+2705@demo-hoa.example</t>
  </si>
  <si>
    <t>P2-178</t>
  </si>
  <si>
    <t>2706</t>
  </si>
  <si>
    <t>Benjamin Martinez</t>
  </si>
  <si>
    <t>(305) 555-1448</t>
  </si>
  <si>
    <t>benjamin.martinez+2706@demo-hoa.example</t>
  </si>
  <si>
    <t>Liam Ortiz</t>
  </si>
  <si>
    <t>P4-141</t>
  </si>
  <si>
    <t>S-008</t>
  </si>
  <si>
    <t>2707</t>
  </si>
  <si>
    <t>(305) 555-1449</t>
  </si>
  <si>
    <t>madison.rodriguez+2707@demo-hoa.example</t>
  </si>
  <si>
    <t>P5-238</t>
  </si>
  <si>
    <t>S-069</t>
  </si>
  <si>
    <t>2708</t>
  </si>
  <si>
    <t>Mason Perez</t>
  </si>
  <si>
    <t>(305) 555-1450</t>
  </si>
  <si>
    <t>mason.perez+2708@demo-hoa.example</t>
  </si>
  <si>
    <t>P1-252</t>
  </si>
  <si>
    <t>2709</t>
  </si>
  <si>
    <t>(305) 555-1451</t>
  </si>
  <si>
    <t>jackson.gomez+2709@demo-hoa.example</t>
  </si>
  <si>
    <t>P4-205</t>
  </si>
  <si>
    <t>B-024</t>
  </si>
  <si>
    <t>2710</t>
  </si>
  <si>
    <t>Madison Torres</t>
  </si>
  <si>
    <t>(305) 555-1452</t>
  </si>
  <si>
    <t>madison.torres+2710@demo-hoa.example</t>
  </si>
  <si>
    <t>P1-275</t>
  </si>
  <si>
    <t>2711</t>
  </si>
  <si>
    <t>Sebastian Alvarez</t>
  </si>
  <si>
    <t>(305) 555-1453</t>
  </si>
  <si>
    <t>sebastian.alvarez+2711@demo-hoa.example</t>
  </si>
  <si>
    <t>P3-283</t>
  </si>
  <si>
    <t>P3-184</t>
  </si>
  <si>
    <t>S-178</t>
  </si>
  <si>
    <t>2712</t>
  </si>
  <si>
    <t>(305) 555-1454</t>
  </si>
  <si>
    <t>sofia.hernandez+2712@demo-hoa.example</t>
  </si>
  <si>
    <t>P5-247</t>
  </si>
  <si>
    <t>P2-212</t>
  </si>
  <si>
    <t>2713</t>
  </si>
  <si>
    <t>(305) 555-1455</t>
  </si>
  <si>
    <t>sofia.sanchez+2713@demo-hoa.example</t>
  </si>
  <si>
    <t>Madison Romero</t>
  </si>
  <si>
    <t>P4-097</t>
  </si>
  <si>
    <t>P4-063</t>
  </si>
  <si>
    <t>2714</t>
  </si>
  <si>
    <t>(305) 555-1456</t>
  </si>
  <si>
    <t>evelyn.gutierrez+2714@demo-hoa.example</t>
  </si>
  <si>
    <t>P1-277</t>
  </si>
  <si>
    <t>2715</t>
  </si>
  <si>
    <t>Henry Vega</t>
  </si>
  <si>
    <t>(305) 555-1457</t>
  </si>
  <si>
    <t>henry.vega+2715@demo-hoa.example</t>
  </si>
  <si>
    <t>P5-080</t>
  </si>
  <si>
    <t>P5-049</t>
  </si>
  <si>
    <t>2716</t>
  </si>
  <si>
    <t>Elijah Gonzalez</t>
  </si>
  <si>
    <t>(305) 555-1458</t>
  </si>
  <si>
    <t>elijah.gonzalez+2716@demo-hoa.example</t>
  </si>
  <si>
    <t>Jackson Sanchez</t>
  </si>
  <si>
    <t>P5-001</t>
  </si>
  <si>
    <t>P3-130</t>
  </si>
  <si>
    <t>S-247</t>
  </si>
  <si>
    <t>2717</t>
  </si>
  <si>
    <t>Ava Flores</t>
  </si>
  <si>
    <t>(305) 555-1459</t>
  </si>
  <si>
    <t>ava.flores+2717@demo-hoa.example</t>
  </si>
  <si>
    <t>Isabella Hernandez</t>
  </si>
  <si>
    <t>P2-187</t>
  </si>
  <si>
    <t>P2-087</t>
  </si>
  <si>
    <t>S-156</t>
  </si>
  <si>
    <t>2801</t>
  </si>
  <si>
    <t>(305) 555-1460</t>
  </si>
  <si>
    <t>mason.ramos+2801@demo-hoa.example</t>
  </si>
  <si>
    <t>P2-160</t>
  </si>
  <si>
    <t>S-007</t>
  </si>
  <si>
    <t>2802</t>
  </si>
  <si>
    <t>(305) 555-1461</t>
  </si>
  <si>
    <t>madison.navarro+2802@demo-hoa.example</t>
  </si>
  <si>
    <t>P1-109</t>
  </si>
  <si>
    <t>2803</t>
  </si>
  <si>
    <t>(305) 555-1462</t>
  </si>
  <si>
    <t>sofia.vega+2803@demo-hoa.example</t>
  </si>
  <si>
    <t>P5-201</t>
  </si>
  <si>
    <t>B-073</t>
  </si>
  <si>
    <t>S-302</t>
  </si>
  <si>
    <t>2804</t>
  </si>
  <si>
    <t>(305) 555-1463</t>
  </si>
  <si>
    <t>logan.mendoza+2804@demo-hoa.example</t>
  </si>
  <si>
    <t>P3-205</t>
  </si>
  <si>
    <t>S-299</t>
  </si>
  <si>
    <t>2805</t>
  </si>
  <si>
    <t>Sebastian Rodriguez</t>
  </si>
  <si>
    <t>(305) 555-1464</t>
  </si>
  <si>
    <t>sebastian.rodriguez+2805@demo-hoa.example</t>
  </si>
  <si>
    <t>P1-013</t>
  </si>
  <si>
    <t>S-173</t>
  </si>
  <si>
    <t>2806</t>
  </si>
  <si>
    <t>(305) 555-1465</t>
  </si>
  <si>
    <t>logan.gutierrez+2806@demo-hoa.example</t>
  </si>
  <si>
    <t>Olivia Castillo</t>
  </si>
  <si>
    <t>P2-066</t>
  </si>
  <si>
    <t>2807</t>
  </si>
  <si>
    <t>Michael Ortiz</t>
  </si>
  <si>
    <t>(305) 555-1466</t>
  </si>
  <si>
    <t>michael.ortiz+2807@demo-hoa.example</t>
  </si>
  <si>
    <t>P2-235</t>
  </si>
  <si>
    <t>P3-138</t>
  </si>
  <si>
    <t>S-158</t>
  </si>
  <si>
    <t>2808</t>
  </si>
  <si>
    <t>(305) 555-1467</t>
  </si>
  <si>
    <t>isabella.ramos+2808@demo-hoa.example</t>
  </si>
  <si>
    <t>P2-096</t>
  </si>
  <si>
    <t>P3-162</t>
  </si>
  <si>
    <t>2809</t>
  </si>
  <si>
    <t>(305) 555-1468</t>
  </si>
  <si>
    <t>noah.gutierrez+2809@demo-hoa.example</t>
  </si>
  <si>
    <t>P2-262</t>
  </si>
  <si>
    <t>P2-072</t>
  </si>
  <si>
    <t>2810</t>
  </si>
  <si>
    <t>(305) 555-1469</t>
  </si>
  <si>
    <t>benjamin.gomez+2810@demo-hoa.example</t>
  </si>
  <si>
    <t>P1-043</t>
  </si>
  <si>
    <t>P3-012</t>
  </si>
  <si>
    <t>S-160</t>
  </si>
  <si>
    <t>2811</t>
  </si>
  <si>
    <t>(305) 555-1470</t>
  </si>
  <si>
    <t>henry.romero+2811@demo-hoa.example</t>
  </si>
  <si>
    <t>P1-124</t>
  </si>
  <si>
    <t>2812</t>
  </si>
  <si>
    <t>(305) 555-1471</t>
  </si>
  <si>
    <t>elijah.navarro+2812@demo-hoa.example</t>
  </si>
  <si>
    <t>P5-173</t>
  </si>
  <si>
    <t>P4-061</t>
  </si>
  <si>
    <t>S-210</t>
  </si>
  <si>
    <t>2813</t>
  </si>
  <si>
    <t>Amelia Reyes</t>
  </si>
  <si>
    <t>(305) 555-1472</t>
  </si>
  <si>
    <t>amelia.reyes+2813@demo-hoa.example</t>
  </si>
  <si>
    <t>P4-214</t>
  </si>
  <si>
    <t>P1-249</t>
  </si>
  <si>
    <t>2814</t>
  </si>
  <si>
    <t>(305) 555-1473</t>
  </si>
  <si>
    <t>liam.ruiz+2814@demo-hoa.example</t>
  </si>
  <si>
    <t>P4-281</t>
  </si>
  <si>
    <t>2815</t>
  </si>
  <si>
    <t>Mason Castillo</t>
  </si>
  <si>
    <t>(305) 555-1474</t>
  </si>
  <si>
    <t>mason.castillo+2815@demo-hoa.example</t>
  </si>
  <si>
    <t>P4-006</t>
  </si>
  <si>
    <t>2816</t>
  </si>
  <si>
    <t>Mia Suarez</t>
  </si>
  <si>
    <t>(305) 555-1475</t>
  </si>
  <si>
    <t>mia.suarez+2816@demo-hoa.example</t>
  </si>
  <si>
    <t>P1-078</t>
  </si>
  <si>
    <t>P4-020</t>
  </si>
  <si>
    <t>B-028</t>
  </si>
  <si>
    <t>2817</t>
  </si>
  <si>
    <t>Elijah Mendoza</t>
  </si>
  <si>
    <t>(305) 555-1476</t>
  </si>
  <si>
    <t>elijah.mendoza+2817@demo-hoa.example</t>
  </si>
  <si>
    <t>P2-123</t>
  </si>
  <si>
    <t>P2-101</t>
  </si>
  <si>
    <t>B-055</t>
  </si>
  <si>
    <t>2901</t>
  </si>
  <si>
    <t>Sofia Gonzalez</t>
  </si>
  <si>
    <t>(305) 555-1477</t>
  </si>
  <si>
    <t>sofia.gonzalez+2901@demo-hoa.example</t>
  </si>
  <si>
    <t>P3-200</t>
  </si>
  <si>
    <t>B-060</t>
  </si>
  <si>
    <t>S-197</t>
  </si>
  <si>
    <t>2902</t>
  </si>
  <si>
    <t>Sebastian Hernandez</t>
  </si>
  <si>
    <t>(305) 555-1478</t>
  </si>
  <si>
    <t>sebastian.hernandez+2902@demo-hoa.example</t>
  </si>
  <si>
    <t>P2-036</t>
  </si>
  <si>
    <t>2903</t>
  </si>
  <si>
    <t>(305) 555-1479</t>
  </si>
  <si>
    <t>olivia.ruiz+2903@demo-hoa.example</t>
  </si>
  <si>
    <t>P1-027</t>
  </si>
  <si>
    <t>2904</t>
  </si>
  <si>
    <t>Sophia Rodriguez</t>
  </si>
  <si>
    <t>(305) 555-1480</t>
  </si>
  <si>
    <t>sophia.rodriguez+2904@demo-hoa.example</t>
  </si>
  <si>
    <t>P5-221</t>
  </si>
  <si>
    <t>S-144</t>
  </si>
  <si>
    <t>2905</t>
  </si>
  <si>
    <t>(305) 555-1481</t>
  </si>
  <si>
    <t>evelyn.ramirez+2905@demo-hoa.example</t>
  </si>
  <si>
    <t>P4-169</t>
  </si>
  <si>
    <t>2906</t>
  </si>
  <si>
    <t>Noah Lopez</t>
  </si>
  <si>
    <t>(305) 555-1482</t>
  </si>
  <si>
    <t>noah.lopez+2906@demo-hoa.example</t>
  </si>
  <si>
    <t>P4-224</t>
  </si>
  <si>
    <t>2907</t>
  </si>
  <si>
    <t>(305) 555-1483</t>
  </si>
  <si>
    <t>alexander.gutierrez+2907@demo-hoa.example</t>
  </si>
  <si>
    <t>Madison Rivera</t>
  </si>
  <si>
    <t>P4-263</t>
  </si>
  <si>
    <t>P5-083</t>
  </si>
  <si>
    <t>2908</t>
  </si>
  <si>
    <t>(305) 555-1484</t>
  </si>
  <si>
    <t>noah.reyes+2908@demo-hoa.example</t>
  </si>
  <si>
    <t>P4-050</t>
  </si>
  <si>
    <t>B-006</t>
  </si>
  <si>
    <t>2909</t>
  </si>
  <si>
    <t>Daniel Gutierrez</t>
  </si>
  <si>
    <t>(305) 555-1485</t>
  </si>
  <si>
    <t>daniel.gutierrez+2909@demo-hoa.example</t>
  </si>
  <si>
    <t>P4-115</t>
  </si>
  <si>
    <t>P1-172</t>
  </si>
  <si>
    <t>2910</t>
  </si>
  <si>
    <t>(305) 555-1486</t>
  </si>
  <si>
    <t>isabella.ramos+2910@demo-hoa.example</t>
  </si>
  <si>
    <t>Grace Sanchez</t>
  </si>
  <si>
    <t>P2-094</t>
  </si>
  <si>
    <t>P5-103</t>
  </si>
  <si>
    <t>S-229</t>
  </si>
  <si>
    <t>2911</t>
  </si>
  <si>
    <t>(305) 555-1487</t>
  </si>
  <si>
    <t>madison.romero+2911@demo-hoa.example</t>
  </si>
  <si>
    <t>P4-129</t>
  </si>
  <si>
    <t>P5-042</t>
  </si>
  <si>
    <t>2912</t>
  </si>
  <si>
    <t>Michael Lopez</t>
  </si>
  <si>
    <t>(305) 555-1488</t>
  </si>
  <si>
    <t>michael.lopez+2912@demo-hoa.example</t>
  </si>
  <si>
    <t>P3-167</t>
  </si>
  <si>
    <t>2913</t>
  </si>
  <si>
    <t>Ethan Ruiz</t>
  </si>
  <si>
    <t>(305) 555-1489</t>
  </si>
  <si>
    <t>ethan.ruiz+2913@demo-hoa.example</t>
  </si>
  <si>
    <t>James Diaz</t>
  </si>
  <si>
    <t>P4-280</t>
  </si>
  <si>
    <t>P3-118</t>
  </si>
  <si>
    <t>S-110</t>
  </si>
  <si>
    <t>2914</t>
  </si>
  <si>
    <t>James Mendoza</t>
  </si>
  <si>
    <t>(305) 555-1490</t>
  </si>
  <si>
    <t>james.mendoza+2914@demo-hoa.example</t>
  </si>
  <si>
    <t>P4-154</t>
  </si>
  <si>
    <t>P1-130</t>
  </si>
  <si>
    <t>B-034</t>
  </si>
  <si>
    <t>2915</t>
  </si>
  <si>
    <t>Daniel Ruiz</t>
  </si>
  <si>
    <t>(305) 555-1491</t>
  </si>
  <si>
    <t>daniel.ruiz+2915@demo-hoa.example</t>
  </si>
  <si>
    <t>P3-234</t>
  </si>
  <si>
    <t>P5-181</t>
  </si>
  <si>
    <t>2916</t>
  </si>
  <si>
    <t>Elijah Alvarez</t>
  </si>
  <si>
    <t>(305) 555-1492</t>
  </si>
  <si>
    <t>elijah.alvarez+2916@demo-hoa.example</t>
  </si>
  <si>
    <t>P3-069</t>
  </si>
  <si>
    <t>S-207</t>
  </si>
  <si>
    <t>2917</t>
  </si>
  <si>
    <t>(305) 555-1493</t>
  </si>
  <si>
    <t>isabella.rivera+2917@demo-hoa.example</t>
  </si>
  <si>
    <t>P3-280</t>
  </si>
  <si>
    <t>P3-242</t>
  </si>
  <si>
    <t>S-277</t>
  </si>
  <si>
    <t>3001</t>
  </si>
  <si>
    <t>(305) 555-1494</t>
  </si>
  <si>
    <t>james.ortiz+3001@demo-hoa.example</t>
  </si>
  <si>
    <t>P1-032</t>
  </si>
  <si>
    <t>3002</t>
  </si>
  <si>
    <t>(305) 555-1495</t>
  </si>
  <si>
    <t>sophia.rodriguez+3002@demo-hoa.example</t>
  </si>
  <si>
    <t>P1-042</t>
  </si>
  <si>
    <t>B-084</t>
  </si>
  <si>
    <t>S-147</t>
  </si>
  <si>
    <t>3003</t>
  </si>
  <si>
    <t>Sophia Flores</t>
  </si>
  <si>
    <t>(305) 555-1496</t>
  </si>
  <si>
    <t>sophia.flores+3003@demo-hoa.example</t>
  </si>
  <si>
    <t>P3-100</t>
  </si>
  <si>
    <t>B-088</t>
  </si>
  <si>
    <t>3004</t>
  </si>
  <si>
    <t>Elijah Ortiz</t>
  </si>
  <si>
    <t>(305) 555-1497</t>
  </si>
  <si>
    <t>elijah.ortiz+3004@demo-hoa.example</t>
  </si>
  <si>
    <t>P1-071</t>
  </si>
  <si>
    <t>3005</t>
  </si>
  <si>
    <t>(305) 555-1498</t>
  </si>
  <si>
    <t>grace.cruz+3005@demo-hoa.example</t>
  </si>
  <si>
    <t>P3-098</t>
  </si>
  <si>
    <t>3006</t>
  </si>
  <si>
    <t>(305) 555-1499</t>
  </si>
  <si>
    <t>sophia.flores+3006@demo-hoa.example</t>
  </si>
  <si>
    <t>P5-068</t>
  </si>
  <si>
    <t>3007</t>
  </si>
  <si>
    <t>(305) 555-1500</t>
  </si>
  <si>
    <t>ethan.gutierrez+3007@demo-hoa.example</t>
  </si>
  <si>
    <t>P4-158</t>
  </si>
  <si>
    <t>P1-054</t>
  </si>
  <si>
    <t>S-072</t>
  </si>
  <si>
    <t>3008</t>
  </si>
  <si>
    <t>(305) 555-1501</t>
  </si>
  <si>
    <t>liam.gonzalez+3008@demo-hoa.example</t>
  </si>
  <si>
    <t>P5-197</t>
  </si>
  <si>
    <t>S-292</t>
  </si>
  <si>
    <t>3009</t>
  </si>
  <si>
    <t>James Reyes</t>
  </si>
  <si>
    <t>(305) 555-1502</t>
  </si>
  <si>
    <t>james.reyes+3009@demo-hoa.example</t>
  </si>
  <si>
    <t>P4-202</t>
  </si>
  <si>
    <t>P4-164</t>
  </si>
  <si>
    <t>3010</t>
  </si>
  <si>
    <t>(305) 555-1503</t>
  </si>
  <si>
    <t>ethan.rodriguez+3010@demo-hoa.example</t>
  </si>
  <si>
    <t>P1-084</t>
  </si>
  <si>
    <t>P1-259</t>
  </si>
  <si>
    <t>S-030</t>
  </si>
  <si>
    <t>3011</t>
  </si>
  <si>
    <t>(305) 555-1504</t>
  </si>
  <si>
    <t>abigail.rodriguez+3011@demo-hoa.example</t>
  </si>
  <si>
    <t>Olivia Diaz</t>
  </si>
  <si>
    <t>P4-221</t>
  </si>
  <si>
    <t>P2-001</t>
  </si>
  <si>
    <t>S-095</t>
  </si>
  <si>
    <t>3012</t>
  </si>
  <si>
    <t>(305) 555-1505</t>
  </si>
  <si>
    <t>daniel.rivera+3012@demo-hoa.example</t>
  </si>
  <si>
    <t>Ethan Vargas</t>
  </si>
  <si>
    <t>P3-216</t>
  </si>
  <si>
    <t>S-143</t>
  </si>
  <si>
    <t>3013</t>
  </si>
  <si>
    <t>(305) 555-1506</t>
  </si>
  <si>
    <t>mason.ramos+3013@demo-hoa.example</t>
  </si>
  <si>
    <t>P2-062</t>
  </si>
  <si>
    <t>P4-076</t>
  </si>
  <si>
    <t>S-294</t>
  </si>
  <si>
    <t>3014</t>
  </si>
  <si>
    <t>(305) 555-1507</t>
  </si>
  <si>
    <t>henry.gutierrez+3014@demo-hoa.example</t>
  </si>
  <si>
    <t>P2-182</t>
  </si>
  <si>
    <t>P1-217</t>
  </si>
  <si>
    <t>S-090</t>
  </si>
  <si>
    <t>3015</t>
  </si>
  <si>
    <t>Olivia Sanchez</t>
  </si>
  <si>
    <t>(305) 555-1508</t>
  </si>
  <si>
    <t>olivia.sanchez+3015@demo-hoa.example</t>
  </si>
  <si>
    <t>P2-052</t>
  </si>
  <si>
    <t>P5-037</t>
  </si>
  <si>
    <t>S-028</t>
  </si>
  <si>
    <t>3016</t>
  </si>
  <si>
    <t>Jackson Perez</t>
  </si>
  <si>
    <t>(305) 555-1509</t>
  </si>
  <si>
    <t>jackson.perez+3016@demo-hoa.example</t>
  </si>
  <si>
    <t>Abigail Ortiz</t>
  </si>
  <si>
    <t>P1-267</t>
  </si>
  <si>
    <t>P4-161</t>
  </si>
  <si>
    <t>3017</t>
  </si>
  <si>
    <t>Harper Gonzalez</t>
  </si>
  <si>
    <t>(305) 555-1510</t>
  </si>
  <si>
    <t>harper.gonzalez+3017@demo-hoa.example</t>
  </si>
  <si>
    <t>P5-162</t>
  </si>
  <si>
    <t>P5-072</t>
  </si>
  <si>
    <t>3101</t>
  </si>
  <si>
    <t>(305) 555-1511</t>
  </si>
  <si>
    <t>mason.castillo+3101@demo-hoa.example</t>
  </si>
  <si>
    <t>P5-064</t>
  </si>
  <si>
    <t>S-217</t>
  </si>
  <si>
    <t>3102</t>
  </si>
  <si>
    <t>Henry Ruiz</t>
  </si>
  <si>
    <t>(305) 555-1512</t>
  </si>
  <si>
    <t>henry.ruiz+3102@demo-hoa.example</t>
  </si>
  <si>
    <t>P3-091</t>
  </si>
  <si>
    <t>S-058</t>
  </si>
  <si>
    <t>3103</t>
  </si>
  <si>
    <t>(305) 555-1513</t>
  </si>
  <si>
    <t>sophia.rodriguez+3103@demo-hoa.example</t>
  </si>
  <si>
    <t>P4-193</t>
  </si>
  <si>
    <t>S-124</t>
  </si>
  <si>
    <t>3104</t>
  </si>
  <si>
    <t>Liam Navarro</t>
  </si>
  <si>
    <t>(305) 555-1514</t>
  </si>
  <si>
    <t>liam.navarro+3104@demo-hoa.example</t>
  </si>
  <si>
    <t>Grace Hernandez</t>
  </si>
  <si>
    <t>P4-083</t>
  </si>
  <si>
    <t>B-093</t>
  </si>
  <si>
    <t>S-257</t>
  </si>
  <si>
    <t>3105</t>
  </si>
  <si>
    <t>Michael Ruiz</t>
  </si>
  <si>
    <t>(305) 555-1515</t>
  </si>
  <si>
    <t>michael.ruiz+3105@demo-hoa.example</t>
  </si>
  <si>
    <t>P3-111</t>
  </si>
  <si>
    <t>3106</t>
  </si>
  <si>
    <t>(305) 555-1516</t>
  </si>
  <si>
    <t>lucas.vargas+3106@demo-hoa.example</t>
  </si>
  <si>
    <t>P4-222</t>
  </si>
  <si>
    <t>S-040</t>
  </si>
  <si>
    <t>3107</t>
  </si>
  <si>
    <t>Isabella Torres</t>
  </si>
  <si>
    <t>(305) 555-1517</t>
  </si>
  <si>
    <t>isabella.torres+3107@demo-hoa.example</t>
  </si>
  <si>
    <t>P3-039</t>
  </si>
  <si>
    <t>P2-120</t>
  </si>
  <si>
    <t>S-055</t>
  </si>
  <si>
    <t>3108</t>
  </si>
  <si>
    <t>Daniel Ramirez</t>
  </si>
  <si>
    <t>(305) 555-1518</t>
  </si>
  <si>
    <t>daniel.ramirez+3108@demo-hoa.example</t>
  </si>
  <si>
    <t>P1-028</t>
  </si>
  <si>
    <t>3109</t>
  </si>
  <si>
    <t>(305) 555-1519</t>
  </si>
  <si>
    <t>alexander.martinez+3109@demo-hoa.example</t>
  </si>
  <si>
    <t>Ella Romero</t>
  </si>
  <si>
    <t>P4-173</t>
  </si>
  <si>
    <t>3110</t>
  </si>
  <si>
    <t>Lucas Navarro</t>
  </si>
  <si>
    <t>(305) 555-1520</t>
  </si>
  <si>
    <t>lucas.navarro+3110@demo-hoa.example</t>
  </si>
  <si>
    <t>P3-070</t>
  </si>
  <si>
    <t>P4-071</t>
  </si>
  <si>
    <t>S-130</t>
  </si>
  <si>
    <t>3111</t>
  </si>
  <si>
    <t>Jackson Vega</t>
  </si>
  <si>
    <t>(305) 555-1521</t>
  </si>
  <si>
    <t>jackson.vega+3111@demo-hoa.example</t>
  </si>
  <si>
    <t>P2-195</t>
  </si>
  <si>
    <t>P1-170</t>
  </si>
  <si>
    <t>3112</t>
  </si>
  <si>
    <t>(305) 555-1522</t>
  </si>
  <si>
    <t>elijah.ortiz+3112@demo-hoa.example</t>
  </si>
  <si>
    <t>P5-167</t>
  </si>
  <si>
    <t>3113</t>
  </si>
  <si>
    <t>Ella Chavez</t>
  </si>
  <si>
    <t>(305) 555-1523</t>
  </si>
  <si>
    <t>ella.chavez+3113@demo-hoa.example</t>
  </si>
  <si>
    <t>P2-131</t>
  </si>
  <si>
    <t>B-071</t>
  </si>
  <si>
    <t>3114</t>
  </si>
  <si>
    <t>Charlotte Sanchez</t>
  </si>
  <si>
    <t>(305) 555-1524</t>
  </si>
  <si>
    <t>charlotte.sanchez+3114@demo-hoa.example</t>
  </si>
  <si>
    <t>P4-136</t>
  </si>
  <si>
    <t>B-096</t>
  </si>
  <si>
    <t>S-148</t>
  </si>
  <si>
    <t>3115</t>
  </si>
  <si>
    <t>(305) 555-1525</t>
  </si>
  <si>
    <t>henry.rivera+3115@demo-hoa.example</t>
  </si>
  <si>
    <t>P3-117</t>
  </si>
  <si>
    <t>P2-061</t>
  </si>
  <si>
    <t>3116</t>
  </si>
  <si>
    <t>Grace Diaz</t>
  </si>
  <si>
    <t>(305) 555-1526</t>
  </si>
  <si>
    <t>grace.diaz+3116@demo-hoa.example</t>
  </si>
  <si>
    <t>P3-204</t>
  </si>
  <si>
    <t>3117</t>
  </si>
  <si>
    <t>(305) 555-1527</t>
  </si>
  <si>
    <t>isabella.torres+3117@demo-hoa.example</t>
  </si>
  <si>
    <t>P1-030</t>
  </si>
  <si>
    <t>P5-048</t>
  </si>
  <si>
    <t>B-085</t>
  </si>
  <si>
    <t>S-027</t>
  </si>
  <si>
    <t>3201</t>
  </si>
  <si>
    <t>Sebastian Cruz</t>
  </si>
  <si>
    <t>(305) 555-1528</t>
  </si>
  <si>
    <t>sebastian.cruz+3201@demo-hoa.example</t>
  </si>
  <si>
    <t>P1-280</t>
  </si>
  <si>
    <t>3202</t>
  </si>
  <si>
    <t>(305) 555-1529</t>
  </si>
  <si>
    <t>charlotte.gonzalez+3202@demo-hoa.example</t>
  </si>
  <si>
    <t>Benjamin Navarro</t>
  </si>
  <si>
    <t>P3-275</t>
  </si>
  <si>
    <t>S-254</t>
  </si>
  <si>
    <t>3203</t>
  </si>
  <si>
    <t>(305) 555-1530</t>
  </si>
  <si>
    <t>ava.flores+3203@demo-hoa.example</t>
  </si>
  <si>
    <t>P2-216</t>
  </si>
  <si>
    <t>3204</t>
  </si>
  <si>
    <t>Olivia Mendoza</t>
  </si>
  <si>
    <t>(305) 555-1531</t>
  </si>
  <si>
    <t>olivia.mendoza+3204@demo-hoa.example</t>
  </si>
  <si>
    <t>P1-226</t>
  </si>
  <si>
    <t>S-080</t>
  </si>
  <si>
    <t>3205</t>
  </si>
  <si>
    <t>Liam Martinez</t>
  </si>
  <si>
    <t>(305) 555-1532</t>
  </si>
  <si>
    <t>liam.martinez+3205@demo-hoa.example</t>
  </si>
  <si>
    <t>P3-050</t>
  </si>
  <si>
    <t>S-154</t>
  </si>
  <si>
    <t>3206</t>
  </si>
  <si>
    <t>Alexander Diaz</t>
  </si>
  <si>
    <t>(305) 555-1533</t>
  </si>
  <si>
    <t>alexander.diaz+3206@demo-hoa.example</t>
  </si>
  <si>
    <t>P2-276</t>
  </si>
  <si>
    <t>S-074</t>
  </si>
  <si>
    <t>3207</t>
  </si>
  <si>
    <t>Elijah Cruz</t>
  </si>
  <si>
    <t>(305) 555-1534</t>
  </si>
  <si>
    <t>elijah.cruz+3207@demo-hoa.example</t>
  </si>
  <si>
    <t>P3-185</t>
  </si>
  <si>
    <t>P4-100</t>
  </si>
  <si>
    <t>B-022</t>
  </si>
  <si>
    <t>3208</t>
  </si>
  <si>
    <t>(305) 555-1535</t>
  </si>
  <si>
    <t>sophia.ortiz+3208@demo-hoa.example</t>
  </si>
  <si>
    <t>P5-209</t>
  </si>
  <si>
    <t>3209</t>
  </si>
  <si>
    <t>(305) 555-1536</t>
  </si>
  <si>
    <t>grace.perez+3209@demo-hoa.example</t>
  </si>
  <si>
    <t>P2-116</t>
  </si>
  <si>
    <t>P4-199</t>
  </si>
  <si>
    <t>3210</t>
  </si>
  <si>
    <t>Ethan Martinez</t>
  </si>
  <si>
    <t>(305) 555-1537</t>
  </si>
  <si>
    <t>ethan.martinez+3210@demo-hoa.example</t>
  </si>
  <si>
    <t>P2-077</t>
  </si>
  <si>
    <t>P5-136</t>
  </si>
  <si>
    <t>S-014</t>
  </si>
  <si>
    <t>3211</t>
  </si>
  <si>
    <t>(305) 555-1538</t>
  </si>
  <si>
    <t>logan.ortiz+3211@demo-hoa.example</t>
  </si>
  <si>
    <t>P5-025</t>
  </si>
  <si>
    <t>P5-039</t>
  </si>
  <si>
    <t>S-185</t>
  </si>
  <si>
    <t>3212</t>
  </si>
  <si>
    <t>Abigail Sanchez</t>
  </si>
  <si>
    <t>(305) 555-1539</t>
  </si>
  <si>
    <t>abigail.sanchez+3212@demo-hoa.example</t>
  </si>
  <si>
    <t>P5-259</t>
  </si>
  <si>
    <t>P1-021</t>
  </si>
  <si>
    <t>3213</t>
  </si>
  <si>
    <t>(305) 555-1540</t>
  </si>
  <si>
    <t>daniel.lopez+3213@demo-hoa.example</t>
  </si>
  <si>
    <t>P3-272</t>
  </si>
  <si>
    <t>B-066</t>
  </si>
  <si>
    <t>S-310</t>
  </si>
  <si>
    <t>3214</t>
  </si>
  <si>
    <t>Olivia Martinez</t>
  </si>
  <si>
    <t>(305) 555-1541</t>
  </si>
  <si>
    <t>olivia.martinez+3214@demo-hoa.example</t>
  </si>
  <si>
    <t>P3-031</t>
  </si>
  <si>
    <t>3215</t>
  </si>
  <si>
    <t>(305) 555-1542</t>
  </si>
  <si>
    <t>mason.rivera+3215@demo-hoa.example</t>
  </si>
  <si>
    <t>P2-115</t>
  </si>
  <si>
    <t>P4-069</t>
  </si>
  <si>
    <t>B-042</t>
  </si>
  <si>
    <t>3216</t>
  </si>
  <si>
    <t>Ethan Diaz</t>
  </si>
  <si>
    <t>(305) 555-1543</t>
  </si>
  <si>
    <t>ethan.diaz+3216@demo-hoa.example</t>
  </si>
  <si>
    <t>Madison Diaz</t>
  </si>
  <si>
    <t>P1-212</t>
  </si>
  <si>
    <t>3217</t>
  </si>
  <si>
    <t>Ella Gomez</t>
  </si>
  <si>
    <t>(305) 555-1544</t>
  </si>
  <si>
    <t>ella.gomez+3217@demo-hoa.example</t>
  </si>
  <si>
    <t>P1-064</t>
  </si>
  <si>
    <t>P2-194</t>
  </si>
  <si>
    <t>3301</t>
  </si>
  <si>
    <t>(305) 555-1545</t>
  </si>
  <si>
    <t>benjamin.castillo+3301@demo-hoa.example</t>
  </si>
  <si>
    <t>P2-272</t>
  </si>
  <si>
    <t>B-025</t>
  </si>
  <si>
    <t>3302</t>
  </si>
  <si>
    <t>(305) 555-1546</t>
  </si>
  <si>
    <t>emily.gutierrez+3302@demo-hoa.example</t>
  </si>
  <si>
    <t>P4-160</t>
  </si>
  <si>
    <t>S-223</t>
  </si>
  <si>
    <t>3303</t>
  </si>
  <si>
    <t>Mason Ruiz</t>
  </si>
  <si>
    <t>(305) 555-1547</t>
  </si>
  <si>
    <t>mason.ruiz+3303@demo-hoa.example</t>
  </si>
  <si>
    <t>P2-134</t>
  </si>
  <si>
    <t>3304</t>
  </si>
  <si>
    <t>Harper Alvarez</t>
  </si>
  <si>
    <t>(305) 555-1548</t>
  </si>
  <si>
    <t>harper.alvarez+3304@demo-hoa.example</t>
  </si>
  <si>
    <t>P4-010</t>
  </si>
  <si>
    <t>3305</t>
  </si>
  <si>
    <t>(305) 555-1549</t>
  </si>
  <si>
    <t>daniel.morales+3305@demo-hoa.example</t>
  </si>
  <si>
    <t>P5-190</t>
  </si>
  <si>
    <t>S-109</t>
  </si>
  <si>
    <t>3306</t>
  </si>
  <si>
    <t>(305) 555-1550</t>
  </si>
  <si>
    <t>harper.suarez+3306@demo-hoa.example</t>
  </si>
  <si>
    <t>P4-225</t>
  </si>
  <si>
    <t>3307</t>
  </si>
  <si>
    <t>(305) 555-1551</t>
  </si>
  <si>
    <t>alexander.torres+3307@demo-hoa.example</t>
  </si>
  <si>
    <t>P3-156</t>
  </si>
  <si>
    <t>P1-157</t>
  </si>
  <si>
    <t>B-036</t>
  </si>
  <si>
    <t>S-193</t>
  </si>
  <si>
    <t>3308</t>
  </si>
  <si>
    <t>(305) 555-1552</t>
  </si>
  <si>
    <t>alexander.romero+3308@demo-hoa.example</t>
  </si>
  <si>
    <t>Elijah Flores</t>
  </si>
  <si>
    <t>P3-143</t>
  </si>
  <si>
    <t>P5-040</t>
  </si>
  <si>
    <t>3309</t>
  </si>
  <si>
    <t>(305) 555-1553</t>
  </si>
  <si>
    <t>mia.ruiz+3309@demo-hoa.example</t>
  </si>
  <si>
    <t>P4-226</t>
  </si>
  <si>
    <t>P4-200</t>
  </si>
  <si>
    <t>3310</t>
  </si>
  <si>
    <t>(305) 555-1554</t>
  </si>
  <si>
    <t>jackson.delgado+3310@demo-hoa.example</t>
  </si>
  <si>
    <t>Logan Sanchez</t>
  </si>
  <si>
    <t>P5-106</t>
  </si>
  <si>
    <t>S-241</t>
  </si>
  <si>
    <t>3311</t>
  </si>
  <si>
    <t>Harper Ramos</t>
  </si>
  <si>
    <t>(305) 555-1555</t>
  </si>
  <si>
    <t>harper.ramos+3311@demo-hoa.example</t>
  </si>
  <si>
    <t>P1-083</t>
  </si>
  <si>
    <t>P2-270</t>
  </si>
  <si>
    <t>S-171</t>
  </si>
  <si>
    <t>3312</t>
  </si>
  <si>
    <t>Benjamin Reyes</t>
  </si>
  <si>
    <t>(305) 555-1556</t>
  </si>
  <si>
    <t>benjamin.reyes+3312@demo-hoa.example</t>
  </si>
  <si>
    <t>P5-157</t>
  </si>
  <si>
    <t>P4-195</t>
  </si>
  <si>
    <t>3313</t>
  </si>
  <si>
    <t>Evelyn Rodriguez</t>
  </si>
  <si>
    <t>(305) 555-1557</t>
  </si>
  <si>
    <t>evelyn.rodriguez+3313@demo-hoa.example</t>
  </si>
  <si>
    <t>P1-279</t>
  </si>
  <si>
    <t>P4-025</t>
  </si>
  <si>
    <t>3314</t>
  </si>
  <si>
    <t>(305) 555-1558</t>
  </si>
  <si>
    <t>ava.perez+3314@demo-hoa.example</t>
  </si>
  <si>
    <t>Mason Romero</t>
  </si>
  <si>
    <t>P5-178</t>
  </si>
  <si>
    <t>P3-163</t>
  </si>
  <si>
    <t>S-224</t>
  </si>
  <si>
    <t>3315</t>
  </si>
  <si>
    <t>(305) 555-1559</t>
  </si>
  <si>
    <t>michael.mendoza+3315@demo-hoa.example</t>
  </si>
  <si>
    <t>Charlotte Reyes</t>
  </si>
  <si>
    <t>P1-080</t>
  </si>
  <si>
    <t>3316</t>
  </si>
  <si>
    <t>(305) 555-1560</t>
  </si>
  <si>
    <t>sophia.perez+3316@demo-hoa.example</t>
  </si>
  <si>
    <t>P2-167</t>
  </si>
  <si>
    <t>P1-282</t>
  </si>
  <si>
    <t>B-076</t>
  </si>
  <si>
    <t>3317</t>
  </si>
  <si>
    <t>Ava Gomez</t>
  </si>
  <si>
    <t>(305) 555-1561</t>
  </si>
  <si>
    <t>ava.gomez+3317@demo-hoa.example</t>
  </si>
  <si>
    <t>P1-245</t>
  </si>
  <si>
    <t>P3-074</t>
  </si>
  <si>
    <t>S-091</t>
  </si>
  <si>
    <t>3401</t>
  </si>
  <si>
    <t>Lucas Lopez</t>
  </si>
  <si>
    <t>(305) 555-1562</t>
  </si>
  <si>
    <t>lucas.lopez+3401@demo-hoa.example</t>
  </si>
  <si>
    <t>P2-213</t>
  </si>
  <si>
    <t>3402</t>
  </si>
  <si>
    <t>Jackson Gutierrez</t>
  </si>
  <si>
    <t>(305) 555-1563</t>
  </si>
  <si>
    <t>jackson.gutierrez+3402@demo-hoa.example</t>
  </si>
  <si>
    <t>Alexander Alvarez</t>
  </si>
  <si>
    <t>P2-250</t>
  </si>
  <si>
    <t>3403</t>
  </si>
  <si>
    <t>Mia Perez</t>
  </si>
  <si>
    <t>(305) 555-1564</t>
  </si>
  <si>
    <t>mia.perez+3403@demo-hoa.example</t>
  </si>
  <si>
    <t>P3-229</t>
  </si>
  <si>
    <t>3404</t>
  </si>
  <si>
    <t>Jackson Lopez</t>
  </si>
  <si>
    <t>(305) 555-1565</t>
  </si>
  <si>
    <t>jackson.lopez+3404@demo-hoa.example</t>
  </si>
  <si>
    <t>P3-217</t>
  </si>
  <si>
    <t>S-106</t>
  </si>
  <si>
    <t>3405</t>
  </si>
  <si>
    <t>Ava Ramirez</t>
  </si>
  <si>
    <t>(305) 555-1566</t>
  </si>
  <si>
    <t>ava.ramirez+3405@demo-hoa.example</t>
  </si>
  <si>
    <t>Ella Delgado</t>
  </si>
  <si>
    <t>P5-204</t>
  </si>
  <si>
    <t>S-063</t>
  </si>
  <si>
    <t>3406</t>
  </si>
  <si>
    <t>(305) 555-1567</t>
  </si>
  <si>
    <t>evelyn.reyes+3406@demo-hoa.example</t>
  </si>
  <si>
    <t>Henry Ramirez</t>
  </si>
  <si>
    <t>P3-085</t>
  </si>
  <si>
    <t>S-169</t>
  </si>
  <si>
    <t>3407</t>
  </si>
  <si>
    <t>(305) 555-1568</t>
  </si>
  <si>
    <t>ava.mendoza+3407@demo-hoa.example</t>
  </si>
  <si>
    <t>P1-254</t>
  </si>
  <si>
    <t>B-070</t>
  </si>
  <si>
    <t>3408</t>
  </si>
  <si>
    <t>(305) 555-1569</t>
  </si>
  <si>
    <t>daniel.cruz+3408@demo-hoa.example</t>
  </si>
  <si>
    <t>Emily Gonzalez</t>
  </si>
  <si>
    <t>P5-170</t>
  </si>
  <si>
    <t>3409</t>
  </si>
  <si>
    <t>Jackson Flores</t>
  </si>
  <si>
    <t>(305) 555-1570</t>
  </si>
  <si>
    <t>jackson.flores+3409@demo-hoa.example</t>
  </si>
  <si>
    <t>Michael Romero</t>
  </si>
  <si>
    <t>P1-266</t>
  </si>
  <si>
    <t>P5-151</t>
  </si>
  <si>
    <t>S-031</t>
  </si>
  <si>
    <t>3410</t>
  </si>
  <si>
    <t>(305) 555-1571</t>
  </si>
  <si>
    <t>alexander.castillo+3410@demo-hoa.example</t>
  </si>
  <si>
    <t>P5-007</t>
  </si>
  <si>
    <t>P3-194</t>
  </si>
  <si>
    <t>S-067</t>
  </si>
  <si>
    <t>3411</t>
  </si>
  <si>
    <t>(305) 555-1572</t>
  </si>
  <si>
    <t>charlotte.romero+3411@demo-hoa.example</t>
  </si>
  <si>
    <t>P1-163</t>
  </si>
  <si>
    <t>3412</t>
  </si>
  <si>
    <t>Olivia Suarez</t>
  </si>
  <si>
    <t>(305) 555-1573</t>
  </si>
  <si>
    <t>olivia.suarez+3412@demo-hoa.example</t>
  </si>
  <si>
    <t>P2-173</t>
  </si>
  <si>
    <t>S-191</t>
  </si>
  <si>
    <t>3413</t>
  </si>
  <si>
    <t>Mia Romero</t>
  </si>
  <si>
    <t>(305) 555-1574</t>
  </si>
  <si>
    <t>mia.romero+3413@demo-hoa.example</t>
  </si>
  <si>
    <t>P4-059</t>
  </si>
  <si>
    <t>B-017</t>
  </si>
  <si>
    <t>S-050</t>
  </si>
  <si>
    <t>3414</t>
  </si>
  <si>
    <t>(305) 555-1575</t>
  </si>
  <si>
    <t>harper.rivera+3414@demo-hoa.example</t>
  </si>
  <si>
    <t>Lucas Delgado</t>
  </si>
  <si>
    <t>P4-244</t>
  </si>
  <si>
    <t>P2-233</t>
  </si>
  <si>
    <t>3415</t>
  </si>
  <si>
    <t>(305) 555-1576</t>
  </si>
  <si>
    <t>henry.ruiz+3415@demo-hoa.example</t>
  </si>
  <si>
    <t>P4-098</t>
  </si>
  <si>
    <t>3416</t>
  </si>
  <si>
    <t>(305) 555-1577</t>
  </si>
  <si>
    <t>ella.suarez+3416@demo-hoa.example</t>
  </si>
  <si>
    <t>P3-060</t>
  </si>
  <si>
    <t>P2-170</t>
  </si>
  <si>
    <t>S-222</t>
  </si>
  <si>
    <t>3417</t>
  </si>
  <si>
    <t>Elijah Sanchez</t>
  </si>
  <si>
    <t>(305) 555-1578</t>
  </si>
  <si>
    <t>elijah.sanchez+3417@demo-hoa.example</t>
  </si>
  <si>
    <t>Harper Hernandez</t>
  </si>
  <si>
    <t>P3-206</t>
  </si>
  <si>
    <t>P3-042</t>
  </si>
  <si>
    <t>3501</t>
  </si>
  <si>
    <t>Sophia Gutierrez</t>
  </si>
  <si>
    <t>(305) 555-1579</t>
  </si>
  <si>
    <t>sophia.gutierrez+3501@demo-hoa.example</t>
  </si>
  <si>
    <t>P3-005</t>
  </si>
  <si>
    <t>S-048</t>
  </si>
  <si>
    <t>3502</t>
  </si>
  <si>
    <t>Ethan Chavez</t>
  </si>
  <si>
    <t>(305) 555-1580</t>
  </si>
  <si>
    <t>ethan.chavez+3502@demo-hoa.example</t>
  </si>
  <si>
    <t>P5-202</t>
  </si>
  <si>
    <t>S-044</t>
  </si>
  <si>
    <t>3503</t>
  </si>
  <si>
    <t>(305) 555-1581</t>
  </si>
  <si>
    <t>liam.gutierrez+3503@demo-hoa.example</t>
  </si>
  <si>
    <t>P5-089</t>
  </si>
  <si>
    <t>S-047</t>
  </si>
  <si>
    <t>3504</t>
  </si>
  <si>
    <t>Sophia Delgado</t>
  </si>
  <si>
    <t>(305) 555-1582</t>
  </si>
  <si>
    <t>sophia.delgado+3504@demo-hoa.example</t>
  </si>
  <si>
    <t>Abigail Reyes</t>
  </si>
  <si>
    <t>P3-270</t>
  </si>
  <si>
    <t>3505</t>
  </si>
  <si>
    <t>Jackson Martinez</t>
  </si>
  <si>
    <t>(305) 555-1583</t>
  </si>
  <si>
    <t>jackson.martinez+3505@demo-hoa.example</t>
  </si>
  <si>
    <t>P3-253</t>
  </si>
  <si>
    <t>S-035</t>
  </si>
  <si>
    <t>3506</t>
  </si>
  <si>
    <t>(305) 555-1584</t>
  </si>
  <si>
    <t>sophia.gutierrez+3506@demo-hoa.example</t>
  </si>
  <si>
    <t>P1-137</t>
  </si>
  <si>
    <t>3507</t>
  </si>
  <si>
    <t>Benjamin Diaz</t>
  </si>
  <si>
    <t>(305) 555-1585</t>
  </si>
  <si>
    <t>benjamin.diaz+3507@demo-hoa.example</t>
  </si>
  <si>
    <t>P2-184</t>
  </si>
  <si>
    <t>P5-147</t>
  </si>
  <si>
    <t>S-243</t>
  </si>
  <si>
    <t>3508</t>
  </si>
  <si>
    <t>Abigail Castillo</t>
  </si>
  <si>
    <t>(305) 555-1586</t>
  </si>
  <si>
    <t>abigail.castillo+3508@demo-hoa.example</t>
  </si>
  <si>
    <t>Henry Suarez</t>
  </si>
  <si>
    <t>P5-235</t>
  </si>
  <si>
    <t>P5-033</t>
  </si>
  <si>
    <t>S-079</t>
  </si>
  <si>
    <t>3509</t>
  </si>
  <si>
    <t>Madison Ortiz</t>
  </si>
  <si>
    <t>(305) 555-1587</t>
  </si>
  <si>
    <t>madison.ortiz+3509@demo-hoa.example</t>
  </si>
  <si>
    <t>P5-282</t>
  </si>
  <si>
    <t>P2-192</t>
  </si>
  <si>
    <t>S-192</t>
  </si>
  <si>
    <t>3510</t>
  </si>
  <si>
    <t>(305) 555-1588</t>
  </si>
  <si>
    <t>ella.vega+3510@demo-hoa.example</t>
  </si>
  <si>
    <t>Abigail Morales</t>
  </si>
  <si>
    <t>P2-247</t>
  </si>
  <si>
    <t>B-051</t>
  </si>
  <si>
    <t>S-131</t>
  </si>
  <si>
    <t>3511</t>
  </si>
  <si>
    <t>(305) 555-1589</t>
  </si>
  <si>
    <t>jackson.gutierrez+3511@demo-hoa.example</t>
  </si>
  <si>
    <t>P3-145</t>
  </si>
  <si>
    <t>P3-256</t>
  </si>
  <si>
    <t>B-040</t>
  </si>
  <si>
    <t>S-273</t>
  </si>
  <si>
    <t>3512</t>
  </si>
  <si>
    <t>Noah Gonzalez</t>
  </si>
  <si>
    <t>(305) 555-1590</t>
  </si>
  <si>
    <t>noah.gonzalez+3512@demo-hoa.example</t>
  </si>
  <si>
    <t>P1-181</t>
  </si>
  <si>
    <t>P5-160</t>
  </si>
  <si>
    <t>S-305</t>
  </si>
  <si>
    <t>3513</t>
  </si>
  <si>
    <t>Mia Rivera</t>
  </si>
  <si>
    <t>(305) 555-1591</t>
  </si>
  <si>
    <t>mia.rivera+3513@demo-hoa.example</t>
  </si>
  <si>
    <t>P5-182</t>
  </si>
  <si>
    <t>P3-230</t>
  </si>
  <si>
    <t>3514</t>
  </si>
  <si>
    <t>(305) 555-1592</t>
  </si>
  <si>
    <t>abigail.ramirez+3514@demo-hoa.example</t>
  </si>
  <si>
    <t>P1-110</t>
  </si>
  <si>
    <t>P5-153</t>
  </si>
  <si>
    <t>B-045</t>
  </si>
  <si>
    <t>S-161</t>
  </si>
  <si>
    <t>3515</t>
  </si>
  <si>
    <t>Lucas Cruz</t>
  </si>
  <si>
    <t>(305) 555-1593</t>
  </si>
  <si>
    <t>lucas.cruz+3515@demo-hoa.example</t>
  </si>
  <si>
    <t>P3-201</t>
  </si>
  <si>
    <t>S-049</t>
  </si>
  <si>
    <t>3516</t>
  </si>
  <si>
    <t>(305) 555-1594</t>
  </si>
  <si>
    <t>harper.hernandez+3516@demo-hoa.example</t>
  </si>
  <si>
    <t>P1-006</t>
  </si>
  <si>
    <t>3517</t>
  </si>
  <si>
    <t>(305) 555-1595</t>
  </si>
  <si>
    <t>sebastian.chavez+3517@demo-hoa.example</t>
  </si>
  <si>
    <t>P5-241</t>
  </si>
  <si>
    <t>P3-104</t>
  </si>
  <si>
    <t>3601</t>
  </si>
  <si>
    <t>James Ruiz</t>
  </si>
  <si>
    <t>(305) 555-1596</t>
  </si>
  <si>
    <t>james.ruiz+3601@demo-hoa.example</t>
  </si>
  <si>
    <t>P1-152</t>
  </si>
  <si>
    <t>3602</t>
  </si>
  <si>
    <t>(305) 555-1597</t>
  </si>
  <si>
    <t>noah.diaz+3602@demo-hoa.example</t>
  </si>
  <si>
    <t>P1-250</t>
  </si>
  <si>
    <t>3603</t>
  </si>
  <si>
    <t>(305) 555-1598</t>
  </si>
  <si>
    <t>henry.rivera+3603@demo-hoa.example</t>
  </si>
  <si>
    <t>P4-137</t>
  </si>
  <si>
    <t>3604</t>
  </si>
  <si>
    <t>(305) 555-1599</t>
  </si>
  <si>
    <t>olivia.sanchez+3604@demo-hoa.example</t>
  </si>
  <si>
    <t>Harper Vargas</t>
  </si>
  <si>
    <t>P2-223</t>
  </si>
  <si>
    <t>3605</t>
  </si>
  <si>
    <t>Benjamin Chavez</t>
  </si>
  <si>
    <t>(305) 555-1600</t>
  </si>
  <si>
    <t>benjamin.chavez+3605@demo-hoa.example</t>
  </si>
  <si>
    <t>P5-226</t>
  </si>
  <si>
    <t>3606</t>
  </si>
  <si>
    <t>(305) 555-1601</t>
  </si>
  <si>
    <t>ella.ruiz+3606@demo-hoa.example</t>
  </si>
  <si>
    <t>P4-074</t>
  </si>
  <si>
    <t>3607</t>
  </si>
  <si>
    <t>Madison Delgado</t>
  </si>
  <si>
    <t>(305) 555-1602</t>
  </si>
  <si>
    <t>madison.delgado+3607@demo-hoa.example</t>
  </si>
  <si>
    <t>P5-242</t>
  </si>
  <si>
    <t>S-213</t>
  </si>
  <si>
    <t>3608</t>
  </si>
  <si>
    <t>(305) 555-1603</t>
  </si>
  <si>
    <t>daniel.cruz+3608@demo-hoa.example</t>
  </si>
  <si>
    <t>P1-200</t>
  </si>
  <si>
    <t>3609</t>
  </si>
  <si>
    <t>Sofia Mendoza</t>
  </si>
  <si>
    <t>(305) 555-1604</t>
  </si>
  <si>
    <t>sofia.mendoza+3609@demo-hoa.example</t>
  </si>
  <si>
    <t>P3-022</t>
  </si>
  <si>
    <t>S-205</t>
  </si>
  <si>
    <t>3610</t>
  </si>
  <si>
    <t>Isabella Alvarez</t>
  </si>
  <si>
    <t>(305) 555-1605</t>
  </si>
  <si>
    <t>isabella.alvarez+3610@demo-hoa.example</t>
  </si>
  <si>
    <t>P5-183</t>
  </si>
  <si>
    <t>3611</t>
  </si>
  <si>
    <t>(305) 555-1606</t>
  </si>
  <si>
    <t>abigail.navarro+3611@demo-hoa.example</t>
  </si>
  <si>
    <t>P2-141</t>
  </si>
  <si>
    <t>P5-222</t>
  </si>
  <si>
    <t>3612</t>
  </si>
  <si>
    <t>(305) 555-1607</t>
  </si>
  <si>
    <t>harper.rodriguez+3612@demo-hoa.example</t>
  </si>
  <si>
    <t>P1-075</t>
  </si>
  <si>
    <t>3613</t>
  </si>
  <si>
    <t>(305) 555-1608</t>
  </si>
  <si>
    <t>evelyn.morales+3613@demo-hoa.example</t>
  </si>
  <si>
    <t>P3-219</t>
  </si>
  <si>
    <t>P3-058</t>
  </si>
  <si>
    <t>B-019</t>
  </si>
  <si>
    <t>3614</t>
  </si>
  <si>
    <t>(305) 555-1609</t>
  </si>
  <si>
    <t>ava.diaz+3614@demo-hoa.example</t>
  </si>
  <si>
    <t>P2-203</t>
  </si>
  <si>
    <t>P1-251</t>
  </si>
  <si>
    <t>S-289</t>
  </si>
  <si>
    <t>3615</t>
  </si>
  <si>
    <t>(305) 555-1610</t>
  </si>
  <si>
    <t>olivia.flores+3615@demo-hoa.example</t>
  </si>
  <si>
    <t>P1-048</t>
  </si>
  <si>
    <t>P1-026</t>
  </si>
  <si>
    <t>B-011</t>
  </si>
  <si>
    <t>3616</t>
  </si>
  <si>
    <t>(305) 555-1611</t>
  </si>
  <si>
    <t>elijah.ramirez+3616@demo-hoa.example</t>
  </si>
  <si>
    <t>P4-245</t>
  </si>
  <si>
    <t>3617</t>
  </si>
  <si>
    <t>(305) 555-1612</t>
  </si>
  <si>
    <t>abigail.lopez+3617@demo-hoa.example</t>
  </si>
  <si>
    <t>P1-204</t>
  </si>
  <si>
    <t>P1-231</t>
  </si>
  <si>
    <t>S-174</t>
  </si>
  <si>
    <t>3701</t>
  </si>
  <si>
    <t>(305) 555-1613</t>
  </si>
  <si>
    <t>alexander.castillo+3701@demo-hoa.example</t>
  </si>
  <si>
    <t>P5-004</t>
  </si>
  <si>
    <t>B-078</t>
  </si>
  <si>
    <t>3702</t>
  </si>
  <si>
    <t>(305) 555-1614</t>
  </si>
  <si>
    <t>madison.reyes+3702@demo-hoa.example</t>
  </si>
  <si>
    <t>P3-121</t>
  </si>
  <si>
    <t>S-212</t>
  </si>
  <si>
    <t>3703</t>
  </si>
  <si>
    <t>(305) 555-1615</t>
  </si>
  <si>
    <t>grace.vargas+3703@demo-hoa.example</t>
  </si>
  <si>
    <t>Alexander Lopez</t>
  </si>
  <si>
    <t>P1-241</t>
  </si>
  <si>
    <t>3704</t>
  </si>
  <si>
    <t>(305) 555-1616</t>
  </si>
  <si>
    <t>alexander.mendoza+3704@demo-hoa.example</t>
  </si>
  <si>
    <t>P3-202</t>
  </si>
  <si>
    <t>S-117</t>
  </si>
  <si>
    <t>3705</t>
  </si>
  <si>
    <t>(305) 555-1617</t>
  </si>
  <si>
    <t>elijah.romero+3705@demo-hoa.example</t>
  </si>
  <si>
    <t>P3-271</t>
  </si>
  <si>
    <t>3706</t>
  </si>
  <si>
    <t>(305) 555-1618</t>
  </si>
  <si>
    <t>evelyn.castillo+3706@demo-hoa.example</t>
  </si>
  <si>
    <t>P1-096</t>
  </si>
  <si>
    <t>3707</t>
  </si>
  <si>
    <t>(305) 555-1619</t>
  </si>
  <si>
    <t>mason.gomez+3707@demo-hoa.example</t>
  </si>
  <si>
    <t>P2-060</t>
  </si>
  <si>
    <t>3708</t>
  </si>
  <si>
    <t>Isabella Castillo</t>
  </si>
  <si>
    <t>(305) 555-1620</t>
  </si>
  <si>
    <t>isabella.castillo+3708@demo-hoa.example</t>
  </si>
  <si>
    <t>P3-067</t>
  </si>
  <si>
    <t>3709</t>
  </si>
  <si>
    <t>(305) 555-1621</t>
  </si>
  <si>
    <t>olivia.vargas+3709@demo-hoa.example</t>
  </si>
  <si>
    <t>P3-081</t>
  </si>
  <si>
    <t>P4-086</t>
  </si>
  <si>
    <t>B-020</t>
  </si>
  <si>
    <t>S-232</t>
  </si>
  <si>
    <t>3710</t>
  </si>
  <si>
    <t>(305) 555-1622</t>
  </si>
  <si>
    <t>sofia.ramirez+3710@demo-hoa.example</t>
  </si>
  <si>
    <t>P2-244</t>
  </si>
  <si>
    <t>P2-007</t>
  </si>
  <si>
    <t>S-287</t>
  </si>
  <si>
    <t>3711</t>
  </si>
  <si>
    <t>(305) 555-1623</t>
  </si>
  <si>
    <t>ava.gomez+3711@demo-hoa.example</t>
  </si>
  <si>
    <t>P1-087</t>
  </si>
  <si>
    <t>P3-107</t>
  </si>
  <si>
    <t>S-111</t>
  </si>
  <si>
    <t>3712</t>
  </si>
  <si>
    <t>(305) 555-1624</t>
  </si>
  <si>
    <t>isabella.sanchez+3712@demo-hoa.example</t>
  </si>
  <si>
    <t>P1-174</t>
  </si>
  <si>
    <t>S-283</t>
  </si>
  <si>
    <t>3713</t>
  </si>
  <si>
    <t>Daniel Gonzalez</t>
  </si>
  <si>
    <t>(305) 555-1625</t>
  </si>
  <si>
    <t>daniel.gonzalez+3713@demo-hoa.example</t>
  </si>
  <si>
    <t>P3-186</t>
  </si>
  <si>
    <t>P3-248</t>
  </si>
  <si>
    <t>B-033</t>
  </si>
  <si>
    <t>3714</t>
  </si>
  <si>
    <t>Daniel Perez</t>
  </si>
  <si>
    <t>(305) 555-1626</t>
  </si>
  <si>
    <t>daniel.perez+3714@demo-hoa.example</t>
  </si>
  <si>
    <t>Evelyn Delgado</t>
  </si>
  <si>
    <t>P3-245</t>
  </si>
  <si>
    <t>S-059</t>
  </si>
  <si>
    <t>3715</t>
  </si>
  <si>
    <t>(305) 555-1627</t>
  </si>
  <si>
    <t>olivia.vargas+3715@demo-hoa.example</t>
  </si>
  <si>
    <t>P4-182</t>
  </si>
  <si>
    <t>3716</t>
  </si>
  <si>
    <t>(305) 555-1628</t>
  </si>
  <si>
    <t>amelia.navarro+3716@demo-hoa.example</t>
  </si>
  <si>
    <t>P4-114</t>
  </si>
  <si>
    <t>P1-219</t>
  </si>
  <si>
    <t>3717</t>
  </si>
  <si>
    <t>(305) 555-1629</t>
  </si>
  <si>
    <t>madison.vega+3717@demo-hoa.example</t>
  </si>
  <si>
    <t>P3-124</t>
  </si>
  <si>
    <t>P4-234</t>
  </si>
  <si>
    <t>3801</t>
  </si>
  <si>
    <t>(305) 555-1630</t>
  </si>
  <si>
    <t>abigail.diaz+3801@demo-hoa.example</t>
  </si>
  <si>
    <t>P2-169</t>
  </si>
  <si>
    <t>3802</t>
  </si>
  <si>
    <t>(305) 555-1631</t>
  </si>
  <si>
    <t>charlotte.sanchez+3802@demo-hoa.example</t>
  </si>
  <si>
    <t>Mason Reyes</t>
  </si>
  <si>
    <t>P5-223</t>
  </si>
  <si>
    <t>S-051</t>
  </si>
  <si>
    <t>3803</t>
  </si>
  <si>
    <t>(305) 555-1632</t>
  </si>
  <si>
    <t>james.ramirez+3803@demo-hoa.example</t>
  </si>
  <si>
    <t>P2-046</t>
  </si>
  <si>
    <t>3804</t>
  </si>
  <si>
    <t>(305) 555-1633</t>
  </si>
  <si>
    <t>henry.ortiz+3804@demo-hoa.example</t>
  </si>
  <si>
    <t>P3-103</t>
  </si>
  <si>
    <t>S-221</t>
  </si>
  <si>
    <t>3805</t>
  </si>
  <si>
    <t>(305) 555-1634</t>
  </si>
  <si>
    <t>mason.ruiz+3805@demo-hoa.example</t>
  </si>
  <si>
    <t>P3-054</t>
  </si>
  <si>
    <t>S-259</t>
  </si>
  <si>
    <t>3806</t>
  </si>
  <si>
    <t>(305) 555-1635</t>
  </si>
  <si>
    <t>olivia.sanchez+3806@demo-hoa.example</t>
  </si>
  <si>
    <t>P3-026</t>
  </si>
  <si>
    <t>3807</t>
  </si>
  <si>
    <t>(305) 555-1636</t>
  </si>
  <si>
    <t>ava.suarez+3807@demo-hoa.example</t>
  </si>
  <si>
    <t>Mason Flores</t>
  </si>
  <si>
    <t>P3-237</t>
  </si>
  <si>
    <t>3808</t>
  </si>
  <si>
    <t>(305) 555-1637</t>
  </si>
  <si>
    <t>michael.sanchez+3808@demo-hoa.example</t>
  </si>
  <si>
    <t>P5-248</t>
  </si>
  <si>
    <t>P1-216</t>
  </si>
  <si>
    <t>3809</t>
  </si>
  <si>
    <t>Benjamin Suarez</t>
  </si>
  <si>
    <t>(305) 555-1638</t>
  </si>
  <si>
    <t>benjamin.suarez+3809@demo-hoa.example</t>
  </si>
  <si>
    <t>Sofia Reyes</t>
  </si>
  <si>
    <t>P2-010</t>
  </si>
  <si>
    <t>P2-028</t>
  </si>
  <si>
    <t>3810</t>
  </si>
  <si>
    <t>(305) 555-1639</t>
  </si>
  <si>
    <t>ella.gomez+3810@demo-hoa.example</t>
  </si>
  <si>
    <t>P1-001</t>
  </si>
  <si>
    <t>S-233</t>
  </si>
  <si>
    <t>3811</t>
  </si>
  <si>
    <t>(305) 555-1640</t>
  </si>
  <si>
    <t>sebastian.gonzalez+3811@demo-hoa.example</t>
  </si>
  <si>
    <t>Sophia Rivera</t>
  </si>
  <si>
    <t>P4-002</t>
  </si>
  <si>
    <t>3812</t>
  </si>
  <si>
    <t>Isabella Ortiz</t>
  </si>
  <si>
    <t>(305) 555-1641</t>
  </si>
  <si>
    <t>isabella.ortiz+3812@demo-hoa.example</t>
  </si>
  <si>
    <t>P2-278</t>
  </si>
  <si>
    <t>P2-132</t>
  </si>
  <si>
    <t>3813</t>
  </si>
  <si>
    <t>(305) 555-1642</t>
  </si>
  <si>
    <t>liam.ruiz+3813@demo-hoa.example</t>
  </si>
  <si>
    <t>P2-025</t>
  </si>
  <si>
    <t>3814</t>
  </si>
  <si>
    <t>(305) 555-1643</t>
  </si>
  <si>
    <t>evelyn.hernandez+3814@demo-hoa.example</t>
  </si>
  <si>
    <t>P3-015</t>
  </si>
  <si>
    <t>P3-063</t>
  </si>
  <si>
    <t>B-087</t>
  </si>
  <si>
    <t>S-151</t>
  </si>
  <si>
    <t>3815</t>
  </si>
  <si>
    <t>Benjamin Ortiz</t>
  </si>
  <si>
    <t>(305) 555-1644</t>
  </si>
  <si>
    <t>benjamin.ortiz+3815@demo-hoa.example</t>
  </si>
  <si>
    <t>P5-274</t>
  </si>
  <si>
    <t>S-272</t>
  </si>
  <si>
    <t>3816</t>
  </si>
  <si>
    <t>Alexander Ramos</t>
  </si>
  <si>
    <t>(305) 555-1645</t>
  </si>
  <si>
    <t>alexander.ramos+3816@demo-hoa.example</t>
  </si>
  <si>
    <t>P3-199</t>
  </si>
  <si>
    <t>3817</t>
  </si>
  <si>
    <t>Ella Diaz</t>
  </si>
  <si>
    <t>(305) 555-1646</t>
  </si>
  <si>
    <t>ella.diaz+3817@demo-hoa.example</t>
  </si>
  <si>
    <t>P3-126</t>
  </si>
  <si>
    <t>P5-006</t>
  </si>
  <si>
    <t>S-196</t>
  </si>
  <si>
    <t>3901</t>
  </si>
  <si>
    <t>(305) 555-1647</t>
  </si>
  <si>
    <t>grace.cruz+3901@demo-hoa.example</t>
  </si>
  <si>
    <t>P4-090</t>
  </si>
  <si>
    <t>3902</t>
  </si>
  <si>
    <t>(305) 555-1648</t>
  </si>
  <si>
    <t>grace.vargas+3902@demo-hoa.example</t>
  </si>
  <si>
    <t>P5-129</t>
  </si>
  <si>
    <t>3903</t>
  </si>
  <si>
    <t>Liam Ramirez</t>
  </si>
  <si>
    <t>(305) 555-1649</t>
  </si>
  <si>
    <t>liam.ramirez+3903@demo-hoa.example</t>
  </si>
  <si>
    <t>P1-197</t>
  </si>
  <si>
    <t>3904</t>
  </si>
  <si>
    <t>Logan Lopez</t>
  </si>
  <si>
    <t>(305) 555-1650</t>
  </si>
  <si>
    <t>logan.lopez+3904@demo-hoa.example</t>
  </si>
  <si>
    <t>P5-154</t>
  </si>
  <si>
    <t>3905</t>
  </si>
  <si>
    <t>Ava Hernandez</t>
  </si>
  <si>
    <t>(305) 555-1651</t>
  </si>
  <si>
    <t>ava.hernandez+3905@demo-hoa.example</t>
  </si>
  <si>
    <t>P2-284</t>
  </si>
  <si>
    <t>3906</t>
  </si>
  <si>
    <t>(305) 555-1652</t>
  </si>
  <si>
    <t>amelia.lopez+3906@demo-hoa.example</t>
  </si>
  <si>
    <t>P2-019</t>
  </si>
  <si>
    <t>3907</t>
  </si>
  <si>
    <t>(305) 555-1653</t>
  </si>
  <si>
    <t>daniel.ramirez+3907@demo-hoa.example</t>
  </si>
  <si>
    <t>P3-146</t>
  </si>
  <si>
    <t>3908</t>
  </si>
  <si>
    <t>Mason Lopez</t>
  </si>
  <si>
    <t>(305) 555-1654</t>
  </si>
  <si>
    <t>mason.lopez+3908@demo-hoa.example</t>
  </si>
  <si>
    <t>P2-129</t>
  </si>
  <si>
    <t>P5-200</t>
  </si>
  <si>
    <t>B-086</t>
  </si>
  <si>
    <t>S-167</t>
  </si>
  <si>
    <t>3909</t>
  </si>
  <si>
    <t>Sofia Martinez</t>
  </si>
  <si>
    <t>(305) 555-1655</t>
  </si>
  <si>
    <t>sofia.martinez+3909@demo-hoa.example</t>
  </si>
  <si>
    <t>P4-258</t>
  </si>
  <si>
    <t>3910</t>
  </si>
  <si>
    <t>(305) 555-1656</t>
  </si>
  <si>
    <t>harper.martinez+3910@demo-hoa.example</t>
  </si>
  <si>
    <t>Alexander Rodriguez</t>
  </si>
  <si>
    <t>P3-115</t>
  </si>
  <si>
    <t>3911</t>
  </si>
  <si>
    <t>(305) 555-1657</t>
  </si>
  <si>
    <t>olivia.ruiz+3911@demo-hoa.example</t>
  </si>
  <si>
    <t>P5-266</t>
  </si>
  <si>
    <t>P2-236</t>
  </si>
  <si>
    <t>3912</t>
  </si>
  <si>
    <t>(305) 555-1658</t>
  </si>
  <si>
    <t>ella.rivera+3912@demo-hoa.example</t>
  </si>
  <si>
    <t>P2-024</t>
  </si>
  <si>
    <t>P4-111</t>
  </si>
  <si>
    <t>3913</t>
  </si>
  <si>
    <t>James Rivera</t>
  </si>
  <si>
    <t>(305) 555-1659</t>
  </si>
  <si>
    <t>james.rivera+3913@demo-hoa.example</t>
  </si>
  <si>
    <t>P3-170</t>
  </si>
  <si>
    <t>P1-128</t>
  </si>
  <si>
    <t>S-281</t>
  </si>
  <si>
    <t>3914</t>
  </si>
  <si>
    <t>(305) 555-1660</t>
  </si>
  <si>
    <t>emily.vargas+3914@demo-hoa.example</t>
  </si>
  <si>
    <t>P4-017</t>
  </si>
  <si>
    <t>P3-112</t>
  </si>
  <si>
    <t>3915</t>
  </si>
  <si>
    <t>(305) 555-1661</t>
  </si>
  <si>
    <t>alexander.rivera+3915@demo-hoa.example</t>
  </si>
  <si>
    <t>Emily Mendoza</t>
  </si>
  <si>
    <t>P5-057</t>
  </si>
  <si>
    <t>P5-093</t>
  </si>
  <si>
    <t>3916</t>
  </si>
  <si>
    <t>(305) 555-1662</t>
  </si>
  <si>
    <t>abigail.morales+3916@demo-hoa.example</t>
  </si>
  <si>
    <t>P5-100</t>
  </si>
  <si>
    <t>P4-176</t>
  </si>
  <si>
    <t>3917</t>
  </si>
  <si>
    <t>Mia Flores</t>
  </si>
  <si>
    <t>(305) 555-1663</t>
  </si>
  <si>
    <t>mia.flores+3917@demo-hoa.example</t>
  </si>
  <si>
    <t>Lucas Romero</t>
  </si>
  <si>
    <t>P5-107</t>
  </si>
  <si>
    <t>P2-158</t>
  </si>
  <si>
    <t>S-141</t>
  </si>
  <si>
    <t>4001</t>
  </si>
  <si>
    <t>(305) 555-1664</t>
  </si>
  <si>
    <t>alexander.morales+4001@demo-hoa.example</t>
  </si>
  <si>
    <t>P2-089</t>
  </si>
  <si>
    <t>S-065</t>
  </si>
  <si>
    <t>4002</t>
  </si>
  <si>
    <t>(305) 555-1665</t>
  </si>
  <si>
    <t>michael.rivera+4002@demo-hoa.example</t>
  </si>
  <si>
    <t>P5-046</t>
  </si>
  <si>
    <t>S-034</t>
  </si>
  <si>
    <t>4003</t>
  </si>
  <si>
    <t>Harper Castillo</t>
  </si>
  <si>
    <t>(305) 555-1666</t>
  </si>
  <si>
    <t>harper.castillo+4003@demo-hoa.example</t>
  </si>
  <si>
    <t>P3-119</t>
  </si>
  <si>
    <t>S-076</t>
  </si>
  <si>
    <t>4004</t>
  </si>
  <si>
    <t>(305) 555-1667</t>
  </si>
  <si>
    <t>ethan.ramos+4004@demo-hoa.example</t>
  </si>
  <si>
    <t>P3-187</t>
  </si>
  <si>
    <t>4005</t>
  </si>
  <si>
    <t>(305) 555-1668</t>
  </si>
  <si>
    <t>michael.sanchez+4005@demo-hoa.example</t>
  </si>
  <si>
    <t>P3-192</t>
  </si>
  <si>
    <t>S-165</t>
  </si>
  <si>
    <t>4006</t>
  </si>
  <si>
    <t>(305) 555-1669</t>
  </si>
  <si>
    <t>jackson.delgado+4006@demo-hoa.example</t>
  </si>
  <si>
    <t>P3-169</t>
  </si>
  <si>
    <t>4007</t>
  </si>
  <si>
    <t>(305) 555-1670</t>
  </si>
  <si>
    <t>alexander.romero+4007@demo-hoa.example</t>
  </si>
  <si>
    <t>P3-136</t>
  </si>
  <si>
    <t>P2-268</t>
  </si>
  <si>
    <t>S-042</t>
  </si>
  <si>
    <t>4008</t>
  </si>
  <si>
    <t>Sophia Chavez</t>
  </si>
  <si>
    <t>(305) 555-1671</t>
  </si>
  <si>
    <t>sophia.chavez+4008@demo-hoa.example</t>
  </si>
  <si>
    <t>P3-258</t>
  </si>
  <si>
    <t>S-038</t>
  </si>
  <si>
    <t>4009</t>
  </si>
  <si>
    <t>Sofia Ortiz</t>
  </si>
  <si>
    <t>(305) 555-1672</t>
  </si>
  <si>
    <t>sofia.ortiz+4009@demo-hoa.example</t>
  </si>
  <si>
    <t>P5-032</t>
  </si>
  <si>
    <t>P2-249</t>
  </si>
  <si>
    <t>B-072</t>
  </si>
  <si>
    <t>4010</t>
  </si>
  <si>
    <t>Michael Gomez</t>
  </si>
  <si>
    <t>(305) 555-1673</t>
  </si>
  <si>
    <t>michael.gomez+4010@demo-hoa.example</t>
  </si>
  <si>
    <t>Charlotte Ortiz</t>
  </si>
  <si>
    <t>P5-121</t>
  </si>
  <si>
    <t>S-228</t>
  </si>
  <si>
    <t>4011</t>
  </si>
  <si>
    <t>(305) 555-1674</t>
  </si>
  <si>
    <t>amelia.suarez+4011@demo-hoa.example</t>
  </si>
  <si>
    <t>P4-116</t>
  </si>
  <si>
    <t>P5-051</t>
  </si>
  <si>
    <t>4012</t>
  </si>
  <si>
    <t>(305) 555-1675</t>
  </si>
  <si>
    <t>sebastian.ruiz+4012@demo-hoa.example</t>
  </si>
  <si>
    <t>P1-046</t>
  </si>
  <si>
    <t>P1-261</t>
  </si>
  <si>
    <t>B-013</t>
  </si>
  <si>
    <t>4013</t>
  </si>
  <si>
    <t>(305) 555-1676</t>
  </si>
  <si>
    <t>lucas.vargas+4013@demo-hoa.example</t>
  </si>
  <si>
    <t>P1-195</t>
  </si>
  <si>
    <t>P3-023</t>
  </si>
  <si>
    <t>4014</t>
  </si>
  <si>
    <t>(305) 555-1677</t>
  </si>
  <si>
    <t>grace.hernandez+4014@demo-hoa.example</t>
  </si>
  <si>
    <t>Evelyn Cruz</t>
  </si>
  <si>
    <t>P4-070</t>
  </si>
  <si>
    <t>P2-111</t>
  </si>
  <si>
    <t>4015</t>
  </si>
  <si>
    <t>(305) 555-1678</t>
  </si>
  <si>
    <t>benjamin.suarez+4015@demo-hoa.example</t>
  </si>
  <si>
    <t>P4-130</t>
  </si>
  <si>
    <t>B-080</t>
  </si>
  <si>
    <t>4016</t>
  </si>
  <si>
    <t>Charlotte Mendoza</t>
  </si>
  <si>
    <t>(305) 555-1679</t>
  </si>
  <si>
    <t>charlotte.mendoza+4016@demo-hoa.example</t>
  </si>
  <si>
    <t>Mason Rodriguez</t>
  </si>
  <si>
    <t>P2-240</t>
  </si>
  <si>
    <t>P3-053</t>
  </si>
  <si>
    <t>S-252</t>
  </si>
  <si>
    <t>4017</t>
  </si>
  <si>
    <t>(305) 555-1680</t>
  </si>
  <si>
    <t>sofia.gonzalez+4017@demo-hoa.example</t>
  </si>
  <si>
    <t>P2-163</t>
  </si>
  <si>
    <t>P3-238</t>
  </si>
  <si>
    <t>4101</t>
  </si>
  <si>
    <t>(305) 555-1681</t>
  </si>
  <si>
    <t>isabella.torres+4101@demo-hoa.example</t>
  </si>
  <si>
    <t>P4-191</t>
  </si>
  <si>
    <t>4102</t>
  </si>
  <si>
    <t>(305) 555-1682</t>
  </si>
  <si>
    <t>amelia.hernandez+4102@demo-hoa.example</t>
  </si>
  <si>
    <t>P2-070</t>
  </si>
  <si>
    <t>S-056</t>
  </si>
  <si>
    <t>4103</t>
  </si>
  <si>
    <t>Ava Alvarez</t>
  </si>
  <si>
    <t>(305) 555-1683</t>
  </si>
  <si>
    <t>ava.alvarez+4103@demo-hoa.example</t>
  </si>
  <si>
    <t>Abigail Delgado</t>
  </si>
  <si>
    <t>P2-161</t>
  </si>
  <si>
    <t>S-219</t>
  </si>
  <si>
    <t>4104</t>
  </si>
  <si>
    <t>Alexander Reyes</t>
  </si>
  <si>
    <t>(305) 555-1684</t>
  </si>
  <si>
    <t>alexander.reyes+4104@demo-hoa.example</t>
  </si>
  <si>
    <t>P3-043</t>
  </si>
  <si>
    <t>4105</t>
  </si>
  <si>
    <t>(305) 555-1685</t>
  </si>
  <si>
    <t>henry.lopez+4105@demo-hoa.example</t>
  </si>
  <si>
    <t>P1-112</t>
  </si>
  <si>
    <t>4106</t>
  </si>
  <si>
    <t>(305) 555-1686</t>
  </si>
  <si>
    <t>madison.ruiz+4106@demo-hoa.example</t>
  </si>
  <si>
    <t>Lucas Gomez</t>
  </si>
  <si>
    <t>P4-166</t>
  </si>
  <si>
    <t>4107</t>
  </si>
  <si>
    <t>(305) 555-1687</t>
  </si>
  <si>
    <t>jackson.martinez+4107@demo-hoa.example</t>
  </si>
  <si>
    <t>P4-241</t>
  </si>
  <si>
    <t>4108</t>
  </si>
  <si>
    <t>(305) 555-1688</t>
  </si>
  <si>
    <t>sebastian.cruz+4108@demo-hoa.example</t>
  </si>
  <si>
    <t>P3-027</t>
  </si>
  <si>
    <t>P1-183</t>
  </si>
  <si>
    <t>4109</t>
  </si>
  <si>
    <t>(305) 555-1689</t>
  </si>
  <si>
    <t>grace.ramos+4109@demo-hoa.example</t>
  </si>
  <si>
    <t>P4-207</t>
  </si>
  <si>
    <t>P4-047</t>
  </si>
  <si>
    <t>B-009</t>
  </si>
  <si>
    <t>4110</t>
  </si>
  <si>
    <t>(305) 555-1690</t>
  </si>
  <si>
    <t>elijah.alvarez+4110@demo-hoa.example</t>
  </si>
  <si>
    <t>P5-128</t>
  </si>
  <si>
    <t>P1-029</t>
  </si>
  <si>
    <t>4111</t>
  </si>
  <si>
    <t>(305) 555-1691</t>
  </si>
  <si>
    <t>lucas.romero+4111@demo-hoa.example</t>
  </si>
  <si>
    <t>P4-110</t>
  </si>
  <si>
    <t>4112</t>
  </si>
  <si>
    <t>Sebastian Mendoza</t>
  </si>
  <si>
    <t>(305) 555-1692</t>
  </si>
  <si>
    <t>sebastian.mendoza+4112@demo-hoa.example</t>
  </si>
  <si>
    <t>P2-056</t>
  </si>
  <si>
    <t>4113</t>
  </si>
  <si>
    <t>(305) 555-1693</t>
  </si>
  <si>
    <t>noah.lopez+4113@demo-hoa.example</t>
  </si>
  <si>
    <t>P2-266</t>
  </si>
  <si>
    <t>P4-012</t>
  </si>
  <si>
    <t>4114</t>
  </si>
  <si>
    <t>(305) 555-1694</t>
  </si>
  <si>
    <t>charlotte.ramos+4114@demo-hoa.example</t>
  </si>
  <si>
    <t>P3-128</t>
  </si>
  <si>
    <t>P2-126</t>
  </si>
  <si>
    <t>S-206</t>
  </si>
  <si>
    <t>4115</t>
  </si>
  <si>
    <t>(305) 555-1695</t>
  </si>
  <si>
    <t>lucas.lopez+4115@demo-hoa.example</t>
  </si>
  <si>
    <t>P2-238</t>
  </si>
  <si>
    <t>P3-089</t>
  </si>
  <si>
    <t>4116</t>
  </si>
  <si>
    <t>Alexander Flores</t>
  </si>
  <si>
    <t>(305) 555-1696</t>
  </si>
  <si>
    <t>alexander.flores+4116@demo-hoa.example</t>
  </si>
  <si>
    <t>P2-076</t>
  </si>
  <si>
    <t>P4-146</t>
  </si>
  <si>
    <t>4117</t>
  </si>
  <si>
    <t>Mia Torres</t>
  </si>
  <si>
    <t>(305) 555-1697</t>
  </si>
  <si>
    <t>mia.torres+4117@demo-hoa.example</t>
  </si>
  <si>
    <t>Jackson Mendoza</t>
  </si>
  <si>
    <t>P3-224</t>
  </si>
  <si>
    <t>P4-139</t>
  </si>
  <si>
    <t>S-246</t>
  </si>
  <si>
    <t>4201</t>
  </si>
  <si>
    <t>(305) 555-1698</t>
  </si>
  <si>
    <t>liam.cruz+4201@demo-hoa.example</t>
  </si>
  <si>
    <t>P1-072</t>
  </si>
  <si>
    <t>4202</t>
  </si>
  <si>
    <t>(305) 555-1699</t>
  </si>
  <si>
    <t>elijah.gomez+4202@demo-hoa.example</t>
  </si>
  <si>
    <t>P4-034</t>
  </si>
  <si>
    <t>4203</t>
  </si>
  <si>
    <t>(305) 555-1700</t>
  </si>
  <si>
    <t>sophia.rivera+4203@demo-hoa.example</t>
  </si>
  <si>
    <t>P5-176</t>
  </si>
  <si>
    <t>4204</t>
  </si>
  <si>
    <t>(305) 555-1701</t>
  </si>
  <si>
    <t>sofia.ortiz+4204@demo-hoa.example</t>
  </si>
  <si>
    <t>P2-053</t>
  </si>
  <si>
    <t>S-032</t>
  </si>
  <si>
    <t>4205</t>
  </si>
  <si>
    <t>(305) 555-1702</t>
  </si>
  <si>
    <t>abigail.lopez+4205@demo-hoa.example</t>
  </si>
  <si>
    <t>P2-125</t>
  </si>
  <si>
    <t>4206</t>
  </si>
  <si>
    <t>(305) 555-1703</t>
  </si>
  <si>
    <t>liam.lopez+4206@demo-hoa.example</t>
  </si>
  <si>
    <t>P1-198</t>
  </si>
  <si>
    <t>4207</t>
  </si>
  <si>
    <t>(305) 555-1704</t>
  </si>
  <si>
    <t>lucas.diaz+4207@demo-hoa.example</t>
  </si>
  <si>
    <t>P3-108</t>
  </si>
  <si>
    <t>P1-025</t>
  </si>
  <si>
    <t>4208</t>
  </si>
  <si>
    <t>Emily Diaz</t>
  </si>
  <si>
    <t>(305) 555-1705</t>
  </si>
  <si>
    <t>emily.diaz+4208@demo-hoa.example</t>
  </si>
  <si>
    <t>P5-141</t>
  </si>
  <si>
    <t>P1-234</t>
  </si>
  <si>
    <t>B-043</t>
  </si>
  <si>
    <t>S-016</t>
  </si>
  <si>
    <t>4209</t>
  </si>
  <si>
    <t>(305) 555-1706</t>
  </si>
  <si>
    <t>abigail.ortiz+4209@demo-hoa.example</t>
  </si>
  <si>
    <t>P4-041</t>
  </si>
  <si>
    <t>P3-247</t>
  </si>
  <si>
    <t>4210</t>
  </si>
  <si>
    <t>(305) 555-1707</t>
  </si>
  <si>
    <t>mia.rivera+4210@demo-hoa.example</t>
  </si>
  <si>
    <t>P3-273</t>
  </si>
  <si>
    <t>P2-029</t>
  </si>
  <si>
    <t>4211</t>
  </si>
  <si>
    <t>Evelyn Ruiz</t>
  </si>
  <si>
    <t>(305) 555-1708</t>
  </si>
  <si>
    <t>evelyn.ruiz+4211@demo-hoa.example</t>
  </si>
  <si>
    <t>P2-075</t>
  </si>
  <si>
    <t>P5-079</t>
  </si>
  <si>
    <t>4212</t>
  </si>
  <si>
    <t>(305) 555-1709</t>
  </si>
  <si>
    <t>sofia.perez+4212@demo-hoa.example</t>
  </si>
  <si>
    <t>Ava Chavez</t>
  </si>
  <si>
    <t>P5-237</t>
  </si>
  <si>
    <t>P3-269</t>
  </si>
  <si>
    <t>S-235</t>
  </si>
  <si>
    <t>4213</t>
  </si>
  <si>
    <t>(305) 555-1710</t>
  </si>
  <si>
    <t>evelyn.flores+4213@demo-hoa.example</t>
  </si>
  <si>
    <t>P4-246</t>
  </si>
  <si>
    <t>4214</t>
  </si>
  <si>
    <t>Sophia Ramos</t>
  </si>
  <si>
    <t>(305) 555-1711</t>
  </si>
  <si>
    <t>sophia.ramos+4214@demo-hoa.example</t>
  </si>
  <si>
    <t>P1-228</t>
  </si>
  <si>
    <t>P4-268</t>
  </si>
  <si>
    <t>4215</t>
  </si>
  <si>
    <t>(305) 555-1712</t>
  </si>
  <si>
    <t>daniel.ruiz+4215@demo-hoa.example</t>
  </si>
  <si>
    <t>P4-028</t>
  </si>
  <si>
    <t>P5-117</t>
  </si>
  <si>
    <t>4216</t>
  </si>
  <si>
    <t>(305) 555-1713</t>
  </si>
  <si>
    <t>sophia.romero+4216@demo-hoa.example</t>
  </si>
  <si>
    <t>P4-042</t>
  </si>
  <si>
    <t>B-081</t>
  </si>
  <si>
    <t>4217</t>
  </si>
  <si>
    <t>(305) 555-1714</t>
  </si>
  <si>
    <t>amelia.alvarez+4217@demo-hoa.example</t>
  </si>
  <si>
    <t>P2-108</t>
  </si>
  <si>
    <t>P3-151</t>
  </si>
  <si>
    <t>4301</t>
  </si>
  <si>
    <t>(305) 555-1715</t>
  </si>
  <si>
    <t>emily.ruiz+4301@demo-hoa.example</t>
  </si>
  <si>
    <t>P3-239</t>
  </si>
  <si>
    <t>4302</t>
  </si>
  <si>
    <t>(305) 555-1716</t>
  </si>
  <si>
    <t>alexander.ramirez+4302@demo-hoa.example</t>
  </si>
  <si>
    <t>P5-253</t>
  </si>
  <si>
    <t>B-007</t>
  </si>
  <si>
    <t>4303</t>
  </si>
  <si>
    <t>Noah Gomez</t>
  </si>
  <si>
    <t>(305) 555-1717</t>
  </si>
  <si>
    <t>noah.gomez+4303@demo-hoa.example</t>
  </si>
  <si>
    <t>P5-143</t>
  </si>
  <si>
    <t>4304</t>
  </si>
  <si>
    <t>(305) 555-1718</t>
  </si>
  <si>
    <t>lucas.diaz+4304@demo-hoa.example</t>
  </si>
  <si>
    <t>P2-225</t>
  </si>
  <si>
    <t>4305</t>
  </si>
  <si>
    <t>(305) 555-1719</t>
  </si>
  <si>
    <t>henry.ortiz+4305@demo-hoa.example</t>
  </si>
  <si>
    <t>P3-276</t>
  </si>
  <si>
    <t>B-077</t>
  </si>
  <si>
    <t>4306</t>
  </si>
  <si>
    <t>Liam Perez</t>
  </si>
  <si>
    <t>(305) 555-1720</t>
  </si>
  <si>
    <t>liam.perez+4306@demo-hoa.example</t>
  </si>
  <si>
    <t>P3-113</t>
  </si>
  <si>
    <t>4307</t>
  </si>
  <si>
    <t>Jackson Diaz</t>
  </si>
  <si>
    <t>(305) 555-1721</t>
  </si>
  <si>
    <t>jackson.diaz+4307@demo-hoa.example</t>
  </si>
  <si>
    <t>P2-084</t>
  </si>
  <si>
    <t>P1-051</t>
  </si>
  <si>
    <t>4308</t>
  </si>
  <si>
    <t>Michael Torres</t>
  </si>
  <si>
    <t>(305) 555-1722</t>
  </si>
  <si>
    <t>michael.torres+4308@demo-hoa.example</t>
  </si>
  <si>
    <t>P3-277</t>
  </si>
  <si>
    <t>P2-079</t>
  </si>
  <si>
    <t>4309</t>
  </si>
  <si>
    <t>James Delgado</t>
  </si>
  <si>
    <t>(305) 555-1723</t>
  </si>
  <si>
    <t>james.delgado+4309@demo-hoa.example</t>
  </si>
  <si>
    <t>P2-049</t>
  </si>
  <si>
    <t>P5-022</t>
  </si>
  <si>
    <t>4310</t>
  </si>
  <si>
    <t>(305) 555-1724</t>
  </si>
  <si>
    <t>mason.reyes+4310@demo-hoa.example</t>
  </si>
  <si>
    <t>P2-033</t>
  </si>
  <si>
    <t>P5-020</t>
  </si>
  <si>
    <t>4311</t>
  </si>
  <si>
    <t>Logan Cruz</t>
  </si>
  <si>
    <t>(305) 555-1725</t>
  </si>
  <si>
    <t>logan.cruz+4311@demo-hoa.example</t>
  </si>
  <si>
    <t>Elijah Delgado</t>
  </si>
  <si>
    <t>P3-157</t>
  </si>
  <si>
    <t>4312</t>
  </si>
  <si>
    <t>(305) 555-1726</t>
  </si>
  <si>
    <t>alexander.sanchez+4312@demo-hoa.example</t>
  </si>
  <si>
    <t>P1-211</t>
  </si>
  <si>
    <t>4313</t>
  </si>
  <si>
    <t>(305) 555-1727</t>
  </si>
  <si>
    <t>ella.vega+4313@demo-hoa.example</t>
  </si>
  <si>
    <t>P5-031</t>
  </si>
  <si>
    <t>4314</t>
  </si>
  <si>
    <t>(305) 555-1728</t>
  </si>
  <si>
    <t>sophia.gutierrez+4314@demo-hoa.example</t>
  </si>
  <si>
    <t>P2-147</t>
  </si>
  <si>
    <t>P3-165</t>
  </si>
  <si>
    <t>B-044</t>
  </si>
  <si>
    <t>4315</t>
  </si>
  <si>
    <t>(305) 555-1729</t>
  </si>
  <si>
    <t>lucas.ruiz+4315@demo-hoa.example</t>
  </si>
  <si>
    <t>Logan Navarro</t>
  </si>
  <si>
    <t>P4-264</t>
  </si>
  <si>
    <t>P3-179</t>
  </si>
  <si>
    <t>4316</t>
  </si>
  <si>
    <t>(305) 555-1730</t>
  </si>
  <si>
    <t>sebastian.cruz+4316@demo-hoa.example</t>
  </si>
  <si>
    <t>P3-064</t>
  </si>
  <si>
    <t>4317</t>
  </si>
  <si>
    <t>Mia Rodriguez</t>
  </si>
  <si>
    <t>(305) 555-1731</t>
  </si>
  <si>
    <t>mia.rodriguez+4317@demo-hoa.example</t>
  </si>
  <si>
    <t>P1-086</t>
  </si>
  <si>
    <t>P4-029</t>
  </si>
  <si>
    <t>4401</t>
  </si>
  <si>
    <t>Grace Gonzalez</t>
  </si>
  <si>
    <t>(305) 555-1732</t>
  </si>
  <si>
    <t>grace.gonzalez+4401@demo-hoa.example</t>
  </si>
  <si>
    <t>P2-020</t>
  </si>
  <si>
    <t>4402</t>
  </si>
  <si>
    <t>(305) 555-1733</t>
  </si>
  <si>
    <t>james.flores+4402@demo-hoa.example</t>
  </si>
  <si>
    <t>P4-237</t>
  </si>
  <si>
    <t>4403</t>
  </si>
  <si>
    <t>(305) 555-1734</t>
  </si>
  <si>
    <t>harper.perez+4403@demo-hoa.example</t>
  </si>
  <si>
    <t>P1-074</t>
  </si>
  <si>
    <t>4404</t>
  </si>
  <si>
    <t>(305) 555-1735</t>
  </si>
  <si>
    <t>liam.gonzalez+4404@demo-hoa.example</t>
  </si>
  <si>
    <t>P2-022</t>
  </si>
  <si>
    <t>4405</t>
  </si>
  <si>
    <t>(305) 555-1736</t>
  </si>
  <si>
    <t>amelia.lopez+4405@demo-hoa.example</t>
  </si>
  <si>
    <t>P5-030</t>
  </si>
  <si>
    <t>4406</t>
  </si>
  <si>
    <t>Mia Delgado</t>
  </si>
  <si>
    <t>(305) 555-1737</t>
  </si>
  <si>
    <t>mia.delgado+4406@demo-hoa.example</t>
  </si>
  <si>
    <t>P5-116</t>
  </si>
  <si>
    <t>B-053</t>
  </si>
  <si>
    <t>4407</t>
  </si>
  <si>
    <t>(305) 555-1738</t>
  </si>
  <si>
    <t>olivia.reyes+4407@demo-hoa.example</t>
  </si>
  <si>
    <t>P5-144</t>
  </si>
  <si>
    <t>4408</t>
  </si>
  <si>
    <t>(305) 555-1739</t>
  </si>
  <si>
    <t>lucas.vargas+4408@demo-hoa.example</t>
  </si>
  <si>
    <t>P4-024</t>
  </si>
  <si>
    <t>P4-053</t>
  </si>
  <si>
    <t>4409</t>
  </si>
  <si>
    <t>(305) 555-1740</t>
  </si>
  <si>
    <t>henry.lopez+4409@demo-hoa.example</t>
  </si>
  <si>
    <t>P5-124</t>
  </si>
  <si>
    <t>P2-253</t>
  </si>
  <si>
    <t>4410</t>
  </si>
  <si>
    <t>Amelia Sanchez</t>
  </si>
  <si>
    <t>(305) 555-1741</t>
  </si>
  <si>
    <t>amelia.sanchez+4410@demo-hoa.example</t>
  </si>
  <si>
    <t>P1-268</t>
  </si>
  <si>
    <t>4411</t>
  </si>
  <si>
    <t>(305) 555-1742</t>
  </si>
  <si>
    <t>sofia.castillo+4411@demo-hoa.example</t>
  </si>
  <si>
    <t>P3-116</t>
  </si>
  <si>
    <t>4412</t>
  </si>
  <si>
    <t>(305) 555-1743</t>
  </si>
  <si>
    <t>mia.torres+4412@demo-hoa.example</t>
  </si>
  <si>
    <t>P1-008</t>
  </si>
  <si>
    <t>P1-091</t>
  </si>
  <si>
    <t>4413</t>
  </si>
  <si>
    <t>Liam Alvarez</t>
  </si>
  <si>
    <t>(305) 555-1744</t>
  </si>
  <si>
    <t>liam.alvarez+4413@demo-hoa.example</t>
  </si>
  <si>
    <t>P2-283</t>
  </si>
  <si>
    <t>4414</t>
  </si>
  <si>
    <t>(305) 555-1745</t>
  </si>
  <si>
    <t>elijah.gomez+4414@demo-hoa.example</t>
  </si>
  <si>
    <t>P5-050</t>
  </si>
  <si>
    <t>P5-245</t>
  </si>
  <si>
    <t>B-050</t>
  </si>
  <si>
    <t>4415</t>
  </si>
  <si>
    <t>(305) 555-1746</t>
  </si>
  <si>
    <t>james.romero+4415@demo-hoa.example</t>
  </si>
  <si>
    <t>P1-105</t>
  </si>
  <si>
    <t>P5-148</t>
  </si>
  <si>
    <t>4416</t>
  </si>
  <si>
    <t>(305) 555-1747</t>
  </si>
  <si>
    <t>alexander.lopez+4416@demo-hoa.example</t>
  </si>
  <si>
    <t>P5-118</t>
  </si>
  <si>
    <t>P4-184</t>
  </si>
  <si>
    <t>4417</t>
  </si>
  <si>
    <t>(305) 555-1748</t>
  </si>
  <si>
    <t>logan.vargas+4417@demo-hoa.example</t>
  </si>
  <si>
    <t>P2-257</t>
  </si>
  <si>
    <t>P3-135</t>
  </si>
  <si>
    <t>4501</t>
  </si>
  <si>
    <t>Sofia Torres</t>
  </si>
  <si>
    <t>(305) 555-1749</t>
  </si>
  <si>
    <t>sofia.torres+4501@demo-hoa.example</t>
  </si>
  <si>
    <t>P2-148</t>
  </si>
  <si>
    <t>4502</t>
  </si>
  <si>
    <t>(305) 555-1750</t>
  </si>
  <si>
    <t>mia.cruz+4502@demo-hoa.example</t>
  </si>
  <si>
    <t>P3-010</t>
  </si>
  <si>
    <t>4503</t>
  </si>
  <si>
    <t>(305) 555-1751</t>
  </si>
  <si>
    <t>sofia.gonzalez+4503@demo-hoa.example</t>
  </si>
  <si>
    <t>P2-274</t>
  </si>
  <si>
    <t>4504</t>
  </si>
  <si>
    <t>(305) 555-1752</t>
  </si>
  <si>
    <t>jackson.gutierrez+4504@demo-hoa.example</t>
  </si>
  <si>
    <t>Noah Perez</t>
  </si>
  <si>
    <t>P5-249</t>
  </si>
  <si>
    <t>4505</t>
  </si>
  <si>
    <t>(305) 555-1753</t>
  </si>
  <si>
    <t>ethan.ramos+4505@demo-hoa.example</t>
  </si>
  <si>
    <t>P1-220</t>
  </si>
  <si>
    <t>4506</t>
  </si>
  <si>
    <t>Jackson Ramirez</t>
  </si>
  <si>
    <t>(305) 555-1754</t>
  </si>
  <si>
    <t>jackson.ramirez+4506@demo-hoa.example</t>
  </si>
  <si>
    <t>P1-237</t>
  </si>
  <si>
    <t>4507</t>
  </si>
  <si>
    <t>Mason Martinez</t>
  </si>
  <si>
    <t>(305) 555-1755</t>
  </si>
  <si>
    <t>mason.martinez+4507@demo-hoa.example</t>
  </si>
  <si>
    <t>P5-239</t>
  </si>
  <si>
    <t>4508</t>
  </si>
  <si>
    <t>(305) 555-1756</t>
  </si>
  <si>
    <t>ella.sanchez+4508@demo-hoa.example</t>
  </si>
  <si>
    <t>P1-276</t>
  </si>
  <si>
    <t>P1-213</t>
  </si>
  <si>
    <t>4509</t>
  </si>
  <si>
    <t>(305) 555-1757</t>
  </si>
  <si>
    <t>alexander.flores+4509@demo-hoa.example</t>
  </si>
  <si>
    <t>P3-046</t>
  </si>
  <si>
    <t>P1-017</t>
  </si>
  <si>
    <t>B-037</t>
  </si>
  <si>
    <t>4510</t>
  </si>
  <si>
    <t>(305) 555-1758</t>
  </si>
  <si>
    <t>ava.chavez+4510@demo-hoa.example</t>
  </si>
  <si>
    <t>P5-149</t>
  </si>
  <si>
    <t>4511</t>
  </si>
  <si>
    <t>(305) 555-1759</t>
  </si>
  <si>
    <t>emily.castillo+4511@demo-hoa.example</t>
  </si>
  <si>
    <t>P3-052</t>
  </si>
  <si>
    <t>4512</t>
  </si>
  <si>
    <t>(305) 555-1760</t>
  </si>
  <si>
    <t>jackson.suarez+4512@demo-hoa.example</t>
  </si>
  <si>
    <t>P5-090</t>
  </si>
  <si>
    <t>P5-138</t>
  </si>
  <si>
    <t>4513</t>
  </si>
  <si>
    <t>Ethan Morales</t>
  </si>
  <si>
    <t>(305) 555-1761</t>
  </si>
  <si>
    <t>ethan.morales+4513@demo-hoa.example</t>
  </si>
  <si>
    <t>P3-016</t>
  </si>
  <si>
    <t>P3-189</t>
  </si>
  <si>
    <t>4514</t>
  </si>
  <si>
    <t>(305) 555-1762</t>
  </si>
  <si>
    <t>grace.perez+4514@demo-hoa.example</t>
  </si>
  <si>
    <t>P2-217</t>
  </si>
  <si>
    <t>4515</t>
  </si>
  <si>
    <t>(305) 555-1763</t>
  </si>
  <si>
    <t>emily.diaz+4515@demo-hoa.example</t>
  </si>
  <si>
    <t>P4-270</t>
  </si>
  <si>
    <t>P3-147</t>
  </si>
  <si>
    <t>4516</t>
  </si>
  <si>
    <t>(305) 555-1764</t>
  </si>
  <si>
    <t>mia.ruiz+4516@demo-hoa.example</t>
  </si>
  <si>
    <t>P1-272</t>
  </si>
  <si>
    <t>P4-255</t>
  </si>
  <si>
    <t>4517</t>
  </si>
  <si>
    <t>(305) 555-1765</t>
  </si>
  <si>
    <t>emily.vargas+4517@demo-hoa.example</t>
  </si>
  <si>
    <t>P4-185</t>
  </si>
  <si>
    <t>P2-153</t>
  </si>
  <si>
    <t>4601</t>
  </si>
  <si>
    <t>Abigail Vega</t>
  </si>
  <si>
    <t>(305) 555-1766</t>
  </si>
  <si>
    <t>abigail.vega+4601@demo-hoa.example</t>
  </si>
  <si>
    <t>P1-151</t>
  </si>
  <si>
    <t>4602</t>
  </si>
  <si>
    <t>(305) 555-1767</t>
  </si>
  <si>
    <t>sofia.torres+4602@demo-hoa.example</t>
  </si>
  <si>
    <t>P1-205</t>
  </si>
  <si>
    <t>4603</t>
  </si>
  <si>
    <t>Ella Reyes</t>
  </si>
  <si>
    <t>(305) 555-1768</t>
  </si>
  <si>
    <t>ella.reyes+4603@demo-hoa.example</t>
  </si>
  <si>
    <t>P4-087</t>
  </si>
  <si>
    <t>4604</t>
  </si>
  <si>
    <t>(305) 555-1769</t>
  </si>
  <si>
    <t>emily.flores+4604@demo-hoa.example</t>
  </si>
  <si>
    <t>P1-020</t>
  </si>
  <si>
    <t>4605</t>
  </si>
  <si>
    <t>(305) 555-1770</t>
  </si>
  <si>
    <t>lucas.lopez+4605@demo-hoa.example</t>
  </si>
  <si>
    <t>P1-149</t>
  </si>
  <si>
    <t>4606</t>
  </si>
  <si>
    <t>(305) 555-1771</t>
  </si>
  <si>
    <t>olivia.vargas+4606@demo-hoa.example</t>
  </si>
  <si>
    <t>P4-260</t>
  </si>
  <si>
    <t>4607</t>
  </si>
  <si>
    <t>(305) 555-1772</t>
  </si>
  <si>
    <t>amelia.cruz+4607@demo-hoa.example</t>
  </si>
  <si>
    <t>P4-085</t>
  </si>
  <si>
    <t>4608</t>
  </si>
  <si>
    <t>(305) 555-1773</t>
  </si>
  <si>
    <t>harper.romero+4608@demo-hoa.example</t>
  </si>
  <si>
    <t>P3-047</t>
  </si>
  <si>
    <t>4609</t>
  </si>
  <si>
    <t>(305) 555-1774</t>
  </si>
  <si>
    <t>olivia.gonzalez+4609@demo-hoa.example</t>
  </si>
  <si>
    <t>P1-269</t>
  </si>
  <si>
    <t>P5-180</t>
  </si>
  <si>
    <t>4610</t>
  </si>
  <si>
    <t>(305) 555-1775</t>
  </si>
  <si>
    <t>olivia.gonzalez+4610@demo-hoa.example</t>
  </si>
  <si>
    <t>P5-010</t>
  </si>
  <si>
    <t>P2-205</t>
  </si>
  <si>
    <t>4611</t>
  </si>
  <si>
    <t>(305) 555-1776</t>
  </si>
  <si>
    <t>sofia.reyes+4611@demo-hoa.example</t>
  </si>
  <si>
    <t>P3-076</t>
  </si>
  <si>
    <t>P2-135</t>
  </si>
  <si>
    <t>4612</t>
  </si>
  <si>
    <t>(305) 555-1777</t>
  </si>
  <si>
    <t>jackson.rodriguez+4612@demo-hoa.example</t>
  </si>
  <si>
    <t>P2-251</t>
  </si>
  <si>
    <t>P3-080</t>
  </si>
  <si>
    <t>4613</t>
  </si>
  <si>
    <t>(305) 555-1778</t>
  </si>
  <si>
    <t>jackson.suarez+4613@demo-hoa.example</t>
  </si>
  <si>
    <t>P4-219</t>
  </si>
  <si>
    <t>P4-007</t>
  </si>
  <si>
    <t>4614</t>
  </si>
  <si>
    <t>(305) 555-1779</t>
  </si>
  <si>
    <t>sophia.lopez+4614@demo-hoa.example</t>
  </si>
  <si>
    <t>P1-168</t>
  </si>
  <si>
    <t>4615</t>
  </si>
  <si>
    <t>Daniel Ramos</t>
  </si>
  <si>
    <t>(305) 555-1780</t>
  </si>
  <si>
    <t>daniel.ramos+4615@demo-hoa.example</t>
  </si>
  <si>
    <t>P1-082</t>
  </si>
  <si>
    <t>P2-221</t>
  </si>
  <si>
    <t>4616</t>
  </si>
  <si>
    <t>(305) 555-1781</t>
  </si>
  <si>
    <t>elijah.romero+4616@demo-hoa.example</t>
  </si>
  <si>
    <t>P1-246</t>
  </si>
  <si>
    <t>P3-259</t>
  </si>
  <si>
    <t>4617</t>
  </si>
  <si>
    <t>(305) 555-1782</t>
  </si>
  <si>
    <t>emily.martinez+4617@demo-hoa.example</t>
  </si>
  <si>
    <t>P2-198</t>
  </si>
  <si>
    <t>P1-140</t>
  </si>
  <si>
    <t>4701</t>
  </si>
  <si>
    <t>(305) 555-1783</t>
  </si>
  <si>
    <t>sofia.ramirez+4701@demo-hoa.example</t>
  </si>
  <si>
    <t>P1-141</t>
  </si>
  <si>
    <t>4702</t>
  </si>
  <si>
    <t>(305) 555-1784</t>
  </si>
  <si>
    <t>charlotte.vargas+4702@demo-hoa.example</t>
  </si>
  <si>
    <t>P2-097</t>
  </si>
  <si>
    <t>4703</t>
  </si>
  <si>
    <t>(305) 555-1785</t>
  </si>
  <si>
    <t>emily.diaz+4703@demo-hoa.example</t>
  </si>
  <si>
    <t>P1-165</t>
  </si>
  <si>
    <t>4704</t>
  </si>
  <si>
    <t>(305) 555-1786</t>
  </si>
  <si>
    <t>mia.hernandez+4704@demo-hoa.example</t>
  </si>
  <si>
    <t>P4-189</t>
  </si>
  <si>
    <t>4705</t>
  </si>
  <si>
    <t>(305) 555-1787</t>
  </si>
  <si>
    <t>mia.hernandez+4705@demo-hoa.example</t>
  </si>
  <si>
    <t>P1-117</t>
  </si>
  <si>
    <t>4706</t>
  </si>
  <si>
    <t>Lucas Torres</t>
  </si>
  <si>
    <t>(305) 555-1788</t>
  </si>
  <si>
    <t>lucas.torres+4706@demo-hoa.example</t>
  </si>
  <si>
    <t>P2-039</t>
  </si>
  <si>
    <t>4707</t>
  </si>
  <si>
    <t>(305) 555-1789</t>
  </si>
  <si>
    <t>ava.gomez+4707@demo-hoa.example</t>
  </si>
  <si>
    <t>Madison Flores</t>
  </si>
  <si>
    <t>P4-236</t>
  </si>
  <si>
    <t>P4-178</t>
  </si>
  <si>
    <t>4708</t>
  </si>
  <si>
    <t>Evelyn Lopez</t>
  </si>
  <si>
    <t>(305) 555-1790</t>
  </si>
  <si>
    <t>evelyn.lopez+4708@demo-hoa.example</t>
  </si>
  <si>
    <t>P4-125</t>
  </si>
  <si>
    <t>P1-103</t>
  </si>
  <si>
    <t>4709</t>
  </si>
  <si>
    <t>Noah Vega</t>
  </si>
  <si>
    <t>(305) 555-1791</t>
  </si>
  <si>
    <t>noah.vega+4709@demo-hoa.example</t>
  </si>
  <si>
    <t>P1-118</t>
  </si>
  <si>
    <t>4710</t>
  </si>
  <si>
    <t>(305) 555-1792</t>
  </si>
  <si>
    <t>sebastian.suarez+4710@demo-hoa.example</t>
  </si>
  <si>
    <t>P3-075</t>
  </si>
  <si>
    <t>P5-169</t>
  </si>
  <si>
    <t>4711</t>
  </si>
  <si>
    <t>Madison Alvarez</t>
  </si>
  <si>
    <t>(305) 555-1793</t>
  </si>
  <si>
    <t>madison.alvarez+4711@demo-hoa.example</t>
  </si>
  <si>
    <t>Charlotte Ramirez</t>
  </si>
  <si>
    <t>P4-259</t>
  </si>
  <si>
    <t>4712</t>
  </si>
  <si>
    <t>Mason Chavez</t>
  </si>
  <si>
    <t>(305) 555-1794</t>
  </si>
  <si>
    <t>mason.chavez+4712@demo-hoa.example</t>
  </si>
  <si>
    <t>P1-120</t>
  </si>
  <si>
    <t>P2-162</t>
  </si>
  <si>
    <t>4713</t>
  </si>
  <si>
    <t>(305) 555-1795</t>
  </si>
  <si>
    <t>james.hernandez+4713@demo-hoa.example</t>
  </si>
  <si>
    <t>P3-040</t>
  </si>
  <si>
    <t>P2-105</t>
  </si>
  <si>
    <t>4714</t>
  </si>
  <si>
    <t>Mia Ramos</t>
  </si>
  <si>
    <t>(305) 555-1796</t>
  </si>
  <si>
    <t>mia.ramos+4714@demo-hoa.example</t>
  </si>
  <si>
    <t>P2-034</t>
  </si>
  <si>
    <t>P4-145</t>
  </si>
  <si>
    <t>4715</t>
  </si>
  <si>
    <t>(305) 555-1797</t>
  </si>
  <si>
    <t>olivia.gomez+4715@demo-hoa.example</t>
  </si>
  <si>
    <t>Noah Alvarez</t>
  </si>
  <si>
    <t>P5-003</t>
  </si>
  <si>
    <t>P5-265</t>
  </si>
  <si>
    <t>4716</t>
  </si>
  <si>
    <t>Logan Rodriguez</t>
  </si>
  <si>
    <t>(305) 555-1798</t>
  </si>
  <si>
    <t>logan.rodriguez+4716@demo-hoa.example</t>
  </si>
  <si>
    <t>P3-017</t>
  </si>
  <si>
    <t>P4-080</t>
  </si>
  <si>
    <t>4717</t>
  </si>
  <si>
    <t>(305) 555-1799</t>
  </si>
  <si>
    <t>harper.morales+4717@demo-hoa.example</t>
  </si>
  <si>
    <t>P2-260</t>
  </si>
  <si>
    <t>4801</t>
  </si>
  <si>
    <t>Noah Rivera</t>
  </si>
  <si>
    <t>(305) 555-1800</t>
  </si>
  <si>
    <t>noah.rivera+4801@demo-hoa.example</t>
  </si>
  <si>
    <t>P3-232</t>
  </si>
  <si>
    <t>4802</t>
  </si>
  <si>
    <t>(305) 555-1801</t>
  </si>
  <si>
    <t>logan.gonzalez+4802@demo-hoa.example</t>
  </si>
  <si>
    <t>P1-005</t>
  </si>
  <si>
    <t>4803</t>
  </si>
  <si>
    <t>(305) 555-1802</t>
  </si>
  <si>
    <t>liam.cruz+4803@demo-hoa.example</t>
  </si>
  <si>
    <t>Henry Gomez</t>
  </si>
  <si>
    <t>P3-209</t>
  </si>
  <si>
    <t>4804</t>
  </si>
  <si>
    <t>(305) 555-1803</t>
  </si>
  <si>
    <t>ethan.hernandez+4804@demo-hoa.example</t>
  </si>
  <si>
    <t>P2-054</t>
  </si>
  <si>
    <t>4805</t>
  </si>
  <si>
    <t>(305) 555-1804</t>
  </si>
  <si>
    <t>daniel.vega+4805@demo-hoa.example</t>
  </si>
  <si>
    <t>P5-273</t>
  </si>
  <si>
    <t>4806</t>
  </si>
  <si>
    <t>(305) 555-1805</t>
  </si>
  <si>
    <t>james.reyes+4806@demo-hoa.example</t>
  </si>
  <si>
    <t>P5-188</t>
  </si>
  <si>
    <t>4807</t>
  </si>
  <si>
    <t>(305) 555-1806</t>
  </si>
  <si>
    <t>ava.chavez+4807@demo-hoa.example</t>
  </si>
  <si>
    <t>P2-154</t>
  </si>
  <si>
    <t>4808</t>
  </si>
  <si>
    <t>(305) 555-1807</t>
  </si>
  <si>
    <t>ella.romero+4808@demo-hoa.example</t>
  </si>
  <si>
    <t>P4-134</t>
  </si>
  <si>
    <t>4809</t>
  </si>
  <si>
    <t>(305) 555-1808</t>
  </si>
  <si>
    <t>mia.delgado+4809@demo-hoa.example</t>
  </si>
  <si>
    <t>Daniel Reyes</t>
  </si>
  <si>
    <t>P5-065</t>
  </si>
  <si>
    <t>4810</t>
  </si>
  <si>
    <t>(305) 555-1809</t>
  </si>
  <si>
    <t>mia.martinez+4810@demo-hoa.example</t>
  </si>
  <si>
    <t>Isabella Romero</t>
  </si>
  <si>
    <t>P3-265</t>
  </si>
  <si>
    <t>4811</t>
  </si>
  <si>
    <t>(305) 555-1810</t>
  </si>
  <si>
    <t>abigail.rodriguez+4811@demo-hoa.example</t>
  </si>
  <si>
    <t>P2-057</t>
  </si>
  <si>
    <t>P2-201</t>
  </si>
  <si>
    <t>4812</t>
  </si>
  <si>
    <t>(305) 555-1811</t>
  </si>
  <si>
    <t>james.ruiz+4812@demo-hoa.example</t>
  </si>
  <si>
    <t>P5-269</t>
  </si>
  <si>
    <t>P1-031</t>
  </si>
  <si>
    <t>4813</t>
  </si>
  <si>
    <t>(305) 555-1812</t>
  </si>
  <si>
    <t>logan.vargas+4813@demo-hoa.example</t>
  </si>
  <si>
    <t>P4-256</t>
  </si>
  <si>
    <t>P1-104</t>
  </si>
  <si>
    <t>4814</t>
  </si>
  <si>
    <t>(305) 555-1813</t>
  </si>
  <si>
    <t>grace.navarro+4814@demo-hoa.example</t>
  </si>
  <si>
    <t>P1-201</t>
  </si>
  <si>
    <t>P4-276</t>
  </si>
  <si>
    <t>B-048</t>
  </si>
  <si>
    <t>4815</t>
  </si>
  <si>
    <t>(305) 555-1814</t>
  </si>
  <si>
    <t>abigail.delgado+4815@demo-hoa.example</t>
  </si>
  <si>
    <t>P4-056</t>
  </si>
  <si>
    <t>P1-155</t>
  </si>
  <si>
    <t>4816</t>
  </si>
  <si>
    <t>(305) 555-1815</t>
  </si>
  <si>
    <t>elijah.lopez+4816@demo-hoa.example</t>
  </si>
  <si>
    <t>P2-228</t>
  </si>
  <si>
    <t>P4-096</t>
  </si>
  <si>
    <t>4817</t>
  </si>
  <si>
    <t>(305) 555-1816</t>
  </si>
  <si>
    <t>amelia.vega+4817@demo-hoa.example</t>
  </si>
  <si>
    <t>P5-066</t>
  </si>
  <si>
    <t>P2-092</t>
  </si>
  <si>
    <t>4901</t>
  </si>
  <si>
    <t>(305) 555-1817</t>
  </si>
  <si>
    <t>sophia.delgado+4901@demo-hoa.example</t>
  </si>
  <si>
    <t>P5-156</t>
  </si>
  <si>
    <t>4902</t>
  </si>
  <si>
    <t>(305) 555-1818</t>
  </si>
  <si>
    <t>benjamin.ramirez+4902@demo-hoa.example</t>
  </si>
  <si>
    <t>P2-004</t>
  </si>
  <si>
    <t>4903</t>
  </si>
  <si>
    <t>(305) 555-1819</t>
  </si>
  <si>
    <t>michael.perez+4903@demo-hoa.example</t>
  </si>
  <si>
    <t>P4-067</t>
  </si>
  <si>
    <t>4904</t>
  </si>
  <si>
    <t>(305) 555-1820</t>
  </si>
  <si>
    <t>sophia.gutierrez+4904@demo-hoa.example</t>
  </si>
  <si>
    <t>Mia Castillo</t>
  </si>
  <si>
    <t>P5-236</t>
  </si>
  <si>
    <t>4905</t>
  </si>
  <si>
    <t>(305) 555-1821</t>
  </si>
  <si>
    <t>noah.rodriguez+4905@demo-hoa.example</t>
  </si>
  <si>
    <t>P5-055</t>
  </si>
  <si>
    <t>4906</t>
  </si>
  <si>
    <t>(305) 555-1822</t>
  </si>
  <si>
    <t>sebastian.hernandez+4906@demo-hoa.example</t>
  </si>
  <si>
    <t>P2-109</t>
  </si>
  <si>
    <t>4907</t>
  </si>
  <si>
    <t>(305) 555-1823</t>
  </si>
  <si>
    <t>mason.sanchez+4907@demo-hoa.example</t>
  </si>
  <si>
    <t>Logan Ruiz</t>
  </si>
  <si>
    <t>P2-226</t>
  </si>
  <si>
    <t>4908</t>
  </si>
  <si>
    <t>(305) 555-1824</t>
  </si>
  <si>
    <t>jackson.lopez+4908@demo-hoa.example</t>
  </si>
  <si>
    <t>P1-224</t>
  </si>
  <si>
    <t>P3-127</t>
  </si>
  <si>
    <t>4909</t>
  </si>
  <si>
    <t>Isabella Diaz</t>
  </si>
  <si>
    <t>(305) 555-1825</t>
  </si>
  <si>
    <t>isabella.diaz+4909@demo-hoa.example</t>
  </si>
  <si>
    <t>Mia Ortiz</t>
  </si>
  <si>
    <t>P3-257</t>
  </si>
  <si>
    <t>P1-125</t>
  </si>
  <si>
    <t>4910</t>
  </si>
  <si>
    <t>Harper Delgado</t>
  </si>
  <si>
    <t>(305) 555-1826</t>
  </si>
  <si>
    <t>harper.delgado+4910@demo-hoa.example</t>
  </si>
  <si>
    <t>P1-202</t>
  </si>
  <si>
    <t>P1-111</t>
  </si>
  <si>
    <t>4911</t>
  </si>
  <si>
    <t>(305) 555-1827</t>
  </si>
  <si>
    <t>james.ortiz+4911@demo-hoa.example</t>
  </si>
  <si>
    <t>P4-105</t>
  </si>
  <si>
    <t>P3-274</t>
  </si>
  <si>
    <t>4912</t>
  </si>
  <si>
    <t>Evelyn Suarez</t>
  </si>
  <si>
    <t>(305) 555-1828</t>
  </si>
  <si>
    <t>evelyn.suarez+4912@demo-hoa.example</t>
  </si>
  <si>
    <t>P4-016</t>
  </si>
  <si>
    <t>P3-158</t>
  </si>
  <si>
    <t>4913</t>
  </si>
  <si>
    <t>(305) 555-1829</t>
  </si>
  <si>
    <t>michael.mendoza+4913@demo-hoa.example</t>
  </si>
  <si>
    <t>P4-031</t>
  </si>
  <si>
    <t>4914</t>
  </si>
  <si>
    <t>(305) 555-1830</t>
  </si>
  <si>
    <t>elijah.reyes+4914@demo-hoa.example</t>
  </si>
  <si>
    <t>Evelyn Diaz</t>
  </si>
  <si>
    <t>P5-243</t>
  </si>
  <si>
    <t>P1-194</t>
  </si>
  <si>
    <t>4915</t>
  </si>
  <si>
    <t>Abigail Flores</t>
  </si>
  <si>
    <t>(305) 555-1831</t>
  </si>
  <si>
    <t>abigail.flores+4915@demo-hoa.example</t>
  </si>
  <si>
    <t>Ethan Delgado</t>
  </si>
  <si>
    <t>P2-106</t>
  </si>
  <si>
    <t>P3-266</t>
  </si>
  <si>
    <t>4916</t>
  </si>
  <si>
    <t>(305) 555-1832</t>
  </si>
  <si>
    <t>isabella.ramos+4916@demo-hoa.example</t>
  </si>
  <si>
    <t>P5-059</t>
  </si>
  <si>
    <t>P2-214</t>
  </si>
  <si>
    <t>4917</t>
  </si>
  <si>
    <t>(305) 555-1833</t>
  </si>
  <si>
    <t>benjamin.flores+4917@demo-hoa.example</t>
  </si>
  <si>
    <t>P4-117</t>
  </si>
  <si>
    <t>5001</t>
  </si>
  <si>
    <t>Benjamin Delgado</t>
  </si>
  <si>
    <t>(305) 555-1834</t>
  </si>
  <si>
    <t>benjamin.delgado+5001@demo-hoa.example</t>
  </si>
  <si>
    <t>P5-045</t>
  </si>
  <si>
    <t>5002</t>
  </si>
  <si>
    <t>(305) 555-1835</t>
  </si>
  <si>
    <t>ava.mendoza+5002@demo-hoa.example</t>
  </si>
  <si>
    <t>P5-034</t>
  </si>
  <si>
    <t>5003</t>
  </si>
  <si>
    <t>(305) 555-1836</t>
  </si>
  <si>
    <t>isabella.gutierrez+5003@demo-hoa.example</t>
  </si>
  <si>
    <t>P1-271</t>
  </si>
  <si>
    <t>5004</t>
  </si>
  <si>
    <t>(305) 555-1837</t>
  </si>
  <si>
    <t>olivia.ruiz+5004@demo-hoa.example</t>
  </si>
  <si>
    <t>P5-095</t>
  </si>
  <si>
    <t>5005</t>
  </si>
  <si>
    <t>(305) 555-1838</t>
  </si>
  <si>
    <t>alexander.rivera+5005@demo-hoa.example</t>
  </si>
  <si>
    <t>P2-155</t>
  </si>
  <si>
    <t>5006</t>
  </si>
  <si>
    <t>(305) 555-1839</t>
  </si>
  <si>
    <t>abigail.rodriguez+5006@demo-hoa.example</t>
  </si>
  <si>
    <t>Sebastian Morales</t>
  </si>
  <si>
    <t>P4-143</t>
  </si>
  <si>
    <t>5007</t>
  </si>
  <si>
    <t>(305) 555-1840</t>
  </si>
  <si>
    <t>noah.ortiz+5007@demo-hoa.example</t>
  </si>
  <si>
    <t>P3-003</t>
  </si>
  <si>
    <t>P2-204</t>
  </si>
  <si>
    <t>5008</t>
  </si>
  <si>
    <t>(305) 555-1841</t>
  </si>
  <si>
    <t>madison.rivera+5008@demo-hoa.example</t>
  </si>
  <si>
    <t>P4-201</t>
  </si>
  <si>
    <t>P5-075</t>
  </si>
  <si>
    <t>B-047</t>
  </si>
  <si>
    <t>5009</t>
  </si>
  <si>
    <t>(305) 555-1842</t>
  </si>
  <si>
    <t>mia.rodriguez+5009@demo-hoa.example</t>
  </si>
  <si>
    <t>P3-109</t>
  </si>
  <si>
    <t>P1-065</t>
  </si>
  <si>
    <t>5010</t>
  </si>
  <si>
    <t>Grace Delgado</t>
  </si>
  <si>
    <t>(305) 555-1843</t>
  </si>
  <si>
    <t>grace.delgado+5010@demo-hoa.example</t>
  </si>
  <si>
    <t>P1-139</t>
  </si>
  <si>
    <t>P2-185</t>
  </si>
  <si>
    <t>5011</t>
  </si>
  <si>
    <t>(305) 555-1844</t>
  </si>
  <si>
    <t>mason.hernandez+5011@demo-hoa.example</t>
  </si>
  <si>
    <t>P1-121</t>
  </si>
  <si>
    <t>P1-146</t>
  </si>
  <si>
    <t>5012</t>
  </si>
  <si>
    <t>(305) 555-1845</t>
  </si>
  <si>
    <t>mia.gonzalez+5012@demo-hoa.example</t>
  </si>
  <si>
    <t>P1-015</t>
  </si>
  <si>
    <t>P5-258</t>
  </si>
  <si>
    <t>5013</t>
  </si>
  <si>
    <t>(305) 555-1846</t>
  </si>
  <si>
    <t>evelyn.ramirez+5013@demo-hoa.example</t>
  </si>
  <si>
    <t>P5-070</t>
  </si>
  <si>
    <t>P2-188</t>
  </si>
  <si>
    <t>5014</t>
  </si>
  <si>
    <t>Mason Mendoza</t>
  </si>
  <si>
    <t>(305) 555-1847</t>
  </si>
  <si>
    <t>mason.mendoza+5014@demo-hoa.example</t>
  </si>
  <si>
    <t>P4-283</t>
  </si>
  <si>
    <t>P5-069</t>
  </si>
  <si>
    <t>5015</t>
  </si>
  <si>
    <t>(305) 555-1848</t>
  </si>
  <si>
    <t>ava.alvarez+5015@demo-hoa.example</t>
  </si>
  <si>
    <t>P1-044</t>
  </si>
  <si>
    <t>P3-125</t>
  </si>
  <si>
    <t>5016</t>
  </si>
  <si>
    <t>Evelyn Navarro</t>
  </si>
  <si>
    <t>(305) 555-1849</t>
  </si>
  <si>
    <t>evelyn.navarro+5016@demo-hoa.example</t>
  </si>
  <si>
    <t>P1-132</t>
  </si>
  <si>
    <t>5017</t>
  </si>
  <si>
    <t>Jackson Vargas</t>
  </si>
  <si>
    <t>(305) 555-1850</t>
  </si>
  <si>
    <t>jackson.vargas+5017@demo-hoa.example</t>
  </si>
  <si>
    <t>P2-177</t>
  </si>
  <si>
    <t>P1-248</t>
  </si>
  <si>
    <t>Special Assessment Active</t>
  </si>
  <si>
    <t>Last Payment Date</t>
  </si>
  <si>
    <t>Payment Method</t>
  </si>
  <si>
    <t>Last Assessment Due Date</t>
  </si>
  <si>
    <t>Payment Plan</t>
  </si>
  <si>
    <t>Autopay</t>
  </si>
  <si>
    <t>Wire</t>
  </si>
  <si>
    <t>Online Portal</t>
  </si>
  <si>
    <t>ACH</t>
  </si>
  <si>
    <t>Check</t>
  </si>
  <si>
    <t>Credit Card</t>
  </si>
  <si>
    <t>Space ID</t>
  </si>
  <si>
    <t>Level</t>
  </si>
  <si>
    <t>Type</t>
  </si>
  <si>
    <t>Assigned Unit</t>
  </si>
  <si>
    <t>P1</t>
  </si>
  <si>
    <t>Assigned</t>
  </si>
  <si>
    <t>P1-002</t>
  </si>
  <si>
    <t>Guest</t>
  </si>
  <si>
    <t>P1-007</t>
  </si>
  <si>
    <t>Valet</t>
  </si>
  <si>
    <t>P1-014</t>
  </si>
  <si>
    <t>P1-024</t>
  </si>
  <si>
    <t>P1-040</t>
  </si>
  <si>
    <t>P1-052</t>
  </si>
  <si>
    <t>P1-055</t>
  </si>
  <si>
    <t>P1-062</t>
  </si>
  <si>
    <t>P1-066</t>
  </si>
  <si>
    <t>P1-089</t>
  </si>
  <si>
    <t>P1-094</t>
  </si>
  <si>
    <t>P1-097</t>
  </si>
  <si>
    <t>P1-115</t>
  </si>
  <si>
    <t>P1-119</t>
  </si>
  <si>
    <t>P1-131</t>
  </si>
  <si>
    <t>P1-136</t>
  </si>
  <si>
    <t>P1-142</t>
  </si>
  <si>
    <t>P1-143</t>
  </si>
  <si>
    <t>P1-147</t>
  </si>
  <si>
    <t>P1-162</t>
  </si>
  <si>
    <t>P1-164</t>
  </si>
  <si>
    <t>P1-176</t>
  </si>
  <si>
    <t>P1-179</t>
  </si>
  <si>
    <t>P1-187</t>
  </si>
  <si>
    <t>P1-190</t>
  </si>
  <si>
    <t>P1-192</t>
  </si>
  <si>
    <t>P1-199</t>
  </si>
  <si>
    <t>P1-207</t>
  </si>
  <si>
    <t>P1-210</t>
  </si>
  <si>
    <t>P1-218</t>
  </si>
  <si>
    <t>P1-225</t>
  </si>
  <si>
    <t>P1-229</t>
  </si>
  <si>
    <t>P1-230</t>
  </si>
  <si>
    <t>P1-235</t>
  </si>
  <si>
    <t>P1-256</t>
  </si>
  <si>
    <t>P1-258</t>
  </si>
  <si>
    <t>P1-262</t>
  </si>
  <si>
    <t>P1-263</t>
  </si>
  <si>
    <t>P1-284</t>
  </si>
  <si>
    <t>P2</t>
  </si>
  <si>
    <t>P2-002</t>
  </si>
  <si>
    <t>P2-009</t>
  </si>
  <si>
    <t>P2-030</t>
  </si>
  <si>
    <t>P2-035</t>
  </si>
  <si>
    <t>P2-038</t>
  </si>
  <si>
    <t>P2-040</t>
  </si>
  <si>
    <t>P2-041</t>
  </si>
  <si>
    <t>P2-043</t>
  </si>
  <si>
    <t>P2-044</t>
  </si>
  <si>
    <t>P2-047</t>
  </si>
  <si>
    <t>P2-048</t>
  </si>
  <si>
    <t>P2-050</t>
  </si>
  <si>
    <t>P2-051</t>
  </si>
  <si>
    <t>P2-055</t>
  </si>
  <si>
    <t>P2-067</t>
  </si>
  <si>
    <t>P2-082</t>
  </si>
  <si>
    <t>P2-110</t>
  </si>
  <si>
    <t>P2-124</t>
  </si>
  <si>
    <t>P2-128</t>
  </si>
  <si>
    <t>P2-133</t>
  </si>
  <si>
    <t>P2-142</t>
  </si>
  <si>
    <t>P2-146</t>
  </si>
  <si>
    <t>P2-149</t>
  </si>
  <si>
    <t>P2-150</t>
  </si>
  <si>
    <t>P2-152</t>
  </si>
  <si>
    <t>P2-157</t>
  </si>
  <si>
    <t>P2-164</t>
  </si>
  <si>
    <t>P2-166</t>
  </si>
  <si>
    <t>P2-168</t>
  </si>
  <si>
    <t>P2-174</t>
  </si>
  <si>
    <t>P2-183</t>
  </si>
  <si>
    <t>P2-186</t>
  </si>
  <si>
    <t>P2-189</t>
  </si>
  <si>
    <t>P2-193</t>
  </si>
  <si>
    <t>P2-207</t>
  </si>
  <si>
    <t>P2-210</t>
  </si>
  <si>
    <t>P2-218</t>
  </si>
  <si>
    <t>P2-222</t>
  </si>
  <si>
    <t>P2-224</t>
  </si>
  <si>
    <t>P2-231</t>
  </si>
  <si>
    <t>P2-255</t>
  </si>
  <si>
    <t>P2-256</t>
  </si>
  <si>
    <t>P2-258</t>
  </si>
  <si>
    <t>P2-259</t>
  </si>
  <si>
    <t>P2-263</t>
  </si>
  <si>
    <t>P2-265</t>
  </si>
  <si>
    <t>P2-269</t>
  </si>
  <si>
    <t>P2-280</t>
  </si>
  <si>
    <t>P3</t>
  </si>
  <si>
    <t>P3-002</t>
  </si>
  <si>
    <t>P3-009</t>
  </si>
  <si>
    <t>P3-025</t>
  </si>
  <si>
    <t>P3-033</t>
  </si>
  <si>
    <t>P3-034</t>
  </si>
  <si>
    <t>P3-044</t>
  </si>
  <si>
    <t>P3-062</t>
  </si>
  <si>
    <t>P3-071</t>
  </si>
  <si>
    <t>P3-077</t>
  </si>
  <si>
    <t>P3-079</t>
  </si>
  <si>
    <t>P3-096</t>
  </si>
  <si>
    <t>P3-097</t>
  </si>
  <si>
    <t>P3-122</t>
  </si>
  <si>
    <t>P3-129</t>
  </si>
  <si>
    <t>P3-137</t>
  </si>
  <si>
    <t>P3-160</t>
  </si>
  <si>
    <t>P3-168</t>
  </si>
  <si>
    <t>P3-173</t>
  </si>
  <si>
    <t>P3-174</t>
  </si>
  <si>
    <t>P3-176</t>
  </si>
  <si>
    <t>P3-180</t>
  </si>
  <si>
    <t>P3-191</t>
  </si>
  <si>
    <t>P3-197</t>
  </si>
  <si>
    <t>P3-198</t>
  </si>
  <si>
    <t>P3-208</t>
  </si>
  <si>
    <t>P3-210</t>
  </si>
  <si>
    <t>P3-211</t>
  </si>
  <si>
    <t>P3-214</t>
  </si>
  <si>
    <t>P3-221</t>
  </si>
  <si>
    <t>P3-243</t>
  </si>
  <si>
    <t>P3-250</t>
  </si>
  <si>
    <t>P3-254</t>
  </si>
  <si>
    <t>P4</t>
  </si>
  <si>
    <t>P4-008</t>
  </si>
  <si>
    <t>P4-009</t>
  </si>
  <si>
    <t>P4-013</t>
  </si>
  <si>
    <t>P4-014</t>
  </si>
  <si>
    <t>P4-015</t>
  </si>
  <si>
    <t>P4-026</t>
  </si>
  <si>
    <t>P4-039</t>
  </si>
  <si>
    <t>P4-046</t>
  </si>
  <si>
    <t>P4-068</t>
  </si>
  <si>
    <t>P4-073</t>
  </si>
  <si>
    <t>P4-077</t>
  </si>
  <si>
    <t>P4-078</t>
  </si>
  <si>
    <t>P4-088</t>
  </si>
  <si>
    <t>P4-089</t>
  </si>
  <si>
    <t>P4-095</t>
  </si>
  <si>
    <t>P4-101</t>
  </si>
  <si>
    <t>P4-107</t>
  </si>
  <si>
    <t>P4-122</t>
  </si>
  <si>
    <t>P4-144</t>
  </si>
  <si>
    <t>P4-149</t>
  </si>
  <si>
    <t>P4-159</t>
  </si>
  <si>
    <t>P4-162</t>
  </si>
  <si>
    <t>P4-171</t>
  </si>
  <si>
    <t>P4-174</t>
  </si>
  <si>
    <t>P4-183</t>
  </si>
  <si>
    <t>P4-188</t>
  </si>
  <si>
    <t>P4-192</t>
  </si>
  <si>
    <t>P4-208</t>
  </si>
  <si>
    <t>P4-229</t>
  </si>
  <si>
    <t>P4-232</t>
  </si>
  <si>
    <t>P4-235</t>
  </si>
  <si>
    <t>P4-239</t>
  </si>
  <si>
    <t>P4-242</t>
  </si>
  <si>
    <t>P4-243</t>
  </si>
  <si>
    <t>P4-247</t>
  </si>
  <si>
    <t>P4-248</t>
  </si>
  <si>
    <t>P4-252</t>
  </si>
  <si>
    <t>P4-253</t>
  </si>
  <si>
    <t>P4-265</t>
  </si>
  <si>
    <t>P4-272</t>
  </si>
  <si>
    <t>P4-274</t>
  </si>
  <si>
    <t>P4-279</t>
  </si>
  <si>
    <t>P4-282</t>
  </si>
  <si>
    <t>P5</t>
  </si>
  <si>
    <t>P5-005</t>
  </si>
  <si>
    <t>P5-014</t>
  </si>
  <si>
    <t>P5-026</t>
  </si>
  <si>
    <t>P5-035</t>
  </si>
  <si>
    <t>P5-047</t>
  </si>
  <si>
    <t>P5-058</t>
  </si>
  <si>
    <t>P5-060</t>
  </si>
  <si>
    <t>P5-062</t>
  </si>
  <si>
    <t>P5-071</t>
  </si>
  <si>
    <t>P5-074</t>
  </si>
  <si>
    <t>P5-085</t>
  </si>
  <si>
    <t>P5-086</t>
  </si>
  <si>
    <t>P5-091</t>
  </si>
  <si>
    <t>P5-096</t>
  </si>
  <si>
    <t>P5-097</t>
  </si>
  <si>
    <t>P5-101</t>
  </si>
  <si>
    <t>P5-112</t>
  </si>
  <si>
    <t>P5-123</t>
  </si>
  <si>
    <t>P5-131</t>
  </si>
  <si>
    <t>P5-132</t>
  </si>
  <si>
    <t>P5-150</t>
  </si>
  <si>
    <t>P5-152</t>
  </si>
  <si>
    <t>P5-159</t>
  </si>
  <si>
    <t>P5-165</t>
  </si>
  <si>
    <t>P5-166</t>
  </si>
  <si>
    <t>P5-168</t>
  </si>
  <si>
    <t>P5-174</t>
  </si>
  <si>
    <t>P5-175</t>
  </si>
  <si>
    <t>P5-177</t>
  </si>
  <si>
    <t>P5-184</t>
  </si>
  <si>
    <t>P5-192</t>
  </si>
  <si>
    <t>P5-194</t>
  </si>
  <si>
    <t>P5-195</t>
  </si>
  <si>
    <t>P5-205</t>
  </si>
  <si>
    <t>P5-208</t>
  </si>
  <si>
    <t>P5-213</t>
  </si>
  <si>
    <t>P5-219</t>
  </si>
  <si>
    <t>P5-227</t>
  </si>
  <si>
    <t>P5-233</t>
  </si>
  <si>
    <t>P5-244</t>
  </si>
  <si>
    <t>P5-250</t>
  </si>
  <si>
    <t>P5-251</t>
  </si>
  <si>
    <t>P5-252</t>
  </si>
  <si>
    <t>P5-255</t>
  </si>
  <si>
    <t>P5-262</t>
  </si>
  <si>
    <t>P5-263</t>
  </si>
  <si>
    <t>P5-267</t>
  </si>
  <si>
    <t>P5-271</t>
  </si>
  <si>
    <t>P5-272</t>
  </si>
  <si>
    <t>P5-275</t>
  </si>
  <si>
    <t>P5-276</t>
  </si>
  <si>
    <t>P5-277</t>
  </si>
  <si>
    <t>P5-278</t>
  </si>
  <si>
    <t>P5-280</t>
  </si>
  <si>
    <t>P5-283</t>
  </si>
  <si>
    <t>Slip ID</t>
  </si>
  <si>
    <t>Waitlist</t>
  </si>
  <si>
    <t>B-021</t>
  </si>
  <si>
    <t>B-057</t>
  </si>
  <si>
    <t>B-067</t>
  </si>
  <si>
    <t>B-068</t>
  </si>
  <si>
    <t>B-079</t>
  </si>
  <si>
    <t>B-091</t>
  </si>
  <si>
    <t>B-095</t>
  </si>
  <si>
    <t>Vendor</t>
  </si>
  <si>
    <t>Category</t>
  </si>
  <si>
    <t>Primary Contact</t>
  </si>
  <si>
    <t>Phone</t>
  </si>
  <si>
    <t>Email</t>
  </si>
  <si>
    <t>Seaside Group</t>
  </si>
  <si>
    <t>Pool</t>
  </si>
  <si>
    <t>(305) 555-3001</t>
  </si>
  <si>
    <t>dispatch01@vendors.demo-hoa.example</t>
  </si>
  <si>
    <t>Preferred vendor</t>
  </si>
  <si>
    <t>BlueWave Maintenance</t>
  </si>
  <si>
    <t>Landscaping</t>
  </si>
  <si>
    <t>(305) 555-3002</t>
  </si>
  <si>
    <t>dispatch02@vendors.demo-hoa.example</t>
  </si>
  <si>
    <t>24/7 on-call</t>
  </si>
  <si>
    <t>Biscayne Services</t>
  </si>
  <si>
    <t>Security</t>
  </si>
  <si>
    <t>Mason Ramirez</t>
  </si>
  <si>
    <t>(305) 555-3003</t>
  </si>
  <si>
    <t>dispatch03@vendors.demo-hoa.example</t>
  </si>
  <si>
    <t>Requires escort</t>
  </si>
  <si>
    <t>BlueWave Services</t>
  </si>
  <si>
    <t>General Contractor</t>
  </si>
  <si>
    <t>(305) 555-3004</t>
  </si>
  <si>
    <t>dispatch04@vendors.demo-hoa.example</t>
  </si>
  <si>
    <t>After-hours surcharge applies</t>
  </si>
  <si>
    <t>Seaside Services</t>
  </si>
  <si>
    <t>Fire/Life Safety</t>
  </si>
  <si>
    <t>(305) 555-3005</t>
  </si>
  <si>
    <t>dispatch05@vendors.demo-hoa.example</t>
  </si>
  <si>
    <t>Biscayne Group</t>
  </si>
  <si>
    <t>(305) 555-3006</t>
  </si>
  <si>
    <t>dispatch06@vendors.demo-hoa.example</t>
  </si>
  <si>
    <t>Atlantic Systems</t>
  </si>
  <si>
    <t>Ethan Suarez</t>
  </si>
  <si>
    <t>(305) 555-3007</t>
  </si>
  <si>
    <t>dispatch07@vendors.demo-hoa.example</t>
  </si>
  <si>
    <t>SunCoast Group</t>
  </si>
  <si>
    <t>Cleaning</t>
  </si>
  <si>
    <t>Daniel Rodriguez</t>
  </si>
  <si>
    <t>(305) 555-3008</t>
  </si>
  <si>
    <t>dispatch08@vendors.demo-hoa.example</t>
  </si>
  <si>
    <t>Seaside Systems</t>
  </si>
  <si>
    <t>(305) 555-3009</t>
  </si>
  <si>
    <t>dispatch09@vendors.demo-hoa.example</t>
  </si>
  <si>
    <t>SunCoast Systems</t>
  </si>
  <si>
    <t>HVAC</t>
  </si>
  <si>
    <t>Alexander Ruiz</t>
  </si>
  <si>
    <t>(305) 555-3010</t>
  </si>
  <si>
    <t>dispatch10@vendors.demo-hoa.example</t>
  </si>
  <si>
    <t>Atlantic Maintenance</t>
  </si>
  <si>
    <t>Elijah Hernandez</t>
  </si>
  <si>
    <t>(305) 555-3011</t>
  </si>
  <si>
    <t>dispatch11@vendors.demo-hoa.example</t>
  </si>
  <si>
    <t>Noah Vargas</t>
  </si>
  <si>
    <t>(305) 555-3012</t>
  </si>
  <si>
    <t>dispatch12@vendors.demo-hoa.example</t>
  </si>
  <si>
    <t>Biscayne Contracting</t>
  </si>
  <si>
    <t>(305) 555-3013</t>
  </si>
  <si>
    <t>dispatch13@vendors.demo-hoa.example</t>
  </si>
  <si>
    <t>Elevator</t>
  </si>
  <si>
    <t>Ethan Lopez</t>
  </si>
  <si>
    <t>(305) 555-3014</t>
  </si>
  <si>
    <t>dispatch14@vendors.demo-hoa.example</t>
  </si>
  <si>
    <t>BlueWave Contracting</t>
  </si>
  <si>
    <t>(305) 555-3015</t>
  </si>
  <si>
    <t>dispatch15@vendors.demo-hoa.example</t>
  </si>
  <si>
    <t>Plumbing</t>
  </si>
  <si>
    <t>Alexander Suarez</t>
  </si>
  <si>
    <t>(305) 555-3016</t>
  </si>
  <si>
    <t>dispatch16@vendors.demo-hoa.example</t>
  </si>
  <si>
    <t>(305) 555-3017</t>
  </si>
  <si>
    <t>dispatch17@vendors.demo-hoa.example</t>
  </si>
  <si>
    <t>Electrical</t>
  </si>
  <si>
    <t>(305) 555-3018</t>
  </si>
  <si>
    <t>dispatch18@vendors.demo-hoa.example</t>
  </si>
  <si>
    <t>(305) 555-3019</t>
  </si>
  <si>
    <t>dispatch19@vendors.demo-hoa.example</t>
  </si>
  <si>
    <t>COI on file</t>
  </si>
  <si>
    <t>BlueWave Group</t>
  </si>
  <si>
    <t>(305) 555-3020</t>
  </si>
  <si>
    <t>dispatch20@vendors.demo-hoa.example</t>
  </si>
  <si>
    <t>Biscayne Maintenance</t>
  </si>
  <si>
    <t>(305) 555-3021</t>
  </si>
  <si>
    <t>dispatch21@vendors.demo-hoa.example</t>
  </si>
  <si>
    <t>(305) 555-3022</t>
  </si>
  <si>
    <t>dispatch22@vendors.demo-hoa.example</t>
  </si>
  <si>
    <t>Atlantic Group</t>
  </si>
  <si>
    <t>(305) 555-3023</t>
  </si>
  <si>
    <t>dispatch23@vendors.demo-hoa.example</t>
  </si>
  <si>
    <t>Coral Solutions</t>
  </si>
  <si>
    <t>(305) 555-3024</t>
  </si>
  <si>
    <t>dispatch24@vendors.demo-hoa.example</t>
  </si>
  <si>
    <t>(305) 555-3025</t>
  </si>
  <si>
    <t>dispatch25@vendors.demo-hoa.example</t>
  </si>
  <si>
    <t>Sophia Cruz</t>
  </si>
  <si>
    <t>(305) 555-3026</t>
  </si>
  <si>
    <t>dispatch26@vendors.demo-hoa.example</t>
  </si>
  <si>
    <t>Coral Services</t>
  </si>
  <si>
    <t>(305) 555-3027</t>
  </si>
  <si>
    <t>dispatch27@vendors.demo-hoa.example</t>
  </si>
  <si>
    <t>(305) 555-3028</t>
  </si>
  <si>
    <t>dispatch28@vendors.demo-hoa.example</t>
  </si>
  <si>
    <t>Coral Maintenance</t>
  </si>
  <si>
    <t>(305) 555-3029</t>
  </si>
  <si>
    <t>dispatch29@vendors.demo-hoa.example</t>
  </si>
  <si>
    <t>(305) 555-3030</t>
  </si>
  <si>
    <t>dispatch30@vendors.demo-hoa.example</t>
  </si>
  <si>
    <t>Work Order ID</t>
  </si>
  <si>
    <t>Opened</t>
  </si>
  <si>
    <t>Priority</t>
  </si>
  <si>
    <t>Status</t>
  </si>
  <si>
    <t>Description</t>
  </si>
  <si>
    <t>ETA</t>
  </si>
  <si>
    <t>WO-20260001</t>
  </si>
  <si>
    <t>Common Area</t>
  </si>
  <si>
    <t>High</t>
  </si>
  <si>
    <t>Open</t>
  </si>
  <si>
    <t>Pool pump noise</t>
  </si>
  <si>
    <t>WO-20260002</t>
  </si>
  <si>
    <t>Low</t>
  </si>
  <si>
    <t>Lobby HVAC warm</t>
  </si>
  <si>
    <t>WO-20260003</t>
  </si>
  <si>
    <t>Medium</t>
  </si>
  <si>
    <t>In Progress</t>
  </si>
  <si>
    <t>Toilet running continuously</t>
  </si>
  <si>
    <t>WO-20260004</t>
  </si>
  <si>
    <t>Awaiting Vendor</t>
  </si>
  <si>
    <t>WO-20260005</t>
  </si>
  <si>
    <t>Hallway lighting outage</t>
  </si>
  <si>
    <t>WO-20260006</t>
  </si>
  <si>
    <t>Shower drain slow</t>
  </si>
  <si>
    <t>WO-20260007</t>
  </si>
  <si>
    <t>Closed</t>
  </si>
  <si>
    <t>Elevator #2 slow leveling</t>
  </si>
  <si>
    <t>WO-20260008</t>
  </si>
  <si>
    <t>AC not cooling below 76°F</t>
  </si>
  <si>
    <t>WO-20260009</t>
  </si>
  <si>
    <t>WO-20260010</t>
  </si>
  <si>
    <t>WO-20260011</t>
  </si>
  <si>
    <t>GFCI reset needed</t>
  </si>
  <si>
    <t>WO-20260012</t>
  </si>
  <si>
    <t>Filter replacement request</t>
  </si>
  <si>
    <t>WO-20260013</t>
  </si>
  <si>
    <t>Intermittent leak under sink</t>
  </si>
  <si>
    <t>WO-20260014</t>
  </si>
  <si>
    <t>WO-20260015</t>
  </si>
  <si>
    <t>WO-20260016</t>
  </si>
  <si>
    <t>WO-20260017</t>
  </si>
  <si>
    <t>WO-20260018</t>
  </si>
  <si>
    <t>Outlet not working</t>
  </si>
  <si>
    <t>WO-20260019</t>
  </si>
  <si>
    <t>WO-20260020</t>
  </si>
  <si>
    <t>WO-20260021</t>
  </si>
  <si>
    <t>WO-20260022</t>
  </si>
  <si>
    <t>WO-20260023</t>
  </si>
  <si>
    <t>Breaker tripping in kitchen</t>
  </si>
  <si>
    <t>WO-20260024</t>
  </si>
  <si>
    <t>WO-20260025</t>
  </si>
  <si>
    <t>WO-20260026</t>
  </si>
  <si>
    <t>Door sensor issue</t>
  </si>
  <si>
    <t>WO-20260027</t>
  </si>
  <si>
    <t>WO-20260028</t>
  </si>
  <si>
    <t>Urgent</t>
  </si>
  <si>
    <t>Condensation near air handler</t>
  </si>
  <si>
    <t>WO-20260029</t>
  </si>
  <si>
    <t>Service mode active unexpectedly</t>
  </si>
  <si>
    <t>WO-20260030</t>
  </si>
  <si>
    <t>WO-20260031</t>
  </si>
  <si>
    <t>WO-20260032</t>
  </si>
  <si>
    <t>WO-20260033</t>
  </si>
  <si>
    <t>WO-20260034</t>
  </si>
  <si>
    <t>WO-20260035</t>
  </si>
  <si>
    <t>WO-20260036</t>
  </si>
  <si>
    <t>WO-20260037</t>
  </si>
  <si>
    <t>WO-20260038</t>
  </si>
  <si>
    <t>WO-20260039</t>
  </si>
  <si>
    <t>WO-20260040</t>
  </si>
  <si>
    <t>Garage gate sensor misaligned</t>
  </si>
  <si>
    <t>WO-20260041</t>
  </si>
  <si>
    <t>WO-20260042</t>
  </si>
  <si>
    <t>WO-20260043</t>
  </si>
  <si>
    <t>Low water pressure in master bath</t>
  </si>
  <si>
    <t>WO-20260044</t>
  </si>
  <si>
    <t>WO-20260045</t>
  </si>
  <si>
    <t>WO-20260046</t>
  </si>
  <si>
    <t>WO-20260047</t>
  </si>
  <si>
    <t>WO-20260048</t>
  </si>
  <si>
    <t>WO-20260049</t>
  </si>
  <si>
    <t>Light fixture flickering</t>
  </si>
  <si>
    <t>WO-20260050</t>
  </si>
  <si>
    <t>WO-20260051</t>
  </si>
  <si>
    <t>WO-20260052</t>
  </si>
  <si>
    <t>WO-20260053</t>
  </si>
  <si>
    <t>WO-20260054</t>
  </si>
  <si>
    <t>WO-20260055</t>
  </si>
  <si>
    <t>WO-20260056</t>
  </si>
  <si>
    <t>WO-20260057</t>
  </si>
  <si>
    <t>WO-20260058</t>
  </si>
  <si>
    <t>WO-20260059</t>
  </si>
  <si>
    <t>WO-20260060</t>
  </si>
  <si>
    <t>WO-20260061</t>
  </si>
  <si>
    <t>WO-20260062</t>
  </si>
  <si>
    <t>WO-20260063</t>
  </si>
  <si>
    <t>WO-20260064</t>
  </si>
  <si>
    <t>WO-20260065</t>
  </si>
  <si>
    <t>WO-20260066</t>
  </si>
  <si>
    <t>WO-20260067</t>
  </si>
  <si>
    <t>WO-20260068</t>
  </si>
  <si>
    <t>WO-20260069</t>
  </si>
  <si>
    <t>WO-20260070</t>
  </si>
  <si>
    <t>WO-20260071</t>
  </si>
  <si>
    <t>Call button intermittent</t>
  </si>
  <si>
    <t>WO-20260072</t>
  </si>
  <si>
    <t>WO-20260073</t>
  </si>
  <si>
    <t>WO-20260074</t>
  </si>
  <si>
    <t>WO-20260075</t>
  </si>
  <si>
    <t>WO-20260076</t>
  </si>
  <si>
    <t>WO-20260077</t>
  </si>
  <si>
    <t>WO-20260078</t>
  </si>
  <si>
    <t>WO-20260079</t>
  </si>
  <si>
    <t>WO-20260080</t>
  </si>
  <si>
    <t>WO-20260081</t>
  </si>
  <si>
    <t>WO-20260082</t>
  </si>
  <si>
    <t>WO-20260083</t>
  </si>
  <si>
    <t>Thermostat unresponsive</t>
  </si>
  <si>
    <t>WO-20260084</t>
  </si>
  <si>
    <t>WO-20260085</t>
  </si>
  <si>
    <t>WO-20260086</t>
  </si>
  <si>
    <t>WO-20260087</t>
  </si>
  <si>
    <t>WO-20260088</t>
  </si>
  <si>
    <t>WO-20260089</t>
  </si>
  <si>
    <t>WO-20260090</t>
  </si>
  <si>
    <t>WO-20260091</t>
  </si>
  <si>
    <t>WO-20260092</t>
  </si>
  <si>
    <t>WO-20260093</t>
  </si>
  <si>
    <t>WO-20260094</t>
  </si>
  <si>
    <t>WO-20260095</t>
  </si>
  <si>
    <t>WO-20260096</t>
  </si>
  <si>
    <t>WO-20260097</t>
  </si>
  <si>
    <t>WO-20260098</t>
  </si>
  <si>
    <t>WO-20260099</t>
  </si>
  <si>
    <t>WO-20260100</t>
  </si>
  <si>
    <t>WO-20260101</t>
  </si>
  <si>
    <t>WO-20260102</t>
  </si>
  <si>
    <t>WO-20260103</t>
  </si>
  <si>
    <t>WO-20260104</t>
  </si>
  <si>
    <t>WO-20260105</t>
  </si>
  <si>
    <t>WO-20260106</t>
  </si>
  <si>
    <t>WO-20260107</t>
  </si>
  <si>
    <t>WO-20260108</t>
  </si>
  <si>
    <t>WO-20260109</t>
  </si>
  <si>
    <t>WO-20260110</t>
  </si>
  <si>
    <t>WO-20260111</t>
  </si>
  <si>
    <t>WO-20260112</t>
  </si>
  <si>
    <t>WO-20260113</t>
  </si>
  <si>
    <t>WO-20260114</t>
  </si>
  <si>
    <t>WO-20260115</t>
  </si>
  <si>
    <t>WO-20260116</t>
  </si>
  <si>
    <t>WO-20260117</t>
  </si>
  <si>
    <t>WO-20260118</t>
  </si>
  <si>
    <t>WO-20260119</t>
  </si>
  <si>
    <t>WO-20260120</t>
  </si>
  <si>
    <t>WO-20260121</t>
  </si>
  <si>
    <t>WO-20260122</t>
  </si>
  <si>
    <t>WO-20260123</t>
  </si>
  <si>
    <t>WO-20260124</t>
  </si>
  <si>
    <t>WO-20260125</t>
  </si>
  <si>
    <t>Violation ID</t>
  </si>
  <si>
    <t>Notice Date</t>
  </si>
  <si>
    <t>Cure Deadline</t>
  </si>
  <si>
    <t>Hearing Required</t>
  </si>
  <si>
    <t>VIOL-20260001</t>
  </si>
  <si>
    <t>Short-term rental</t>
  </si>
  <si>
    <t>Resident contacted by phone</t>
  </si>
  <si>
    <t>VIOL-20260002</t>
  </si>
  <si>
    <t>Board review required</t>
  </si>
  <si>
    <t>VIOL-20260003</t>
  </si>
  <si>
    <t>Balcony</t>
  </si>
  <si>
    <t>VIOL-20260004</t>
  </si>
  <si>
    <t>Hearing Scheduled</t>
  </si>
  <si>
    <t>VIOL-20260005</t>
  </si>
  <si>
    <t>Parking</t>
  </si>
  <si>
    <t>Fine Assessed</t>
  </si>
  <si>
    <t>VIOL-20260006</t>
  </si>
  <si>
    <t>Second notice sent</t>
  </si>
  <si>
    <t>VIOL-20260007</t>
  </si>
  <si>
    <t>Cured</t>
  </si>
  <si>
    <t>VIOL-20260008</t>
  </si>
  <si>
    <t>Noise</t>
  </si>
  <si>
    <t>VIOL-20260009</t>
  </si>
  <si>
    <t>Pet</t>
  </si>
  <si>
    <t>Photo on file in portal</t>
  </si>
  <si>
    <t>VIOL-20260010</t>
  </si>
  <si>
    <t>VIOL-20260011</t>
  </si>
  <si>
    <t>VIOL-20260012</t>
  </si>
  <si>
    <t>VIOL-20260013</t>
  </si>
  <si>
    <t>Courtesy warning</t>
  </si>
  <si>
    <t>VIOL-20260014</t>
  </si>
  <si>
    <t>VIOL-20260015</t>
  </si>
  <si>
    <t>VIOL-20260016</t>
  </si>
  <si>
    <t>VIOL-20260017</t>
  </si>
  <si>
    <t>VIOL-20260018</t>
  </si>
  <si>
    <t>VIOL-20260019</t>
  </si>
  <si>
    <t>VIOL-20260020</t>
  </si>
  <si>
    <t>VIOL-20260021</t>
  </si>
  <si>
    <t>VIOL-20260022</t>
  </si>
  <si>
    <t>VIOL-20260023</t>
  </si>
  <si>
    <t>Architectural</t>
  </si>
  <si>
    <t>VIOL-20260024</t>
  </si>
  <si>
    <t>VIOL-20260025</t>
  </si>
  <si>
    <t>VIOL-20260026</t>
  </si>
  <si>
    <t>VIOL-20260027</t>
  </si>
  <si>
    <t>VIOL-20260028</t>
  </si>
  <si>
    <t>VIOL-20260029</t>
  </si>
  <si>
    <t>VIOL-20260030</t>
  </si>
  <si>
    <t>VIOL-20260031</t>
  </si>
  <si>
    <t>VIOL-20260032</t>
  </si>
  <si>
    <t>VIOL-20260033</t>
  </si>
  <si>
    <t>VIOL-20260034</t>
  </si>
  <si>
    <t>VIOL-20260035</t>
  </si>
  <si>
    <t>VIOL-20260036</t>
  </si>
  <si>
    <t>VIOL-20260037</t>
  </si>
  <si>
    <t>VIOL-20260038</t>
  </si>
  <si>
    <t>VIOL-20260039</t>
  </si>
  <si>
    <t>VIOL-20260040</t>
  </si>
  <si>
    <t>VIOL-20260041</t>
  </si>
  <si>
    <t>VIOL-20260042</t>
  </si>
  <si>
    <t>VIOL-20260043</t>
  </si>
  <si>
    <t>VIOL-20260044</t>
  </si>
  <si>
    <t>VIOL-20260045</t>
  </si>
  <si>
    <t>VIOL-20260046</t>
  </si>
  <si>
    <t>VIOL-20260047</t>
  </si>
  <si>
    <t>VIOL-20260048</t>
  </si>
  <si>
    <t>VIOL-20260049</t>
  </si>
  <si>
    <t>VIOL-20260050</t>
  </si>
  <si>
    <t>VIOL-20260051</t>
  </si>
  <si>
    <t>VIOL-20260052</t>
  </si>
  <si>
    <t>VIOL-20260053</t>
  </si>
  <si>
    <t>VIOL-20260054</t>
  </si>
  <si>
    <t>VIOL-20260055</t>
  </si>
  <si>
    <t>VIOL-20260056</t>
  </si>
  <si>
    <t>VIOL-20260057</t>
  </si>
  <si>
    <t>VIOL-20260058</t>
  </si>
  <si>
    <t>VIOL-20260059</t>
  </si>
  <si>
    <t>VIOL-20260060</t>
  </si>
  <si>
    <t>VIOL-20260061</t>
  </si>
  <si>
    <t>VIOL-20260062</t>
  </si>
  <si>
    <t>VIOL-20260063</t>
  </si>
  <si>
    <t>VIOL-20260064</t>
  </si>
  <si>
    <t>VIOL-20260065</t>
  </si>
  <si>
    <t>VIOL-20260066</t>
  </si>
  <si>
    <t>VIOL-20260067</t>
  </si>
  <si>
    <t>VIOL-20260068</t>
  </si>
  <si>
    <t>VIOL-20260069</t>
  </si>
  <si>
    <t>VIOL-20260070</t>
  </si>
  <si>
    <t>VIOL-20260071</t>
  </si>
  <si>
    <t>VIOL-20260072</t>
  </si>
  <si>
    <t>VIOL-20260073</t>
  </si>
  <si>
    <t>VIOL-20260074</t>
  </si>
  <si>
    <t>VIOL-20260075</t>
  </si>
  <si>
    <t>VIOL-20260076</t>
  </si>
  <si>
    <t>VIOL-20260077</t>
  </si>
  <si>
    <t>VIOL-20260078</t>
  </si>
  <si>
    <t>VIOL-20260079</t>
  </si>
  <si>
    <t>VIOL-20260080</t>
  </si>
  <si>
    <t>VIOL-20260081</t>
  </si>
  <si>
    <t>VIOL-20260082</t>
  </si>
  <si>
    <t>VIOL-20260083</t>
  </si>
  <si>
    <t>VIOL-20260084</t>
  </si>
  <si>
    <t>VIOL-20260085</t>
  </si>
  <si>
    <t>VIOL-20260086</t>
  </si>
  <si>
    <t>VIOL-20260087</t>
  </si>
  <si>
    <t>VIOL-20260088</t>
  </si>
  <si>
    <t>VIOL-20260089</t>
  </si>
  <si>
    <t>VIOL-20260090</t>
  </si>
  <si>
    <t>VIOL-20260091</t>
  </si>
  <si>
    <t>VIOL-20260092</t>
  </si>
  <si>
    <t>VIOL-20260093</t>
  </si>
  <si>
    <t>VIOL-20260094</t>
  </si>
  <si>
    <t>VIOL-20260095</t>
  </si>
  <si>
    <t>VIOL-20260096</t>
  </si>
  <si>
    <t>VIOL-20260097</t>
  </si>
  <si>
    <t>VIOL-20260098</t>
  </si>
  <si>
    <t>VIOL-20260099</t>
  </si>
  <si>
    <t>VIOL-20260100</t>
  </si>
  <si>
    <t>VIOL-20260101</t>
  </si>
  <si>
    <t>VIOL-20260102</t>
  </si>
  <si>
    <t>VIOL-20260103</t>
  </si>
  <si>
    <t>VIOL-20260104</t>
  </si>
  <si>
    <t>VIOL-20260105</t>
  </si>
  <si>
    <t>VIOL-20260106</t>
  </si>
  <si>
    <t>VIOL-20260107</t>
  </si>
  <si>
    <t>VIOL-20260108</t>
  </si>
  <si>
    <t>VIOL-20260109</t>
  </si>
  <si>
    <t>VIOL-20260110</t>
  </si>
  <si>
    <t>VIOL-20260111</t>
  </si>
  <si>
    <t>VIOL-20260112</t>
  </si>
  <si>
    <t>VIOL-20260113</t>
  </si>
  <si>
    <t>VIOL-20260114</t>
  </si>
  <si>
    <t>VIOL-20260115</t>
  </si>
  <si>
    <t>VIOL-20260116</t>
  </si>
  <si>
    <t>VIOL-20260117</t>
  </si>
  <si>
    <t>VIOL-20260118</t>
  </si>
  <si>
    <t>VIOL-20260119</t>
  </si>
  <si>
    <t>VIOL-20260120</t>
  </si>
  <si>
    <t>VIOL-20260121</t>
  </si>
  <si>
    <t>VIOL-20260122</t>
  </si>
  <si>
    <t>VIOL-20260123</t>
  </si>
  <si>
    <t>VIOL-20260124</t>
  </si>
  <si>
    <t>VIOL-20260125</t>
  </si>
  <si>
    <t>VIOL-20260126</t>
  </si>
  <si>
    <t>VIOL-20260127</t>
  </si>
  <si>
    <t>VIOL-20260128</t>
  </si>
  <si>
    <t>VIOL-20260129</t>
  </si>
  <si>
    <t>VIOL-20260130</t>
  </si>
  <si>
    <t>VIOL-20260131</t>
  </si>
  <si>
    <t>VIOL-20260132</t>
  </si>
  <si>
    <t>VIOL-20260133</t>
  </si>
  <si>
    <t>VIOL-20260134</t>
  </si>
  <si>
    <t>VIOL-20260135</t>
  </si>
  <si>
    <t>VIOL-20260136</t>
  </si>
  <si>
    <t>VIOL-20260137</t>
  </si>
  <si>
    <t>VIOL-20260138</t>
  </si>
  <si>
    <t>VIOL-20260139</t>
  </si>
  <si>
    <t>VIOL-20260140</t>
  </si>
  <si>
    <t>Notice ID</t>
  </si>
  <si>
    <t>Sent Date</t>
  </si>
  <si>
    <t>Title</t>
  </si>
  <si>
    <t>Delivery</t>
  </si>
  <si>
    <t>Summary</t>
  </si>
  <si>
    <t>NTC-2026001</t>
  </si>
  <si>
    <t>Safety</t>
  </si>
  <si>
    <t>Fire Alarm Testing — Tower A</t>
  </si>
  <si>
    <t>SMS</t>
  </si>
  <si>
    <t>Work will occur overnight to minimize disruption. Expect brief elevator downtime per bank.</t>
  </si>
  <si>
    <t>NTC-2026002</t>
  </si>
  <si>
    <t>Amenities</t>
  </si>
  <si>
    <t>Valet Service Hours Update</t>
  </si>
  <si>
    <t>Portal</t>
  </si>
  <si>
    <t>New RFID readers will be installed. Existing fobs will continue to work after migration.</t>
  </si>
  <si>
    <t>NTC-2026003</t>
  </si>
  <si>
    <t>Finance</t>
  </si>
  <si>
    <t>Annual Budget Meeting Notice</t>
  </si>
  <si>
    <t>Water will be off 9am–1pm. Please plan accordingly and report any leaks after restore.</t>
  </si>
  <si>
    <t>NTC-2026004</t>
  </si>
  <si>
    <t>Water Shutoff Notice (Floors 12–18)</t>
  </si>
  <si>
    <t>Special assessment remains in effect. Online portal supports one-time or scheduled payments.</t>
  </si>
  <si>
    <t>NTC-2026005</t>
  </si>
  <si>
    <t>Governance</t>
  </si>
  <si>
    <t>Board Meeting Agenda &amp; Dial-in Details</t>
  </si>
  <si>
    <t>Email+SMS</t>
  </si>
  <si>
    <t>Agenda includes vendor contract renewals, reserve study update, and rule enforcement.</t>
  </si>
  <si>
    <t>NTC-2026006</t>
  </si>
  <si>
    <t>NTC-2026007</t>
  </si>
  <si>
    <t>Hurricane Prep</t>
  </si>
  <si>
    <t>Hurricane Season Preparation Checklist</t>
  </si>
  <si>
    <t>NTC-2026008</t>
  </si>
  <si>
    <t>Operations</t>
  </si>
  <si>
    <t>Garage Gate Access System Upgrade</t>
  </si>
  <si>
    <t>NTC-2026009</t>
  </si>
  <si>
    <t>NTC-2026010</t>
  </si>
  <si>
    <t>Updated hours effective next week. After-hours service available by request.</t>
  </si>
  <si>
    <t>NTC-2026011</t>
  </si>
  <si>
    <t>Elevator Preventive Maintenance Schedule</t>
  </si>
  <si>
    <t>NTC-2026012</t>
  </si>
  <si>
    <t>Budget packet available in the portal. Owners may attend in person or via conference line.</t>
  </si>
  <si>
    <t>NTC-2026013</t>
  </si>
  <si>
    <t>Please review window/door preparation steps and submit vehicle registration updates.</t>
  </si>
  <si>
    <t>NTC-2026014</t>
  </si>
  <si>
    <t>Testing will be audible in common areas. No action required unless instructed by staff.</t>
  </si>
  <si>
    <t>NTC-2026015</t>
  </si>
  <si>
    <t>NTC-2026016</t>
  </si>
  <si>
    <t>NTC-2026017</t>
  </si>
  <si>
    <t>NTC-2026018</t>
  </si>
  <si>
    <t>Resurfacing begins Monday. Pool remains open with restricted seating during construction.</t>
  </si>
  <si>
    <t>NTC-2026019</t>
  </si>
  <si>
    <t>NTC-2026020</t>
  </si>
  <si>
    <t>Scenario ID</t>
  </si>
  <si>
    <t>Channel</t>
  </si>
  <si>
    <t>Message</t>
  </si>
  <si>
    <t>SCN-001</t>
  </si>
  <si>
    <t>(305) 555-6001</t>
  </si>
  <si>
    <t>What is my current balance?</t>
  </si>
  <si>
    <t>Balance inquiry</t>
  </si>
  <si>
    <t>SCN-002</t>
  </si>
  <si>
    <t>(305) 555-6002</t>
  </si>
  <si>
    <t>SCN-003</t>
  </si>
  <si>
    <t>Voice</t>
  </si>
  <si>
    <t>(305) 555-6003</t>
  </si>
  <si>
    <t>Am I enrolled in autopay?</t>
  </si>
  <si>
    <t>SCN-004</t>
  </si>
  <si>
    <t>(305) 555-6004</t>
  </si>
  <si>
    <t>Is my work order still open?</t>
  </si>
  <si>
    <t>Work order status</t>
  </si>
  <si>
    <t>SCN-005</t>
  </si>
  <si>
    <t>(305) 555-6005</t>
  </si>
  <si>
    <t>When does my tenant lease expire?</t>
  </si>
  <si>
    <t>Lease</t>
  </si>
  <si>
    <t>SCN-006</t>
  </si>
  <si>
    <t>(305) 555-6006</t>
  </si>
  <si>
    <t>Do I have a special assessment?</t>
  </si>
  <si>
    <t>Special assessment</t>
  </si>
  <si>
    <t>SCN-007</t>
  </si>
  <si>
    <t>(305) 555-6007</t>
  </si>
  <si>
    <t>SCN-008</t>
  </si>
  <si>
    <t>(305) 555-6008</t>
  </si>
  <si>
    <t>Do I have a boat slip assigned?</t>
  </si>
  <si>
    <t>Boat slip</t>
  </si>
  <si>
    <t>SCN-009</t>
  </si>
  <si>
    <t>(305) 555-6009</t>
  </si>
  <si>
    <t>SCN-010</t>
  </si>
  <si>
    <t>(305) 555-6010</t>
  </si>
  <si>
    <t>SCN-011</t>
  </si>
  <si>
    <t>(305) 555-6011</t>
  </si>
  <si>
    <t>SCN-012</t>
  </si>
  <si>
    <t>(305) 555-6012</t>
  </si>
  <si>
    <t>SCN-013</t>
  </si>
  <si>
    <t>(305) 555-6013</t>
  </si>
  <si>
    <t>SCN-014</t>
  </si>
  <si>
    <t>(305) 555-6014</t>
  </si>
  <si>
    <t>SCN-015</t>
  </si>
  <si>
    <t>(305) 555-6015</t>
  </si>
  <si>
    <t>SCN-016</t>
  </si>
  <si>
    <t>(305) 555-6016</t>
  </si>
  <si>
    <t>SCN-017</t>
  </si>
  <si>
    <t>(305) 555-6017</t>
  </si>
  <si>
    <t>SCN-018</t>
  </si>
  <si>
    <t>(305) 555-6018</t>
  </si>
  <si>
    <t>When was my last payment?</t>
  </si>
  <si>
    <t>Last payment</t>
  </si>
  <si>
    <t>SCN-019</t>
  </si>
  <si>
    <t>(305) 555-6019</t>
  </si>
  <si>
    <t>SCN-020</t>
  </si>
  <si>
    <t>(305) 555-6020</t>
  </si>
  <si>
    <t>What's my parking space?</t>
  </si>
  <si>
    <t>SCN-021</t>
  </si>
  <si>
    <t>(305) 555-6021</t>
  </si>
  <si>
    <t>SCN-022</t>
  </si>
  <si>
    <t>(305) 555-6022</t>
  </si>
  <si>
    <t>Do I have any open violations?</t>
  </si>
  <si>
    <t>Violations</t>
  </si>
  <si>
    <t>SCN-023</t>
  </si>
  <si>
    <t>(305) 555-6023</t>
  </si>
  <si>
    <t>SCN-024</t>
  </si>
  <si>
    <t>(305) 555-6024</t>
  </si>
  <si>
    <t>SCN-025</t>
  </si>
  <si>
    <t>(305) 555-6025</t>
  </si>
  <si>
    <t>SCN-026</t>
  </si>
  <si>
    <t>(305) 555-6026</t>
  </si>
  <si>
    <t>SCN-027</t>
  </si>
  <si>
    <t>(305) 555-6027</t>
  </si>
  <si>
    <t>SCN-028</t>
  </si>
  <si>
    <t>(305) 555-6028</t>
  </si>
  <si>
    <t>SCN-029</t>
  </si>
  <si>
    <t>(305) 555-6029</t>
  </si>
  <si>
    <t>SCN-030</t>
  </si>
  <si>
    <t>(305) 555-6030</t>
  </si>
  <si>
    <t>SCN-031</t>
  </si>
  <si>
    <t>(305) 555-6031</t>
  </si>
  <si>
    <t>SCN-032</t>
  </si>
  <si>
    <t>(305) 555-6032</t>
  </si>
  <si>
    <t>SCN-033</t>
  </si>
  <si>
    <t>(305) 555-6033</t>
  </si>
  <si>
    <t>SCN-034</t>
  </si>
  <si>
    <t>(305) 555-6034</t>
  </si>
  <si>
    <t>SCN-035</t>
  </si>
  <si>
    <t>(305) 555-6035</t>
  </si>
  <si>
    <t>SCN-036</t>
  </si>
  <si>
    <t>(305) 555-6036</t>
  </si>
  <si>
    <t>SCN-037</t>
  </si>
  <si>
    <t>(305) 555-6037</t>
  </si>
  <si>
    <t>SCN-038</t>
  </si>
  <si>
    <t>(305) 555-6038</t>
  </si>
  <si>
    <t>SCN-039</t>
  </si>
  <si>
    <t>(305) 555-6039</t>
  </si>
  <si>
    <t>SCN-040</t>
  </si>
  <si>
    <t>(305) 555-6040</t>
  </si>
  <si>
    <t>SCN-041</t>
  </si>
  <si>
    <t>(305) 555-6041</t>
  </si>
  <si>
    <t>SCN-042</t>
  </si>
  <si>
    <t>(305) 555-6042</t>
  </si>
  <si>
    <t>SCN-043</t>
  </si>
  <si>
    <t>(305) 555-6043</t>
  </si>
  <si>
    <t>SCN-044</t>
  </si>
  <si>
    <t>(305) 555-6044</t>
  </si>
  <si>
    <t>SCN-045</t>
  </si>
  <si>
    <t>(305) 555-6045</t>
  </si>
  <si>
    <t>SCN-046</t>
  </si>
  <si>
    <t>(305) 555-6046</t>
  </si>
  <si>
    <t>SCN-047</t>
  </si>
  <si>
    <t>(305) 555-6047</t>
  </si>
  <si>
    <t>SCN-048</t>
  </si>
  <si>
    <t>(305) 555-6048</t>
  </si>
  <si>
    <t>SCN-049</t>
  </si>
  <si>
    <t>(305) 555-6049</t>
  </si>
  <si>
    <t>SCN-050</t>
  </si>
  <si>
    <t>(305) 555-6050</t>
  </si>
  <si>
    <t>SCN-051</t>
  </si>
  <si>
    <t>(305) 555-6051</t>
  </si>
  <si>
    <t>SCN-052</t>
  </si>
  <si>
    <t>(305) 555-6052</t>
  </si>
  <si>
    <t>SCN-053</t>
  </si>
  <si>
    <t>(305) 555-6053</t>
  </si>
  <si>
    <t>SCN-054</t>
  </si>
  <si>
    <t>(305) 555-6054</t>
  </si>
  <si>
    <t>SCN-055</t>
  </si>
  <si>
    <t>(305) 555-6055</t>
  </si>
  <si>
    <t>SCN-056</t>
  </si>
  <si>
    <t>(305) 555-6056</t>
  </si>
  <si>
    <t>SCN-057</t>
  </si>
  <si>
    <t>(305) 555-6057</t>
  </si>
  <si>
    <t>SCN-058</t>
  </si>
  <si>
    <t>(305) 555-6058</t>
  </si>
  <si>
    <t>SCN-059</t>
  </si>
  <si>
    <t>(305) 555-6059</t>
  </si>
  <si>
    <t>SCN-060</t>
  </si>
  <si>
    <t>(305) 555-6060</t>
  </si>
  <si>
    <t>SqFt</t>
  </si>
  <si>
    <t>Account Holder</t>
  </si>
  <si>
    <t>Monthly Assessment</t>
  </si>
  <si>
    <t>Special Assessment Balance</t>
  </si>
  <si>
    <t>Current Balance</t>
  </si>
  <si>
    <t>Last Payment Amount</t>
  </si>
  <si>
    <t>Late Fees</t>
  </si>
  <si>
    <t>Annual Assessment</t>
  </si>
  <si>
    <t>Days Past Due</t>
  </si>
  <si>
    <t>Delinquency Bucket</t>
  </si>
  <si>
    <t>Max Length</t>
  </si>
  <si>
    <t>Monthly Fee</t>
  </si>
  <si>
    <t>Fine</t>
  </si>
  <si>
    <t>From</t>
  </si>
  <si>
    <t>Expected Data</t>
  </si>
  <si>
    <t>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</si>
</sst>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5" fontId="0" fillId="0" borderId="1" xfId="0" applyNumberForma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UnitsResidents" displayName="tblUnitsResidents" ref="A1:P851">
  <autoFilter ref="A1:P851" xr:uid="{00000000-0009-0000-0100-000001000000}"/>
  <tableColumns count="16">
    <tableColumn id="1" xr3:uid="{00000000-0010-0000-0000-000001000000}" name="Unit"/>
    <tableColumn id="2" xr3:uid="{00000000-0010-0000-0000-000002000000}" name="Floor"/>
    <tableColumn id="3" xr3:uid="{00000000-0010-0000-0000-000003000000}" name="Stack"/>
    <tableColumn id="4" xr3:uid="{00000000-0010-0000-0000-000004000000}" name="Unit Type"/>
    <tableColumn id="5" xr3:uid="{00000000-0010-0000-0000-000005000000}" name="SqFt"/>
    <tableColumn id="6" xr3:uid="{00000000-0010-0000-0000-000006000000}" name="Occupancy Type"/>
    <tableColumn id="7" xr3:uid="{00000000-0010-0000-0000-000007000000}" name="Owner Name"/>
    <tableColumn id="8" xr3:uid="{00000000-0010-0000-0000-000008000000}" name="Owner Phone"/>
    <tableColumn id="9" xr3:uid="{00000000-0010-0000-0000-000009000000}" name="Owner Email"/>
    <tableColumn id="10" xr3:uid="{00000000-0010-0000-0000-00000A000000}" name="Tenant Name"/>
    <tableColumn id="11" xr3:uid="{00000000-0010-0000-0000-00000B000000}" name="Lease Expiration"/>
    <tableColumn id="12" xr3:uid="{00000000-0010-0000-0000-00000C000000}" name="Parking Primary"/>
    <tableColumn id="13" xr3:uid="{00000000-0010-0000-0000-00000D000000}" name="Parking Secondary"/>
    <tableColumn id="14" xr3:uid="{00000000-0010-0000-0000-00000E000000}" name="Boat Slip"/>
    <tableColumn id="15" xr3:uid="{00000000-0010-0000-0000-00000F000000}" name="Storage Unit"/>
    <tableColumn id="16" xr3:uid="{00000000-0010-0000-0000-000010000000}" name="SMS Opt-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AccountsAR" displayName="tblAccountsAR" ref="A1:P851">
  <autoFilter ref="A1:P851" xr:uid="{00000000-0009-0000-0100-000002000000}"/>
  <tableColumns count="16">
    <tableColumn id="1" xr3:uid="{00000000-0010-0000-0100-000001000000}" name="Unit"/>
    <tableColumn id="2" xr3:uid="{00000000-0010-0000-0100-000002000000}" name="Account Holder"/>
    <tableColumn id="3" xr3:uid="{00000000-0010-0000-0100-000003000000}" name="Monthly Assessment"/>
    <tableColumn id="4" xr3:uid="{00000000-0010-0000-0100-000004000000}" name="Annual Assessment"/>
    <tableColumn id="5" xr3:uid="{00000000-0010-0000-0100-000005000000}" name="Special Assessment Active"/>
    <tableColumn id="6" xr3:uid="{00000000-0010-0000-0100-000006000000}" name="Special Assessment Balance"/>
    <tableColumn id="7" xr3:uid="{00000000-0010-0000-0100-000007000000}" name="Current Balance"/>
    <tableColumn id="8" xr3:uid="{00000000-0010-0000-0100-000008000000}" name="Last Payment Date"/>
    <tableColumn id="9" xr3:uid="{00000000-0010-0000-0100-000009000000}" name="Last Payment Amount"/>
    <tableColumn id="10" xr3:uid="{00000000-0010-0000-0100-00000A000000}" name="Payment Method"/>
    <tableColumn id="11" xr3:uid="{00000000-0010-0000-0100-00000B000000}" name="Last Assessment Due Date"/>
    <tableColumn id="12" xr3:uid="{00000000-0010-0000-0100-00000C000000}" name="Days Past Due"/>
    <tableColumn id="13" xr3:uid="{00000000-0010-0000-0100-00000D000000}" name="Delinquency Bucket"/>
    <tableColumn id="14" xr3:uid="{00000000-0010-0000-0100-00000E000000}" name="Late Fees"/>
    <tableColumn id="15" xr3:uid="{00000000-0010-0000-0100-00000F000000}" name="Payment Plan"/>
    <tableColumn id="16" xr3:uid="{00000000-0010-0000-0100-000010000000}" name="Autopa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rking" displayName="tblParking" ref="A1:E1421">
  <autoFilter ref="A1:E1421" xr:uid="{00000000-0009-0000-0100-000003000000}"/>
  <tableColumns count="5">
    <tableColumn id="1" xr3:uid="{00000000-0010-0000-0200-000001000000}" name="Space ID"/>
    <tableColumn id="2" xr3:uid="{00000000-0010-0000-0200-000002000000}" name="Level"/>
    <tableColumn id="3" xr3:uid="{00000000-0010-0000-0200-000003000000}" name="Type"/>
    <tableColumn id="4" xr3:uid="{00000000-0010-0000-0200-000004000000}" name="Assigned Unit"/>
    <tableColumn id="5" xr3:uid="{00000000-0010-0000-0200-000005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atSlips" displayName="tblBoatSlips" ref="A1:E97">
  <autoFilter ref="A1:E97" xr:uid="{00000000-0009-0000-0100-000004000000}"/>
  <tableColumns count="5">
    <tableColumn id="1" xr3:uid="{00000000-0010-0000-0300-000001000000}" name="Slip ID"/>
    <tableColumn id="2" xr3:uid="{00000000-0010-0000-0300-000002000000}" name="Assigned Unit"/>
    <tableColumn id="3" xr3:uid="{00000000-0010-0000-0300-000003000000}" name="Max Length"/>
    <tableColumn id="4" xr3:uid="{00000000-0010-0000-0300-000004000000}" name="Monthly Fee"/>
    <tableColumn id="5" xr3:uid="{00000000-0010-0000-0300-000005000000}" name="Wait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Vendors" displayName="tblVendors" ref="A1:F31">
  <autoFilter ref="A1:F31" xr:uid="{00000000-0009-0000-0100-000005000000}"/>
  <tableColumns count="6">
    <tableColumn id="1" xr3:uid="{00000000-0010-0000-0400-000001000000}" name="Vendor"/>
    <tableColumn id="2" xr3:uid="{00000000-0010-0000-0400-000002000000}" name="Category"/>
    <tableColumn id="3" xr3:uid="{00000000-0010-0000-0400-000003000000}" name="Primary Contact"/>
    <tableColumn id="4" xr3:uid="{00000000-0010-0000-0400-000004000000}" name="Phone"/>
    <tableColumn id="5" xr3:uid="{00000000-0010-0000-0400-000005000000}" name="Email"/>
    <tableColumn id="6" xr3:uid="{00000000-0010-0000-0400-000006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WorkOrders" displayName="tblWorkOrders" ref="A1:I126">
  <autoFilter ref="A1:I126" xr:uid="{00000000-0009-0000-0100-000006000000}"/>
  <tableColumns count="9">
    <tableColumn id="1" xr3:uid="{00000000-0010-0000-0500-000001000000}" name="Work Order ID"/>
    <tableColumn id="2" xr3:uid="{00000000-0010-0000-0500-000002000000}" name="Opened"/>
    <tableColumn id="3" xr3:uid="{00000000-0010-0000-0500-000003000000}" name="Unit"/>
    <tableColumn id="4" xr3:uid="{00000000-0010-0000-0500-000004000000}" name="Category"/>
    <tableColumn id="5" xr3:uid="{00000000-0010-0000-0500-000005000000}" name="Priority"/>
    <tableColumn id="6" xr3:uid="{00000000-0010-0000-0500-000006000000}" name="Status"/>
    <tableColumn id="7" xr3:uid="{00000000-0010-0000-0500-000007000000}" name="Vendor"/>
    <tableColumn id="8" xr3:uid="{00000000-0010-0000-0500-000008000000}" name="Description"/>
    <tableColumn id="9" xr3:uid="{00000000-0010-0000-0500-000009000000}" name="ET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Violations" displayName="tblViolations" ref="A1:I141">
  <autoFilter ref="A1:I141" xr:uid="{00000000-0009-0000-0100-000007000000}"/>
  <tableColumns count="9">
    <tableColumn id="1" xr3:uid="{00000000-0010-0000-0600-000001000000}" name="Violation ID"/>
    <tableColumn id="2" xr3:uid="{00000000-0010-0000-0600-000002000000}" name="Notice Date"/>
    <tableColumn id="3" xr3:uid="{00000000-0010-0000-0600-000003000000}" name="Unit"/>
    <tableColumn id="4" xr3:uid="{00000000-0010-0000-0600-000004000000}" name="Type"/>
    <tableColumn id="5" xr3:uid="{00000000-0010-0000-0600-000005000000}" name="Status"/>
    <tableColumn id="6" xr3:uid="{00000000-0010-0000-0600-000006000000}" name="Cure Deadline"/>
    <tableColumn id="7" xr3:uid="{00000000-0010-0000-0600-000007000000}" name="Fine"/>
    <tableColumn id="8" xr3:uid="{00000000-0010-0000-0600-000008000000}" name="Hearing Required"/>
    <tableColumn id="9" xr3:uid="{00000000-0010-0000-0600-000009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Notices" displayName="tblNotices" ref="A1:F21">
  <autoFilter ref="A1:F21" xr:uid="{00000000-0009-0000-0100-000008000000}"/>
  <tableColumns count="6">
    <tableColumn id="1" xr3:uid="{00000000-0010-0000-0700-000001000000}" name="Notice ID"/>
    <tableColumn id="2" xr3:uid="{00000000-0010-0000-0700-000002000000}" name="Sent Date"/>
    <tableColumn id="3" xr3:uid="{00000000-0010-0000-0700-000003000000}" name="Category"/>
    <tableColumn id="4" xr3:uid="{00000000-0010-0000-0700-000004000000}" name="Title"/>
    <tableColumn id="5" xr3:uid="{00000000-0010-0000-0700-000005000000}" name="Delivery"/>
    <tableColumn id="6" xr3:uid="{00000000-0010-0000-0700-000006000000}" name="Summar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MSTestSet" displayName="tblSMSTestSet" ref="A1:G61">
  <autoFilter ref="A1:G61" xr:uid="{00000000-0009-0000-0100-000009000000}"/>
  <tableColumns count="7">
    <tableColumn id="1" xr3:uid="{00000000-0010-0000-0800-000001000000}" name="Scenario ID"/>
    <tableColumn id="2" xr3:uid="{00000000-0010-0000-0800-000002000000}" name="Channel"/>
    <tableColumn id="3" xr3:uid="{00000000-0010-0000-0800-000003000000}" name="From"/>
    <tableColumn id="4" xr3:uid="{00000000-0010-0000-0800-000004000000}" name="Unit"/>
    <tableColumn id="5" xr3:uid="{00000000-0010-0000-0800-000005000000}" name="Message"/>
    <tableColumn id="6" xr3:uid="{00000000-0010-0000-0800-000006000000}" name="Expected Data"/>
    <tableColumn id="7" xr3:uid="{00000000-0010-0000-0800-000007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sqref="A1:H17"/>
    </sheetView>
  </sheetViews>
  <sheetFormatPr baseColWidth="10" defaultColWidth="8.83203125" defaultRowHeight="15" x14ac:dyDescent="0.2"/>
  <cols>
    <col min="1" max="1" width="24" customWidth="1"/>
    <col min="2" max="6" width="18" customWidth="1"/>
  </cols>
  <sheetData>
    <row r="1" spans="1:8" ht="19" x14ac:dyDescent="0.25">
      <c r="A1" s="7" t="s">
        <v>1</v>
      </c>
      <c r="B1" s="6"/>
      <c r="C1" s="6"/>
      <c r="D1" s="6"/>
      <c r="E1" s="6"/>
      <c r="F1" s="6"/>
      <c r="G1" s="6"/>
      <c r="H1" s="6"/>
    </row>
    <row r="3" spans="1:8" x14ac:dyDescent="0.2">
      <c r="A3" t="s">
        <v>2</v>
      </c>
    </row>
    <row r="4" spans="1:8" x14ac:dyDescent="0.2">
      <c r="A4" t="s">
        <v>3</v>
      </c>
    </row>
    <row r="5" spans="1:8" x14ac:dyDescent="0.2">
      <c r="A5" t="s">
        <v>4</v>
      </c>
    </row>
    <row r="6" spans="1:8" x14ac:dyDescent="0.2">
      <c r="A6" t="s">
        <v>5</v>
      </c>
    </row>
    <row r="7" spans="1:8" x14ac:dyDescent="0.2">
      <c r="A7" t="s">
        <v>6</v>
      </c>
    </row>
    <row r="8" spans="1:8" x14ac:dyDescent="0.2">
      <c r="A8" t="s">
        <v>7</v>
      </c>
    </row>
    <row r="9" spans="1:8" x14ac:dyDescent="0.2">
      <c r="A9" t="s">
        <v>8</v>
      </c>
    </row>
    <row r="10" spans="1:8" x14ac:dyDescent="0.2">
      <c r="A10" t="s">
        <v>9</v>
      </c>
    </row>
    <row r="11" spans="1:8" x14ac:dyDescent="0.2">
      <c r="A11" t="s">
        <v>10</v>
      </c>
    </row>
    <row r="12" spans="1:8" x14ac:dyDescent="0.2">
      <c r="A12" t="s">
        <v>11</v>
      </c>
    </row>
    <row r="15" spans="1:8" x14ac:dyDescent="0.2">
      <c r="A15" s="5" t="s">
        <v>12</v>
      </c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</sheetData>
  <mergeCells count="2">
    <mergeCell ref="A1:H1"/>
    <mergeCell ref="A15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selection activeCell="A37" sqref="A37"/>
    </sheetView>
  </sheetViews>
  <sheetFormatPr baseColWidth="10" defaultColWidth="8.83203125" defaultRowHeight="15" x14ac:dyDescent="0.2"/>
  <cols>
    <col min="1" max="1" width="110" customWidth="1"/>
    <col min="2" max="8" width="18" customWidth="1"/>
  </cols>
  <sheetData>
    <row r="1" spans="1:8" ht="19" x14ac:dyDescent="0.25">
      <c r="A1" s="7"/>
      <c r="B1" s="6"/>
      <c r="C1" s="6"/>
      <c r="D1" s="6"/>
      <c r="E1" s="6"/>
      <c r="F1" s="6"/>
      <c r="G1" s="6"/>
      <c r="H1" s="6"/>
    </row>
    <row r="15" spans="1:8" x14ac:dyDescent="0.2">
      <c r="A15" s="5"/>
      <c r="B15" s="6"/>
      <c r="C15" s="6"/>
      <c r="D15" s="6"/>
      <c r="E15" s="6"/>
      <c r="F15" s="6"/>
      <c r="G15" s="6"/>
      <c r="H15" s="6"/>
    </row>
    <row r="16" spans="1:8" x14ac:dyDescent="0.2">
      <c r="A16" s="6"/>
      <c r="B16" s="6"/>
      <c r="C16" s="6"/>
      <c r="D16" s="6"/>
      <c r="E16" s="6"/>
      <c r="F16" s="6"/>
      <c r="G16" s="6"/>
      <c r="H16" s="6"/>
    </row>
    <row r="17" spans="1:8" x14ac:dyDescent="0.2">
      <c r="A17" s="6"/>
      <c r="B17" s="6"/>
      <c r="C17" s="6"/>
      <c r="D17" s="6"/>
      <c r="E17" s="6"/>
      <c r="F17" s="6"/>
      <c r="G17" s="6"/>
      <c r="H17" s="6"/>
    </row>
  </sheetData>
  <mergeCells count="2">
    <mergeCell ref="A15:H17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51"/>
  <sheetViews>
    <sheetView showGridLines="0" workbookViewId="0">
      <selection activeCell="E1" sqref="E1"/>
    </sheetView>
  </sheetViews>
  <sheetFormatPr baseColWidth="10" defaultColWidth="8.83203125" defaultRowHeight="15" x14ac:dyDescent="0.2"/>
  <cols>
    <col min="1" max="3" width="8" customWidth="1"/>
    <col min="4" max="4" width="10" customWidth="1"/>
    <col min="5" max="5" width="12" customWidth="1"/>
    <col min="6" max="6" width="14" customWidth="1"/>
    <col min="7" max="7" width="20" customWidth="1"/>
    <col min="8" max="8" width="16" customWidth="1"/>
    <col min="9" max="9" width="28" customWidth="1"/>
    <col min="10" max="10" width="20" customWidth="1"/>
    <col min="11" max="12" width="16" customWidth="1"/>
    <col min="13" max="13" width="18" customWidth="1"/>
    <col min="14" max="14" width="12" customWidth="1"/>
    <col min="15" max="15" width="14" customWidth="1"/>
    <col min="16" max="16" width="10" customWidth="1"/>
  </cols>
  <sheetData>
    <row r="1" spans="1:16" ht="22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5684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x14ac:dyDescent="0.2">
      <c r="A2" s="2" t="s">
        <v>28</v>
      </c>
      <c r="B2" s="2">
        <v>1</v>
      </c>
      <c r="C2" s="2">
        <v>1</v>
      </c>
      <c r="D2" s="2" t="s">
        <v>29</v>
      </c>
      <c r="E2" s="2">
        <v>934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34</v>
      </c>
      <c r="L2" s="2" t="s">
        <v>35</v>
      </c>
      <c r="M2" s="2" t="s">
        <v>34</v>
      </c>
      <c r="N2" s="2" t="s">
        <v>34</v>
      </c>
      <c r="O2" s="2" t="s">
        <v>34</v>
      </c>
      <c r="P2" s="2" t="s">
        <v>36</v>
      </c>
    </row>
    <row r="3" spans="1:16" x14ac:dyDescent="0.2">
      <c r="A3" s="2" t="s">
        <v>37</v>
      </c>
      <c r="B3" s="2">
        <v>1</v>
      </c>
      <c r="C3" s="2">
        <v>2</v>
      </c>
      <c r="D3" s="2" t="s">
        <v>29</v>
      </c>
      <c r="E3" s="2">
        <v>966</v>
      </c>
      <c r="F3" s="2" t="s">
        <v>38</v>
      </c>
      <c r="G3" s="2" t="s">
        <v>39</v>
      </c>
      <c r="H3" s="2" t="s">
        <v>40</v>
      </c>
      <c r="I3" s="2" t="s">
        <v>41</v>
      </c>
      <c r="J3" s="2" t="s">
        <v>42</v>
      </c>
      <c r="K3" s="3">
        <v>46234</v>
      </c>
      <c r="L3" s="2" t="s">
        <v>43</v>
      </c>
      <c r="M3" s="2" t="s">
        <v>34</v>
      </c>
      <c r="N3" s="2" t="s">
        <v>34</v>
      </c>
      <c r="O3" s="2" t="s">
        <v>44</v>
      </c>
      <c r="P3" s="2" t="s">
        <v>36</v>
      </c>
    </row>
    <row r="4" spans="1:16" x14ac:dyDescent="0.2">
      <c r="A4" s="2" t="s">
        <v>45</v>
      </c>
      <c r="B4" s="2">
        <v>1</v>
      </c>
      <c r="C4" s="2">
        <v>3</v>
      </c>
      <c r="D4" s="2" t="s">
        <v>29</v>
      </c>
      <c r="E4" s="2">
        <v>915</v>
      </c>
      <c r="F4" s="2" t="s">
        <v>38</v>
      </c>
      <c r="G4" s="2" t="s">
        <v>46</v>
      </c>
      <c r="H4" s="2" t="s">
        <v>47</v>
      </c>
      <c r="I4" s="2" t="s">
        <v>48</v>
      </c>
      <c r="J4" s="2" t="s">
        <v>49</v>
      </c>
      <c r="K4" s="3">
        <v>46259</v>
      </c>
      <c r="L4" s="2" t="s">
        <v>50</v>
      </c>
      <c r="M4" s="2" t="s">
        <v>34</v>
      </c>
      <c r="N4" s="2" t="s">
        <v>34</v>
      </c>
      <c r="O4" s="2" t="s">
        <v>34</v>
      </c>
      <c r="P4" s="2" t="s">
        <v>36</v>
      </c>
    </row>
    <row r="5" spans="1:16" x14ac:dyDescent="0.2">
      <c r="A5" s="2" t="s">
        <v>51</v>
      </c>
      <c r="B5" s="2">
        <v>1</v>
      </c>
      <c r="C5" s="2">
        <v>4</v>
      </c>
      <c r="D5" s="2" t="s">
        <v>29</v>
      </c>
      <c r="E5" s="2">
        <v>876</v>
      </c>
      <c r="F5" s="2" t="s">
        <v>30</v>
      </c>
      <c r="G5" s="2" t="s">
        <v>52</v>
      </c>
      <c r="H5" s="2" t="s">
        <v>53</v>
      </c>
      <c r="I5" s="2" t="s">
        <v>54</v>
      </c>
      <c r="J5" s="2" t="s">
        <v>34</v>
      </c>
      <c r="K5" s="2" t="s">
        <v>34</v>
      </c>
      <c r="L5" s="2" t="s">
        <v>55</v>
      </c>
      <c r="M5" s="2" t="s">
        <v>34</v>
      </c>
      <c r="N5" s="2" t="s">
        <v>34</v>
      </c>
      <c r="O5" s="2" t="s">
        <v>56</v>
      </c>
      <c r="P5" s="2" t="s">
        <v>36</v>
      </c>
    </row>
    <row r="6" spans="1:16" x14ac:dyDescent="0.2">
      <c r="A6" s="2" t="s">
        <v>57</v>
      </c>
      <c r="B6" s="2">
        <v>1</v>
      </c>
      <c r="C6" s="2">
        <v>5</v>
      </c>
      <c r="D6" s="2" t="s">
        <v>29</v>
      </c>
      <c r="E6" s="2">
        <v>877</v>
      </c>
      <c r="F6" s="2" t="s">
        <v>38</v>
      </c>
      <c r="G6" s="2" t="s">
        <v>58</v>
      </c>
      <c r="H6" s="2" t="s">
        <v>59</v>
      </c>
      <c r="I6" s="2" t="s">
        <v>60</v>
      </c>
      <c r="J6" s="2" t="s">
        <v>61</v>
      </c>
      <c r="K6" s="3">
        <v>46186</v>
      </c>
      <c r="L6" s="2" t="s">
        <v>62</v>
      </c>
      <c r="M6" s="2" t="s">
        <v>34</v>
      </c>
      <c r="N6" s="2" t="s">
        <v>34</v>
      </c>
      <c r="O6" s="2" t="s">
        <v>63</v>
      </c>
      <c r="P6" s="2" t="s">
        <v>36</v>
      </c>
    </row>
    <row r="7" spans="1:16" x14ac:dyDescent="0.2">
      <c r="A7" s="2" t="s">
        <v>64</v>
      </c>
      <c r="B7" s="2">
        <v>1</v>
      </c>
      <c r="C7" s="2">
        <v>6</v>
      </c>
      <c r="D7" s="2" t="s">
        <v>29</v>
      </c>
      <c r="E7" s="2">
        <v>855</v>
      </c>
      <c r="F7" s="2" t="s">
        <v>30</v>
      </c>
      <c r="G7" s="2" t="s">
        <v>65</v>
      </c>
      <c r="H7" s="2" t="s">
        <v>66</v>
      </c>
      <c r="I7" s="2" t="s">
        <v>67</v>
      </c>
      <c r="J7" s="2" t="s">
        <v>34</v>
      </c>
      <c r="K7" s="2" t="s">
        <v>34</v>
      </c>
      <c r="L7" s="2" t="s">
        <v>68</v>
      </c>
      <c r="M7" s="2" t="s">
        <v>34</v>
      </c>
      <c r="N7" s="2" t="s">
        <v>34</v>
      </c>
      <c r="O7" s="2" t="s">
        <v>69</v>
      </c>
      <c r="P7" s="2" t="s">
        <v>36</v>
      </c>
    </row>
    <row r="8" spans="1:16" x14ac:dyDescent="0.2">
      <c r="A8" s="2" t="s">
        <v>70</v>
      </c>
      <c r="B8" s="2">
        <v>1</v>
      </c>
      <c r="C8" s="2">
        <v>7</v>
      </c>
      <c r="D8" s="2" t="s">
        <v>71</v>
      </c>
      <c r="E8" s="2">
        <v>1450</v>
      </c>
      <c r="F8" s="2" t="s">
        <v>38</v>
      </c>
      <c r="G8" s="2" t="s">
        <v>72</v>
      </c>
      <c r="H8" s="2" t="s">
        <v>73</v>
      </c>
      <c r="I8" s="2" t="s">
        <v>74</v>
      </c>
      <c r="J8" s="2" t="s">
        <v>75</v>
      </c>
      <c r="K8" s="3">
        <v>46228</v>
      </c>
      <c r="L8" s="2" t="s">
        <v>76</v>
      </c>
      <c r="M8" s="2" t="s">
        <v>34</v>
      </c>
      <c r="N8" s="2" t="s">
        <v>77</v>
      </c>
      <c r="O8" s="2" t="s">
        <v>34</v>
      </c>
      <c r="P8" s="2" t="s">
        <v>78</v>
      </c>
    </row>
    <row r="9" spans="1:16" x14ac:dyDescent="0.2">
      <c r="A9" s="2" t="s">
        <v>79</v>
      </c>
      <c r="B9" s="2">
        <v>1</v>
      </c>
      <c r="C9" s="2">
        <v>8</v>
      </c>
      <c r="D9" s="2" t="s">
        <v>71</v>
      </c>
      <c r="E9" s="2">
        <v>1485</v>
      </c>
      <c r="F9" s="2" t="s">
        <v>30</v>
      </c>
      <c r="G9" s="2" t="s">
        <v>80</v>
      </c>
      <c r="H9" s="2" t="s">
        <v>81</v>
      </c>
      <c r="I9" s="2" t="s">
        <v>82</v>
      </c>
      <c r="J9" s="2" t="s">
        <v>34</v>
      </c>
      <c r="K9" s="2" t="s">
        <v>34</v>
      </c>
      <c r="L9" s="2" t="s">
        <v>83</v>
      </c>
      <c r="M9" s="2" t="s">
        <v>34</v>
      </c>
      <c r="N9" s="2" t="s">
        <v>84</v>
      </c>
      <c r="O9" s="2" t="s">
        <v>85</v>
      </c>
      <c r="P9" s="2" t="s">
        <v>36</v>
      </c>
    </row>
    <row r="10" spans="1:16" x14ac:dyDescent="0.2">
      <c r="A10" s="2" t="s">
        <v>86</v>
      </c>
      <c r="B10" s="2">
        <v>1</v>
      </c>
      <c r="C10" s="2">
        <v>9</v>
      </c>
      <c r="D10" s="2" t="s">
        <v>71</v>
      </c>
      <c r="E10" s="2">
        <v>1393</v>
      </c>
      <c r="F10" s="2" t="s">
        <v>30</v>
      </c>
      <c r="G10" s="2" t="s">
        <v>87</v>
      </c>
      <c r="H10" s="2" t="s">
        <v>88</v>
      </c>
      <c r="I10" s="2" t="s">
        <v>89</v>
      </c>
      <c r="J10" s="2" t="s">
        <v>34</v>
      </c>
      <c r="K10" s="2" t="s">
        <v>34</v>
      </c>
      <c r="L10" s="2" t="s">
        <v>90</v>
      </c>
      <c r="M10" s="2" t="s">
        <v>91</v>
      </c>
      <c r="N10" s="2" t="s">
        <v>34</v>
      </c>
      <c r="O10" s="2" t="s">
        <v>34</v>
      </c>
      <c r="P10" s="2" t="s">
        <v>78</v>
      </c>
    </row>
    <row r="11" spans="1:16" x14ac:dyDescent="0.2">
      <c r="A11" s="2" t="s">
        <v>92</v>
      </c>
      <c r="B11" s="2">
        <v>1</v>
      </c>
      <c r="C11" s="2">
        <v>10</v>
      </c>
      <c r="D11" s="2" t="s">
        <v>71</v>
      </c>
      <c r="E11" s="2">
        <v>1190</v>
      </c>
      <c r="F11" s="2" t="s">
        <v>30</v>
      </c>
      <c r="G11" s="2" t="s">
        <v>93</v>
      </c>
      <c r="H11" s="2" t="s">
        <v>94</v>
      </c>
      <c r="I11" s="2" t="s">
        <v>95</v>
      </c>
      <c r="J11" s="2" t="s">
        <v>34</v>
      </c>
      <c r="K11" s="2" t="s">
        <v>34</v>
      </c>
      <c r="L11" s="2" t="s">
        <v>96</v>
      </c>
      <c r="M11" s="2" t="s">
        <v>97</v>
      </c>
      <c r="N11" s="2" t="s">
        <v>34</v>
      </c>
      <c r="O11" s="2" t="s">
        <v>98</v>
      </c>
      <c r="P11" s="2" t="s">
        <v>36</v>
      </c>
    </row>
    <row r="12" spans="1:16" x14ac:dyDescent="0.2">
      <c r="A12" s="2" t="s">
        <v>99</v>
      </c>
      <c r="B12" s="2">
        <v>1</v>
      </c>
      <c r="C12" s="2">
        <v>11</v>
      </c>
      <c r="D12" s="2" t="s">
        <v>71</v>
      </c>
      <c r="E12" s="2">
        <v>1233</v>
      </c>
      <c r="F12" s="2" t="s">
        <v>30</v>
      </c>
      <c r="G12" s="2" t="s">
        <v>100</v>
      </c>
      <c r="H12" s="2" t="s">
        <v>101</v>
      </c>
      <c r="I12" s="2" t="s">
        <v>102</v>
      </c>
      <c r="J12" s="2" t="s">
        <v>34</v>
      </c>
      <c r="K12" s="2" t="s">
        <v>34</v>
      </c>
      <c r="L12" s="2" t="s">
        <v>103</v>
      </c>
      <c r="M12" s="2" t="s">
        <v>34</v>
      </c>
      <c r="N12" s="2" t="s">
        <v>34</v>
      </c>
      <c r="O12" s="2" t="s">
        <v>104</v>
      </c>
      <c r="P12" s="2" t="s">
        <v>36</v>
      </c>
    </row>
    <row r="13" spans="1:16" x14ac:dyDescent="0.2">
      <c r="A13" s="2" t="s">
        <v>105</v>
      </c>
      <c r="B13" s="2">
        <v>1</v>
      </c>
      <c r="C13" s="2">
        <v>12</v>
      </c>
      <c r="D13" s="2" t="s">
        <v>71</v>
      </c>
      <c r="E13" s="2">
        <v>1503</v>
      </c>
      <c r="F13" s="2" t="s">
        <v>30</v>
      </c>
      <c r="G13" s="2" t="s">
        <v>106</v>
      </c>
      <c r="H13" s="2" t="s">
        <v>107</v>
      </c>
      <c r="I13" s="2" t="s">
        <v>108</v>
      </c>
      <c r="J13" s="2" t="s">
        <v>34</v>
      </c>
      <c r="K13" s="2" t="s">
        <v>34</v>
      </c>
      <c r="L13" s="2" t="s">
        <v>109</v>
      </c>
      <c r="M13" s="2" t="s">
        <v>110</v>
      </c>
      <c r="N13" s="2" t="s">
        <v>34</v>
      </c>
      <c r="O13" s="2" t="s">
        <v>111</v>
      </c>
      <c r="P13" s="2" t="s">
        <v>78</v>
      </c>
    </row>
    <row r="14" spans="1:16" x14ac:dyDescent="0.2">
      <c r="A14" s="2" t="s">
        <v>112</v>
      </c>
      <c r="B14" s="2">
        <v>1</v>
      </c>
      <c r="C14" s="2">
        <v>13</v>
      </c>
      <c r="D14" s="2" t="s">
        <v>113</v>
      </c>
      <c r="E14" s="2">
        <v>2177</v>
      </c>
      <c r="F14" s="2" t="s">
        <v>38</v>
      </c>
      <c r="G14" s="2" t="s">
        <v>114</v>
      </c>
      <c r="H14" s="2" t="s">
        <v>115</v>
      </c>
      <c r="I14" s="2" t="s">
        <v>116</v>
      </c>
      <c r="J14" s="2" t="s">
        <v>117</v>
      </c>
      <c r="K14" s="3">
        <v>46505</v>
      </c>
      <c r="L14" s="2" t="s">
        <v>118</v>
      </c>
      <c r="M14" s="2" t="s">
        <v>119</v>
      </c>
      <c r="N14" s="2" t="s">
        <v>34</v>
      </c>
      <c r="O14" s="2" t="s">
        <v>120</v>
      </c>
      <c r="P14" s="2" t="s">
        <v>78</v>
      </c>
    </row>
    <row r="15" spans="1:16" x14ac:dyDescent="0.2">
      <c r="A15" s="2" t="s">
        <v>121</v>
      </c>
      <c r="B15" s="2">
        <v>1</v>
      </c>
      <c r="C15" s="2">
        <v>14</v>
      </c>
      <c r="D15" s="2" t="s">
        <v>113</v>
      </c>
      <c r="E15" s="2">
        <v>1777</v>
      </c>
      <c r="F15" s="2" t="s">
        <v>30</v>
      </c>
      <c r="G15" s="2" t="s">
        <v>122</v>
      </c>
      <c r="H15" s="2" t="s">
        <v>123</v>
      </c>
      <c r="I15" s="2" t="s">
        <v>124</v>
      </c>
      <c r="J15" s="2" t="s">
        <v>34</v>
      </c>
      <c r="K15" s="2" t="s">
        <v>34</v>
      </c>
      <c r="L15" s="2" t="s">
        <v>125</v>
      </c>
      <c r="M15" s="2" t="s">
        <v>126</v>
      </c>
      <c r="N15" s="2" t="s">
        <v>34</v>
      </c>
      <c r="O15" s="2" t="s">
        <v>34</v>
      </c>
      <c r="P15" s="2" t="s">
        <v>36</v>
      </c>
    </row>
    <row r="16" spans="1:16" x14ac:dyDescent="0.2">
      <c r="A16" s="2" t="s">
        <v>127</v>
      </c>
      <c r="B16" s="2">
        <v>1</v>
      </c>
      <c r="C16" s="2">
        <v>15</v>
      </c>
      <c r="D16" s="2" t="s">
        <v>113</v>
      </c>
      <c r="E16" s="2">
        <v>2181</v>
      </c>
      <c r="F16" s="2" t="s">
        <v>38</v>
      </c>
      <c r="G16" s="2" t="s">
        <v>128</v>
      </c>
      <c r="H16" s="2" t="s">
        <v>129</v>
      </c>
      <c r="I16" s="2" t="s">
        <v>130</v>
      </c>
      <c r="J16" s="2" t="s">
        <v>131</v>
      </c>
      <c r="K16" s="3">
        <v>46400</v>
      </c>
      <c r="L16" s="2" t="s">
        <v>132</v>
      </c>
      <c r="M16" s="2" t="s">
        <v>133</v>
      </c>
      <c r="N16" s="2" t="s">
        <v>134</v>
      </c>
      <c r="O16" s="2" t="s">
        <v>135</v>
      </c>
      <c r="P16" s="2" t="s">
        <v>36</v>
      </c>
    </row>
    <row r="17" spans="1:16" x14ac:dyDescent="0.2">
      <c r="A17" s="2" t="s">
        <v>136</v>
      </c>
      <c r="B17" s="2">
        <v>1</v>
      </c>
      <c r="C17" s="2">
        <v>16</v>
      </c>
      <c r="D17" s="2" t="s">
        <v>113</v>
      </c>
      <c r="E17" s="2">
        <v>2086</v>
      </c>
      <c r="F17" s="2" t="s">
        <v>38</v>
      </c>
      <c r="G17" s="2" t="s">
        <v>137</v>
      </c>
      <c r="H17" s="2" t="s">
        <v>138</v>
      </c>
      <c r="I17" s="2" t="s">
        <v>139</v>
      </c>
      <c r="J17" s="2" t="s">
        <v>140</v>
      </c>
      <c r="K17" s="3">
        <v>46294</v>
      </c>
      <c r="L17" s="2" t="s">
        <v>141</v>
      </c>
      <c r="M17" s="2" t="s">
        <v>34</v>
      </c>
      <c r="N17" s="2" t="s">
        <v>34</v>
      </c>
      <c r="O17" s="2" t="s">
        <v>142</v>
      </c>
      <c r="P17" s="2" t="s">
        <v>78</v>
      </c>
    </row>
    <row r="18" spans="1:16" x14ac:dyDescent="0.2">
      <c r="A18" s="2" t="s">
        <v>143</v>
      </c>
      <c r="B18" s="2">
        <v>1</v>
      </c>
      <c r="C18" s="2">
        <v>17</v>
      </c>
      <c r="D18" s="2" t="s">
        <v>144</v>
      </c>
      <c r="E18" s="2">
        <v>3544</v>
      </c>
      <c r="F18" s="2" t="s">
        <v>30</v>
      </c>
      <c r="G18" s="2" t="s">
        <v>145</v>
      </c>
      <c r="H18" s="2" t="s">
        <v>146</v>
      </c>
      <c r="I18" s="2" t="s">
        <v>147</v>
      </c>
      <c r="J18" s="2" t="s">
        <v>34</v>
      </c>
      <c r="K18" s="2" t="s">
        <v>34</v>
      </c>
      <c r="L18" s="2" t="s">
        <v>148</v>
      </c>
      <c r="M18" s="2" t="s">
        <v>149</v>
      </c>
      <c r="N18" s="2" t="s">
        <v>34</v>
      </c>
      <c r="O18" s="2" t="s">
        <v>34</v>
      </c>
      <c r="P18" s="2" t="s">
        <v>36</v>
      </c>
    </row>
    <row r="19" spans="1:16" x14ac:dyDescent="0.2">
      <c r="A19" s="2" t="s">
        <v>150</v>
      </c>
      <c r="B19" s="2">
        <v>2</v>
      </c>
      <c r="C19" s="2">
        <v>1</v>
      </c>
      <c r="D19" s="2" t="s">
        <v>29</v>
      </c>
      <c r="E19" s="2">
        <v>852</v>
      </c>
      <c r="F19" s="2" t="s">
        <v>30</v>
      </c>
      <c r="G19" s="2" t="s">
        <v>151</v>
      </c>
      <c r="H19" s="2" t="s">
        <v>152</v>
      </c>
      <c r="I19" s="2" t="s">
        <v>153</v>
      </c>
      <c r="J19" s="2" t="s">
        <v>34</v>
      </c>
      <c r="K19" s="2" t="s">
        <v>34</v>
      </c>
      <c r="L19" s="2" t="s">
        <v>154</v>
      </c>
      <c r="M19" s="2" t="s">
        <v>34</v>
      </c>
      <c r="N19" s="2" t="s">
        <v>34</v>
      </c>
      <c r="O19" s="2" t="s">
        <v>155</v>
      </c>
      <c r="P19" s="2" t="s">
        <v>36</v>
      </c>
    </row>
    <row r="20" spans="1:16" x14ac:dyDescent="0.2">
      <c r="A20" s="2" t="s">
        <v>156</v>
      </c>
      <c r="B20" s="2">
        <v>2</v>
      </c>
      <c r="C20" s="2">
        <v>2</v>
      </c>
      <c r="D20" s="2" t="s">
        <v>29</v>
      </c>
      <c r="E20" s="2">
        <v>914</v>
      </c>
      <c r="F20" s="2" t="s">
        <v>30</v>
      </c>
      <c r="G20" s="2" t="s">
        <v>87</v>
      </c>
      <c r="H20" s="2" t="s">
        <v>157</v>
      </c>
      <c r="I20" s="2" t="s">
        <v>158</v>
      </c>
      <c r="J20" s="2" t="s">
        <v>34</v>
      </c>
      <c r="K20" s="2" t="s">
        <v>34</v>
      </c>
      <c r="L20" s="2" t="s">
        <v>159</v>
      </c>
      <c r="M20" s="2" t="s">
        <v>34</v>
      </c>
      <c r="N20" s="2" t="s">
        <v>34</v>
      </c>
      <c r="O20" s="2" t="s">
        <v>160</v>
      </c>
      <c r="P20" s="2" t="s">
        <v>36</v>
      </c>
    </row>
    <row r="21" spans="1:16" x14ac:dyDescent="0.2">
      <c r="A21" s="2" t="s">
        <v>161</v>
      </c>
      <c r="B21" s="2">
        <v>2</v>
      </c>
      <c r="C21" s="2">
        <v>3</v>
      </c>
      <c r="D21" s="2" t="s">
        <v>29</v>
      </c>
      <c r="E21" s="2">
        <v>849</v>
      </c>
      <c r="F21" s="2" t="s">
        <v>30</v>
      </c>
      <c r="G21" s="2" t="s">
        <v>162</v>
      </c>
      <c r="H21" s="2" t="s">
        <v>163</v>
      </c>
      <c r="I21" s="2" t="s">
        <v>164</v>
      </c>
      <c r="J21" s="2" t="s">
        <v>34</v>
      </c>
      <c r="K21" s="2" t="s">
        <v>34</v>
      </c>
      <c r="L21" s="2" t="s">
        <v>165</v>
      </c>
      <c r="M21" s="2" t="s">
        <v>34</v>
      </c>
      <c r="N21" s="2" t="s">
        <v>34</v>
      </c>
      <c r="O21" s="2" t="s">
        <v>166</v>
      </c>
      <c r="P21" s="2" t="s">
        <v>36</v>
      </c>
    </row>
    <row r="22" spans="1:16" x14ac:dyDescent="0.2">
      <c r="A22" s="2" t="s">
        <v>167</v>
      </c>
      <c r="B22" s="2">
        <v>2</v>
      </c>
      <c r="C22" s="2">
        <v>4</v>
      </c>
      <c r="D22" s="2" t="s">
        <v>29</v>
      </c>
      <c r="E22" s="2">
        <v>874</v>
      </c>
      <c r="F22" s="2" t="s">
        <v>30</v>
      </c>
      <c r="G22" s="2" t="s">
        <v>168</v>
      </c>
      <c r="H22" s="2" t="s">
        <v>169</v>
      </c>
      <c r="I22" s="2" t="s">
        <v>170</v>
      </c>
      <c r="J22" s="2" t="s">
        <v>34</v>
      </c>
      <c r="K22" s="2" t="s">
        <v>34</v>
      </c>
      <c r="L22" s="2" t="s">
        <v>171</v>
      </c>
      <c r="M22" s="2" t="s">
        <v>34</v>
      </c>
      <c r="N22" s="2" t="s">
        <v>34</v>
      </c>
      <c r="O22" s="2" t="s">
        <v>172</v>
      </c>
      <c r="P22" s="2" t="s">
        <v>36</v>
      </c>
    </row>
    <row r="23" spans="1:16" x14ac:dyDescent="0.2">
      <c r="A23" s="2" t="s">
        <v>173</v>
      </c>
      <c r="B23" s="2">
        <v>2</v>
      </c>
      <c r="C23" s="2">
        <v>5</v>
      </c>
      <c r="D23" s="2" t="s">
        <v>29</v>
      </c>
      <c r="E23" s="2">
        <v>842</v>
      </c>
      <c r="F23" s="2" t="s">
        <v>30</v>
      </c>
      <c r="G23" s="2" t="s">
        <v>174</v>
      </c>
      <c r="H23" s="2" t="s">
        <v>175</v>
      </c>
      <c r="I23" s="2" t="s">
        <v>176</v>
      </c>
      <c r="J23" s="2" t="s">
        <v>34</v>
      </c>
      <c r="K23" s="2" t="s">
        <v>34</v>
      </c>
      <c r="L23" s="2" t="s">
        <v>177</v>
      </c>
      <c r="M23" s="2" t="s">
        <v>34</v>
      </c>
      <c r="N23" s="2" t="s">
        <v>34</v>
      </c>
      <c r="O23" s="2" t="s">
        <v>178</v>
      </c>
      <c r="P23" s="2" t="s">
        <v>36</v>
      </c>
    </row>
    <row r="24" spans="1:16" x14ac:dyDescent="0.2">
      <c r="A24" s="2" t="s">
        <v>179</v>
      </c>
      <c r="B24" s="2">
        <v>2</v>
      </c>
      <c r="C24" s="2">
        <v>6</v>
      </c>
      <c r="D24" s="2" t="s">
        <v>29</v>
      </c>
      <c r="E24" s="2">
        <v>864</v>
      </c>
      <c r="F24" s="2" t="s">
        <v>30</v>
      </c>
      <c r="G24" s="2" t="s">
        <v>180</v>
      </c>
      <c r="H24" s="2" t="s">
        <v>181</v>
      </c>
      <c r="I24" s="2" t="s">
        <v>182</v>
      </c>
      <c r="J24" s="2" t="s">
        <v>34</v>
      </c>
      <c r="K24" s="2" t="s">
        <v>34</v>
      </c>
      <c r="L24" s="2" t="s">
        <v>183</v>
      </c>
      <c r="M24" s="2" t="s">
        <v>34</v>
      </c>
      <c r="N24" s="2" t="s">
        <v>34</v>
      </c>
      <c r="O24" s="2" t="s">
        <v>184</v>
      </c>
      <c r="P24" s="2" t="s">
        <v>36</v>
      </c>
    </row>
    <row r="25" spans="1:16" x14ac:dyDescent="0.2">
      <c r="A25" s="2" t="s">
        <v>185</v>
      </c>
      <c r="B25" s="2">
        <v>2</v>
      </c>
      <c r="C25" s="2">
        <v>7</v>
      </c>
      <c r="D25" s="2" t="s">
        <v>71</v>
      </c>
      <c r="E25" s="2">
        <v>1473</v>
      </c>
      <c r="F25" s="2" t="s">
        <v>38</v>
      </c>
      <c r="G25" s="2" t="s">
        <v>186</v>
      </c>
      <c r="H25" s="2" t="s">
        <v>187</v>
      </c>
      <c r="I25" s="2" t="s">
        <v>188</v>
      </c>
      <c r="J25" s="2" t="s">
        <v>189</v>
      </c>
      <c r="K25" s="3">
        <v>46157</v>
      </c>
      <c r="L25" s="2" t="s">
        <v>190</v>
      </c>
      <c r="M25" s="2" t="s">
        <v>191</v>
      </c>
      <c r="N25" s="2" t="s">
        <v>34</v>
      </c>
      <c r="O25" s="2" t="s">
        <v>34</v>
      </c>
      <c r="P25" s="2" t="s">
        <v>36</v>
      </c>
    </row>
    <row r="26" spans="1:16" x14ac:dyDescent="0.2">
      <c r="A26" s="2" t="s">
        <v>192</v>
      </c>
      <c r="B26" s="2">
        <v>2</v>
      </c>
      <c r="C26" s="2">
        <v>8</v>
      </c>
      <c r="D26" s="2" t="s">
        <v>71</v>
      </c>
      <c r="E26" s="2">
        <v>1474</v>
      </c>
      <c r="F26" s="2" t="s">
        <v>38</v>
      </c>
      <c r="G26" s="2" t="s">
        <v>193</v>
      </c>
      <c r="H26" s="2" t="s">
        <v>194</v>
      </c>
      <c r="I26" s="2" t="s">
        <v>195</v>
      </c>
      <c r="J26" s="2" t="s">
        <v>196</v>
      </c>
      <c r="K26" s="3">
        <v>46441</v>
      </c>
      <c r="L26" s="2" t="s">
        <v>197</v>
      </c>
      <c r="M26" s="2" t="s">
        <v>198</v>
      </c>
      <c r="N26" s="2" t="s">
        <v>34</v>
      </c>
      <c r="O26" s="2" t="s">
        <v>34</v>
      </c>
      <c r="P26" s="2" t="s">
        <v>36</v>
      </c>
    </row>
    <row r="27" spans="1:16" x14ac:dyDescent="0.2">
      <c r="A27" s="2" t="s">
        <v>199</v>
      </c>
      <c r="B27" s="2">
        <v>2</v>
      </c>
      <c r="C27" s="2">
        <v>9</v>
      </c>
      <c r="D27" s="2" t="s">
        <v>71</v>
      </c>
      <c r="E27" s="2">
        <v>1246</v>
      </c>
      <c r="F27" s="2" t="s">
        <v>38</v>
      </c>
      <c r="G27" s="2" t="s">
        <v>200</v>
      </c>
      <c r="H27" s="2" t="s">
        <v>201</v>
      </c>
      <c r="I27" s="2" t="s">
        <v>202</v>
      </c>
      <c r="J27" s="2" t="s">
        <v>203</v>
      </c>
      <c r="K27" s="3">
        <v>46194</v>
      </c>
      <c r="L27" s="2" t="s">
        <v>204</v>
      </c>
      <c r="M27" s="2" t="s">
        <v>205</v>
      </c>
      <c r="N27" s="2" t="s">
        <v>34</v>
      </c>
      <c r="O27" s="2" t="s">
        <v>206</v>
      </c>
      <c r="P27" s="2" t="s">
        <v>36</v>
      </c>
    </row>
    <row r="28" spans="1:16" x14ac:dyDescent="0.2">
      <c r="A28" s="2" t="s">
        <v>207</v>
      </c>
      <c r="B28" s="2">
        <v>2</v>
      </c>
      <c r="C28" s="2">
        <v>10</v>
      </c>
      <c r="D28" s="2" t="s">
        <v>71</v>
      </c>
      <c r="E28" s="2">
        <v>1325</v>
      </c>
      <c r="F28" s="2" t="s">
        <v>30</v>
      </c>
      <c r="G28" s="2" t="s">
        <v>208</v>
      </c>
      <c r="H28" s="2" t="s">
        <v>209</v>
      </c>
      <c r="I28" s="2" t="s">
        <v>210</v>
      </c>
      <c r="J28" s="2" t="s">
        <v>34</v>
      </c>
      <c r="K28" s="2" t="s">
        <v>34</v>
      </c>
      <c r="L28" s="2" t="s">
        <v>211</v>
      </c>
      <c r="M28" s="2" t="s">
        <v>212</v>
      </c>
      <c r="N28" s="2" t="s">
        <v>34</v>
      </c>
      <c r="O28" s="2" t="s">
        <v>213</v>
      </c>
      <c r="P28" s="2" t="s">
        <v>36</v>
      </c>
    </row>
    <row r="29" spans="1:16" x14ac:dyDescent="0.2">
      <c r="A29" s="2" t="s">
        <v>214</v>
      </c>
      <c r="B29" s="2">
        <v>2</v>
      </c>
      <c r="C29" s="2">
        <v>11</v>
      </c>
      <c r="D29" s="2" t="s">
        <v>71</v>
      </c>
      <c r="E29" s="2">
        <v>1483</v>
      </c>
      <c r="F29" s="2" t="s">
        <v>30</v>
      </c>
      <c r="G29" s="2" t="s">
        <v>215</v>
      </c>
      <c r="H29" s="2" t="s">
        <v>216</v>
      </c>
      <c r="I29" s="2" t="s">
        <v>217</v>
      </c>
      <c r="J29" s="2" t="s">
        <v>34</v>
      </c>
      <c r="K29" s="2" t="s">
        <v>34</v>
      </c>
      <c r="L29" s="2" t="s">
        <v>218</v>
      </c>
      <c r="M29" s="2" t="s">
        <v>34</v>
      </c>
      <c r="N29" s="2" t="s">
        <v>34</v>
      </c>
      <c r="O29" s="2" t="s">
        <v>34</v>
      </c>
      <c r="P29" s="2" t="s">
        <v>78</v>
      </c>
    </row>
    <row r="30" spans="1:16" x14ac:dyDescent="0.2">
      <c r="A30" s="2" t="s">
        <v>219</v>
      </c>
      <c r="B30" s="2">
        <v>2</v>
      </c>
      <c r="C30" s="2">
        <v>12</v>
      </c>
      <c r="D30" s="2" t="s">
        <v>71</v>
      </c>
      <c r="E30" s="2">
        <v>1221</v>
      </c>
      <c r="F30" s="2" t="s">
        <v>38</v>
      </c>
      <c r="G30" s="2" t="s">
        <v>220</v>
      </c>
      <c r="H30" s="2" t="s">
        <v>221</v>
      </c>
      <c r="I30" s="2" t="s">
        <v>222</v>
      </c>
      <c r="J30" s="2" t="s">
        <v>223</v>
      </c>
      <c r="K30" s="3">
        <v>46408</v>
      </c>
      <c r="L30" s="2" t="s">
        <v>224</v>
      </c>
      <c r="M30" s="2" t="s">
        <v>34</v>
      </c>
      <c r="N30" s="2" t="s">
        <v>34</v>
      </c>
      <c r="O30" s="2" t="s">
        <v>225</v>
      </c>
      <c r="P30" s="2" t="s">
        <v>36</v>
      </c>
    </row>
    <row r="31" spans="1:16" x14ac:dyDescent="0.2">
      <c r="A31" s="2" t="s">
        <v>226</v>
      </c>
      <c r="B31" s="2">
        <v>2</v>
      </c>
      <c r="C31" s="2">
        <v>13</v>
      </c>
      <c r="D31" s="2" t="s">
        <v>113</v>
      </c>
      <c r="E31" s="2">
        <v>1900</v>
      </c>
      <c r="F31" s="2" t="s">
        <v>30</v>
      </c>
      <c r="G31" s="2" t="s">
        <v>227</v>
      </c>
      <c r="H31" s="2" t="s">
        <v>228</v>
      </c>
      <c r="I31" s="2" t="s">
        <v>229</v>
      </c>
      <c r="J31" s="2" t="s">
        <v>34</v>
      </c>
      <c r="K31" s="2" t="s">
        <v>34</v>
      </c>
      <c r="L31" s="2" t="s">
        <v>230</v>
      </c>
      <c r="M31" s="2" t="s">
        <v>231</v>
      </c>
      <c r="N31" s="2" t="s">
        <v>34</v>
      </c>
      <c r="O31" s="2" t="s">
        <v>34</v>
      </c>
      <c r="P31" s="2" t="s">
        <v>36</v>
      </c>
    </row>
    <row r="32" spans="1:16" x14ac:dyDescent="0.2">
      <c r="A32" s="2" t="s">
        <v>232</v>
      </c>
      <c r="B32" s="2">
        <v>2</v>
      </c>
      <c r="C32" s="2">
        <v>14</v>
      </c>
      <c r="D32" s="2" t="s">
        <v>113</v>
      </c>
      <c r="E32" s="2">
        <v>1970</v>
      </c>
      <c r="F32" s="2" t="s">
        <v>38</v>
      </c>
      <c r="G32" s="2" t="s">
        <v>233</v>
      </c>
      <c r="H32" s="2" t="s">
        <v>234</v>
      </c>
      <c r="I32" s="2" t="s">
        <v>235</v>
      </c>
      <c r="J32" s="2" t="s">
        <v>236</v>
      </c>
      <c r="K32" s="3">
        <v>46496</v>
      </c>
      <c r="L32" s="2" t="s">
        <v>237</v>
      </c>
      <c r="M32" s="2" t="s">
        <v>238</v>
      </c>
      <c r="N32" s="2" t="s">
        <v>34</v>
      </c>
      <c r="O32" s="2" t="s">
        <v>239</v>
      </c>
      <c r="P32" s="2" t="s">
        <v>36</v>
      </c>
    </row>
    <row r="33" spans="1:16" x14ac:dyDescent="0.2">
      <c r="A33" s="2" t="s">
        <v>240</v>
      </c>
      <c r="B33" s="2">
        <v>2</v>
      </c>
      <c r="C33" s="2">
        <v>15</v>
      </c>
      <c r="D33" s="2" t="s">
        <v>113</v>
      </c>
      <c r="E33" s="2">
        <v>1794</v>
      </c>
      <c r="F33" s="2" t="s">
        <v>30</v>
      </c>
      <c r="G33" s="2" t="s">
        <v>241</v>
      </c>
      <c r="H33" s="2" t="s">
        <v>242</v>
      </c>
      <c r="I33" s="2" t="s">
        <v>243</v>
      </c>
      <c r="J33" s="2" t="s">
        <v>34</v>
      </c>
      <c r="K33" s="2" t="s">
        <v>34</v>
      </c>
      <c r="L33" s="2" t="s">
        <v>244</v>
      </c>
      <c r="M33" s="2" t="s">
        <v>34</v>
      </c>
      <c r="N33" s="2" t="s">
        <v>34</v>
      </c>
      <c r="O33" s="2" t="s">
        <v>245</v>
      </c>
      <c r="P33" s="2" t="s">
        <v>36</v>
      </c>
    </row>
    <row r="34" spans="1:16" x14ac:dyDescent="0.2">
      <c r="A34" s="2" t="s">
        <v>246</v>
      </c>
      <c r="B34" s="2">
        <v>2</v>
      </c>
      <c r="C34" s="2">
        <v>16</v>
      </c>
      <c r="D34" s="2" t="s">
        <v>113</v>
      </c>
      <c r="E34" s="2">
        <v>1970</v>
      </c>
      <c r="F34" s="2" t="s">
        <v>38</v>
      </c>
      <c r="G34" s="2" t="s">
        <v>247</v>
      </c>
      <c r="H34" s="2" t="s">
        <v>248</v>
      </c>
      <c r="I34" s="2" t="s">
        <v>249</v>
      </c>
      <c r="J34" s="2" t="s">
        <v>250</v>
      </c>
      <c r="K34" s="3">
        <v>46260</v>
      </c>
      <c r="L34" s="2" t="s">
        <v>251</v>
      </c>
      <c r="M34" s="2" t="s">
        <v>252</v>
      </c>
      <c r="N34" s="2" t="s">
        <v>34</v>
      </c>
      <c r="O34" s="2" t="s">
        <v>34</v>
      </c>
      <c r="P34" s="2" t="s">
        <v>78</v>
      </c>
    </row>
    <row r="35" spans="1:16" x14ac:dyDescent="0.2">
      <c r="A35" s="2" t="s">
        <v>253</v>
      </c>
      <c r="B35" s="2">
        <v>2</v>
      </c>
      <c r="C35" s="2">
        <v>17</v>
      </c>
      <c r="D35" s="2" t="s">
        <v>144</v>
      </c>
      <c r="E35" s="2">
        <v>2899</v>
      </c>
      <c r="F35" s="2" t="s">
        <v>30</v>
      </c>
      <c r="G35" s="2" t="s">
        <v>254</v>
      </c>
      <c r="H35" s="2" t="s">
        <v>255</v>
      </c>
      <c r="I35" s="2" t="s">
        <v>256</v>
      </c>
      <c r="J35" s="2" t="s">
        <v>34</v>
      </c>
      <c r="K35" s="2" t="s">
        <v>34</v>
      </c>
      <c r="L35" s="2" t="s">
        <v>257</v>
      </c>
      <c r="M35" s="2" t="s">
        <v>258</v>
      </c>
      <c r="N35" s="2" t="s">
        <v>34</v>
      </c>
      <c r="O35" s="2" t="s">
        <v>34</v>
      </c>
      <c r="P35" s="2" t="s">
        <v>78</v>
      </c>
    </row>
    <row r="36" spans="1:16" x14ac:dyDescent="0.2">
      <c r="A36" s="2" t="s">
        <v>259</v>
      </c>
      <c r="B36" s="2">
        <v>3</v>
      </c>
      <c r="C36" s="2">
        <v>1</v>
      </c>
      <c r="D36" s="2" t="s">
        <v>29</v>
      </c>
      <c r="E36" s="2">
        <v>930</v>
      </c>
      <c r="F36" s="2" t="s">
        <v>38</v>
      </c>
      <c r="G36" s="2" t="s">
        <v>260</v>
      </c>
      <c r="H36" s="2" t="s">
        <v>261</v>
      </c>
      <c r="I36" s="2" t="s">
        <v>262</v>
      </c>
      <c r="J36" s="2" t="s">
        <v>263</v>
      </c>
      <c r="K36" s="3">
        <v>46412</v>
      </c>
      <c r="L36" s="2" t="s">
        <v>264</v>
      </c>
      <c r="M36" s="2" t="s">
        <v>34</v>
      </c>
      <c r="N36" s="2" t="s">
        <v>34</v>
      </c>
      <c r="O36" s="2" t="s">
        <v>265</v>
      </c>
      <c r="P36" s="2" t="s">
        <v>36</v>
      </c>
    </row>
    <row r="37" spans="1:16" x14ac:dyDescent="0.2">
      <c r="A37" s="2" t="s">
        <v>266</v>
      </c>
      <c r="B37" s="2">
        <v>3</v>
      </c>
      <c r="C37" s="2">
        <v>2</v>
      </c>
      <c r="D37" s="2" t="s">
        <v>29</v>
      </c>
      <c r="E37" s="2">
        <v>949</v>
      </c>
      <c r="F37" s="2" t="s">
        <v>38</v>
      </c>
      <c r="G37" s="2" t="s">
        <v>267</v>
      </c>
      <c r="H37" s="2" t="s">
        <v>268</v>
      </c>
      <c r="I37" s="2" t="s">
        <v>269</v>
      </c>
      <c r="J37" s="2" t="s">
        <v>270</v>
      </c>
      <c r="K37" s="3">
        <v>46285</v>
      </c>
      <c r="L37" s="2" t="s">
        <v>271</v>
      </c>
      <c r="M37" s="2" t="s">
        <v>34</v>
      </c>
      <c r="N37" s="2" t="s">
        <v>34</v>
      </c>
      <c r="O37" s="2" t="s">
        <v>34</v>
      </c>
      <c r="P37" s="2" t="s">
        <v>36</v>
      </c>
    </row>
    <row r="38" spans="1:16" x14ac:dyDescent="0.2">
      <c r="A38" s="2" t="s">
        <v>272</v>
      </c>
      <c r="B38" s="2">
        <v>3</v>
      </c>
      <c r="C38" s="2">
        <v>3</v>
      </c>
      <c r="D38" s="2" t="s">
        <v>29</v>
      </c>
      <c r="E38" s="2">
        <v>974</v>
      </c>
      <c r="F38" s="2" t="s">
        <v>30</v>
      </c>
      <c r="G38" s="2" t="s">
        <v>273</v>
      </c>
      <c r="H38" s="2" t="s">
        <v>274</v>
      </c>
      <c r="I38" s="2" t="s">
        <v>275</v>
      </c>
      <c r="J38" s="2" t="s">
        <v>34</v>
      </c>
      <c r="K38" s="2" t="s">
        <v>34</v>
      </c>
      <c r="L38" s="2" t="s">
        <v>276</v>
      </c>
      <c r="M38" s="2" t="s">
        <v>34</v>
      </c>
      <c r="N38" s="2" t="s">
        <v>34</v>
      </c>
      <c r="O38" s="2" t="s">
        <v>34</v>
      </c>
      <c r="P38" s="2" t="s">
        <v>36</v>
      </c>
    </row>
    <row r="39" spans="1:16" x14ac:dyDescent="0.2">
      <c r="A39" s="2" t="s">
        <v>277</v>
      </c>
      <c r="B39" s="2">
        <v>3</v>
      </c>
      <c r="C39" s="2">
        <v>4</v>
      </c>
      <c r="D39" s="2" t="s">
        <v>29</v>
      </c>
      <c r="E39" s="2">
        <v>858</v>
      </c>
      <c r="F39" s="2" t="s">
        <v>30</v>
      </c>
      <c r="G39" s="2" t="s">
        <v>278</v>
      </c>
      <c r="H39" s="2" t="s">
        <v>279</v>
      </c>
      <c r="I39" s="2" t="s">
        <v>280</v>
      </c>
      <c r="J39" s="2" t="s">
        <v>34</v>
      </c>
      <c r="K39" s="2" t="s">
        <v>34</v>
      </c>
      <c r="L39" s="2" t="s">
        <v>281</v>
      </c>
      <c r="M39" s="2" t="s">
        <v>34</v>
      </c>
      <c r="N39" s="2" t="s">
        <v>34</v>
      </c>
      <c r="O39" s="2" t="s">
        <v>282</v>
      </c>
      <c r="P39" s="2" t="s">
        <v>36</v>
      </c>
    </row>
    <row r="40" spans="1:16" x14ac:dyDescent="0.2">
      <c r="A40" s="2" t="s">
        <v>283</v>
      </c>
      <c r="B40" s="2">
        <v>3</v>
      </c>
      <c r="C40" s="2">
        <v>5</v>
      </c>
      <c r="D40" s="2" t="s">
        <v>29</v>
      </c>
      <c r="E40" s="2">
        <v>896</v>
      </c>
      <c r="F40" s="2" t="s">
        <v>38</v>
      </c>
      <c r="G40" s="2" t="s">
        <v>114</v>
      </c>
      <c r="H40" s="2" t="s">
        <v>284</v>
      </c>
      <c r="I40" s="2" t="s">
        <v>285</v>
      </c>
      <c r="J40" s="2" t="s">
        <v>286</v>
      </c>
      <c r="K40" s="3">
        <v>46260</v>
      </c>
      <c r="L40" s="2" t="s">
        <v>287</v>
      </c>
      <c r="M40" s="2" t="s">
        <v>34</v>
      </c>
      <c r="N40" s="2" t="s">
        <v>34</v>
      </c>
      <c r="O40" s="2" t="s">
        <v>34</v>
      </c>
      <c r="P40" s="2" t="s">
        <v>36</v>
      </c>
    </row>
    <row r="41" spans="1:16" x14ac:dyDescent="0.2">
      <c r="A41" s="2" t="s">
        <v>288</v>
      </c>
      <c r="B41" s="2">
        <v>3</v>
      </c>
      <c r="C41" s="2">
        <v>6</v>
      </c>
      <c r="D41" s="2" t="s">
        <v>29</v>
      </c>
      <c r="E41" s="2">
        <v>926</v>
      </c>
      <c r="F41" s="2" t="s">
        <v>30</v>
      </c>
      <c r="G41" s="2" t="s">
        <v>289</v>
      </c>
      <c r="H41" s="2" t="s">
        <v>290</v>
      </c>
      <c r="I41" s="2" t="s">
        <v>291</v>
      </c>
      <c r="J41" s="2" t="s">
        <v>34</v>
      </c>
      <c r="K41" s="2" t="s">
        <v>34</v>
      </c>
      <c r="L41" s="2" t="s">
        <v>292</v>
      </c>
      <c r="M41" s="2" t="s">
        <v>34</v>
      </c>
      <c r="N41" s="2" t="s">
        <v>34</v>
      </c>
      <c r="O41" s="2" t="s">
        <v>34</v>
      </c>
      <c r="P41" s="2" t="s">
        <v>36</v>
      </c>
    </row>
    <row r="42" spans="1:16" x14ac:dyDescent="0.2">
      <c r="A42" s="2" t="s">
        <v>293</v>
      </c>
      <c r="B42" s="2">
        <v>3</v>
      </c>
      <c r="C42" s="2">
        <v>7</v>
      </c>
      <c r="D42" s="2" t="s">
        <v>71</v>
      </c>
      <c r="E42" s="2">
        <v>1296</v>
      </c>
      <c r="F42" s="2" t="s">
        <v>30</v>
      </c>
      <c r="G42" s="2" t="s">
        <v>294</v>
      </c>
      <c r="H42" s="2" t="s">
        <v>295</v>
      </c>
      <c r="I42" s="2" t="s">
        <v>296</v>
      </c>
      <c r="J42" s="2" t="s">
        <v>34</v>
      </c>
      <c r="K42" s="2" t="s">
        <v>34</v>
      </c>
      <c r="L42" s="2" t="s">
        <v>297</v>
      </c>
      <c r="M42" s="2" t="s">
        <v>34</v>
      </c>
      <c r="N42" s="2" t="s">
        <v>34</v>
      </c>
      <c r="O42" s="2" t="s">
        <v>34</v>
      </c>
      <c r="P42" s="2" t="s">
        <v>78</v>
      </c>
    </row>
    <row r="43" spans="1:16" x14ac:dyDescent="0.2">
      <c r="A43" s="2" t="s">
        <v>298</v>
      </c>
      <c r="B43" s="2">
        <v>3</v>
      </c>
      <c r="C43" s="2">
        <v>8</v>
      </c>
      <c r="D43" s="2" t="s">
        <v>71</v>
      </c>
      <c r="E43" s="2">
        <v>1196</v>
      </c>
      <c r="F43" s="2" t="s">
        <v>30</v>
      </c>
      <c r="G43" s="2" t="s">
        <v>299</v>
      </c>
      <c r="H43" s="2" t="s">
        <v>300</v>
      </c>
      <c r="I43" s="2" t="s">
        <v>301</v>
      </c>
      <c r="J43" s="2" t="s">
        <v>34</v>
      </c>
      <c r="K43" s="2" t="s">
        <v>34</v>
      </c>
      <c r="L43" s="2" t="s">
        <v>302</v>
      </c>
      <c r="M43" s="2" t="s">
        <v>303</v>
      </c>
      <c r="N43" s="2" t="s">
        <v>34</v>
      </c>
      <c r="O43" s="2" t="s">
        <v>34</v>
      </c>
      <c r="P43" s="2" t="s">
        <v>36</v>
      </c>
    </row>
    <row r="44" spans="1:16" x14ac:dyDescent="0.2">
      <c r="A44" s="2" t="s">
        <v>304</v>
      </c>
      <c r="B44" s="2">
        <v>3</v>
      </c>
      <c r="C44" s="2">
        <v>9</v>
      </c>
      <c r="D44" s="2" t="s">
        <v>71</v>
      </c>
      <c r="E44" s="2">
        <v>1211</v>
      </c>
      <c r="F44" s="2" t="s">
        <v>30</v>
      </c>
      <c r="G44" s="2" t="s">
        <v>305</v>
      </c>
      <c r="H44" s="2" t="s">
        <v>306</v>
      </c>
      <c r="I44" s="2" t="s">
        <v>307</v>
      </c>
      <c r="J44" s="2" t="s">
        <v>34</v>
      </c>
      <c r="K44" s="2" t="s">
        <v>34</v>
      </c>
      <c r="L44" s="2" t="s">
        <v>308</v>
      </c>
      <c r="M44" s="2" t="s">
        <v>309</v>
      </c>
      <c r="N44" s="2" t="s">
        <v>34</v>
      </c>
      <c r="O44" s="2" t="s">
        <v>310</v>
      </c>
      <c r="P44" s="2" t="s">
        <v>36</v>
      </c>
    </row>
    <row r="45" spans="1:16" x14ac:dyDescent="0.2">
      <c r="A45" s="2" t="s">
        <v>311</v>
      </c>
      <c r="B45" s="2">
        <v>3</v>
      </c>
      <c r="C45" s="2">
        <v>10</v>
      </c>
      <c r="D45" s="2" t="s">
        <v>71</v>
      </c>
      <c r="E45" s="2">
        <v>1355</v>
      </c>
      <c r="F45" s="2" t="s">
        <v>38</v>
      </c>
      <c r="G45" s="2" t="s">
        <v>145</v>
      </c>
      <c r="H45" s="2" t="s">
        <v>312</v>
      </c>
      <c r="I45" s="2" t="s">
        <v>313</v>
      </c>
      <c r="J45" s="2" t="s">
        <v>314</v>
      </c>
      <c r="K45" s="3">
        <v>46463</v>
      </c>
      <c r="L45" s="2" t="s">
        <v>315</v>
      </c>
      <c r="M45" s="2" t="s">
        <v>34</v>
      </c>
      <c r="N45" s="2" t="s">
        <v>34</v>
      </c>
      <c r="O45" s="2" t="s">
        <v>316</v>
      </c>
      <c r="P45" s="2" t="s">
        <v>36</v>
      </c>
    </row>
    <row r="46" spans="1:16" x14ac:dyDescent="0.2">
      <c r="A46" s="2" t="s">
        <v>317</v>
      </c>
      <c r="B46" s="2">
        <v>3</v>
      </c>
      <c r="C46" s="2">
        <v>11</v>
      </c>
      <c r="D46" s="2" t="s">
        <v>71</v>
      </c>
      <c r="E46" s="2">
        <v>1332</v>
      </c>
      <c r="F46" s="2" t="s">
        <v>38</v>
      </c>
      <c r="G46" s="2" t="s">
        <v>318</v>
      </c>
      <c r="H46" s="2" t="s">
        <v>319</v>
      </c>
      <c r="I46" s="2" t="s">
        <v>320</v>
      </c>
      <c r="J46" s="2" t="s">
        <v>321</v>
      </c>
      <c r="K46" s="3">
        <v>46373</v>
      </c>
      <c r="L46" s="2" t="s">
        <v>322</v>
      </c>
      <c r="M46" s="2" t="s">
        <v>323</v>
      </c>
      <c r="N46" s="2" t="s">
        <v>34</v>
      </c>
      <c r="O46" s="2" t="s">
        <v>34</v>
      </c>
      <c r="P46" s="2" t="s">
        <v>78</v>
      </c>
    </row>
    <row r="47" spans="1:16" x14ac:dyDescent="0.2">
      <c r="A47" s="2" t="s">
        <v>324</v>
      </c>
      <c r="B47" s="2">
        <v>3</v>
      </c>
      <c r="C47" s="2">
        <v>12</v>
      </c>
      <c r="D47" s="2" t="s">
        <v>71</v>
      </c>
      <c r="E47" s="2">
        <v>1356</v>
      </c>
      <c r="F47" s="2" t="s">
        <v>30</v>
      </c>
      <c r="G47" s="2" t="s">
        <v>325</v>
      </c>
      <c r="H47" s="2" t="s">
        <v>326</v>
      </c>
      <c r="I47" s="2" t="s">
        <v>327</v>
      </c>
      <c r="J47" s="2" t="s">
        <v>34</v>
      </c>
      <c r="K47" s="2" t="s">
        <v>34</v>
      </c>
      <c r="L47" s="2" t="s">
        <v>328</v>
      </c>
      <c r="M47" s="2" t="s">
        <v>329</v>
      </c>
      <c r="N47" s="2" t="s">
        <v>34</v>
      </c>
      <c r="O47" s="2" t="s">
        <v>34</v>
      </c>
      <c r="P47" s="2" t="s">
        <v>36</v>
      </c>
    </row>
    <row r="48" spans="1:16" x14ac:dyDescent="0.2">
      <c r="A48" s="2" t="s">
        <v>330</v>
      </c>
      <c r="B48" s="2">
        <v>3</v>
      </c>
      <c r="C48" s="2">
        <v>13</v>
      </c>
      <c r="D48" s="2" t="s">
        <v>113</v>
      </c>
      <c r="E48" s="2">
        <v>1927</v>
      </c>
      <c r="F48" s="2" t="s">
        <v>38</v>
      </c>
      <c r="G48" s="2" t="s">
        <v>331</v>
      </c>
      <c r="H48" s="2" t="s">
        <v>332</v>
      </c>
      <c r="I48" s="2" t="s">
        <v>333</v>
      </c>
      <c r="J48" s="2" t="s">
        <v>334</v>
      </c>
      <c r="K48" s="3">
        <v>46402</v>
      </c>
      <c r="L48" s="2" t="s">
        <v>335</v>
      </c>
      <c r="M48" s="2" t="s">
        <v>336</v>
      </c>
      <c r="N48" s="2" t="s">
        <v>34</v>
      </c>
      <c r="O48" s="2" t="s">
        <v>34</v>
      </c>
      <c r="P48" s="2" t="s">
        <v>36</v>
      </c>
    </row>
    <row r="49" spans="1:16" x14ac:dyDescent="0.2">
      <c r="A49" s="2" t="s">
        <v>337</v>
      </c>
      <c r="B49" s="2">
        <v>3</v>
      </c>
      <c r="C49" s="2">
        <v>14</v>
      </c>
      <c r="D49" s="2" t="s">
        <v>113</v>
      </c>
      <c r="E49" s="2">
        <v>2073</v>
      </c>
      <c r="F49" s="2" t="s">
        <v>38</v>
      </c>
      <c r="G49" s="2" t="s">
        <v>338</v>
      </c>
      <c r="H49" s="2" t="s">
        <v>339</v>
      </c>
      <c r="I49" s="2" t="s">
        <v>340</v>
      </c>
      <c r="J49" s="2" t="s">
        <v>341</v>
      </c>
      <c r="K49" s="3">
        <v>46142</v>
      </c>
      <c r="L49" s="2" t="s">
        <v>342</v>
      </c>
      <c r="M49" s="2" t="s">
        <v>34</v>
      </c>
      <c r="N49" s="2" t="s">
        <v>34</v>
      </c>
      <c r="O49" s="2" t="s">
        <v>343</v>
      </c>
      <c r="P49" s="2" t="s">
        <v>78</v>
      </c>
    </row>
    <row r="50" spans="1:16" x14ac:dyDescent="0.2">
      <c r="A50" s="2" t="s">
        <v>344</v>
      </c>
      <c r="B50" s="2">
        <v>3</v>
      </c>
      <c r="C50" s="2">
        <v>15</v>
      </c>
      <c r="D50" s="2" t="s">
        <v>113</v>
      </c>
      <c r="E50" s="2">
        <v>1854</v>
      </c>
      <c r="F50" s="2" t="s">
        <v>30</v>
      </c>
      <c r="G50" s="2" t="s">
        <v>345</v>
      </c>
      <c r="H50" s="2" t="s">
        <v>346</v>
      </c>
      <c r="I50" s="2" t="s">
        <v>347</v>
      </c>
      <c r="J50" s="2" t="s">
        <v>34</v>
      </c>
      <c r="K50" s="2" t="s">
        <v>34</v>
      </c>
      <c r="L50" s="2" t="s">
        <v>348</v>
      </c>
      <c r="M50" s="2" t="s">
        <v>34</v>
      </c>
      <c r="N50" s="2" t="s">
        <v>34</v>
      </c>
      <c r="O50" s="2" t="s">
        <v>349</v>
      </c>
      <c r="P50" s="2" t="s">
        <v>36</v>
      </c>
    </row>
    <row r="51" spans="1:16" x14ac:dyDescent="0.2">
      <c r="A51" s="2" t="s">
        <v>350</v>
      </c>
      <c r="B51" s="2">
        <v>3</v>
      </c>
      <c r="C51" s="2">
        <v>16</v>
      </c>
      <c r="D51" s="2" t="s">
        <v>113</v>
      </c>
      <c r="E51" s="2">
        <v>2077</v>
      </c>
      <c r="F51" s="2" t="s">
        <v>38</v>
      </c>
      <c r="G51" s="2" t="s">
        <v>200</v>
      </c>
      <c r="H51" s="2" t="s">
        <v>351</v>
      </c>
      <c r="I51" s="2" t="s">
        <v>352</v>
      </c>
      <c r="J51" s="2" t="s">
        <v>353</v>
      </c>
      <c r="K51" s="3">
        <v>46340</v>
      </c>
      <c r="L51" s="2" t="s">
        <v>354</v>
      </c>
      <c r="M51" s="2" t="s">
        <v>34</v>
      </c>
      <c r="N51" s="2" t="s">
        <v>34</v>
      </c>
      <c r="O51" s="2" t="s">
        <v>34</v>
      </c>
      <c r="P51" s="2" t="s">
        <v>78</v>
      </c>
    </row>
    <row r="52" spans="1:16" x14ac:dyDescent="0.2">
      <c r="A52" s="2" t="s">
        <v>355</v>
      </c>
      <c r="B52" s="2">
        <v>3</v>
      </c>
      <c r="C52" s="2">
        <v>17</v>
      </c>
      <c r="D52" s="2" t="s">
        <v>144</v>
      </c>
      <c r="E52" s="2">
        <v>3486</v>
      </c>
      <c r="F52" s="2" t="s">
        <v>30</v>
      </c>
      <c r="G52" s="2" t="s">
        <v>356</v>
      </c>
      <c r="H52" s="2" t="s">
        <v>357</v>
      </c>
      <c r="I52" s="2" t="s">
        <v>358</v>
      </c>
      <c r="J52" s="2" t="s">
        <v>34</v>
      </c>
      <c r="K52" s="2" t="s">
        <v>34</v>
      </c>
      <c r="L52" s="2" t="s">
        <v>359</v>
      </c>
      <c r="M52" s="2" t="s">
        <v>360</v>
      </c>
      <c r="N52" s="2" t="s">
        <v>34</v>
      </c>
      <c r="O52" s="2" t="s">
        <v>361</v>
      </c>
      <c r="P52" s="2" t="s">
        <v>36</v>
      </c>
    </row>
    <row r="53" spans="1:16" x14ac:dyDescent="0.2">
      <c r="A53" s="2" t="s">
        <v>362</v>
      </c>
      <c r="B53" s="2">
        <v>4</v>
      </c>
      <c r="C53" s="2">
        <v>1</v>
      </c>
      <c r="D53" s="2" t="s">
        <v>29</v>
      </c>
      <c r="E53" s="2">
        <v>848</v>
      </c>
      <c r="F53" s="2" t="s">
        <v>30</v>
      </c>
      <c r="G53" s="2" t="s">
        <v>363</v>
      </c>
      <c r="H53" s="2" t="s">
        <v>364</v>
      </c>
      <c r="I53" s="2" t="s">
        <v>365</v>
      </c>
      <c r="J53" s="2" t="s">
        <v>34</v>
      </c>
      <c r="K53" s="2" t="s">
        <v>34</v>
      </c>
      <c r="L53" s="2" t="s">
        <v>366</v>
      </c>
      <c r="M53" s="2" t="s">
        <v>34</v>
      </c>
      <c r="N53" s="2" t="s">
        <v>34</v>
      </c>
      <c r="O53" s="2" t="s">
        <v>367</v>
      </c>
      <c r="P53" s="2" t="s">
        <v>36</v>
      </c>
    </row>
    <row r="54" spans="1:16" x14ac:dyDescent="0.2">
      <c r="A54" s="2" t="s">
        <v>368</v>
      </c>
      <c r="B54" s="2">
        <v>4</v>
      </c>
      <c r="C54" s="2">
        <v>2</v>
      </c>
      <c r="D54" s="2" t="s">
        <v>29</v>
      </c>
      <c r="E54" s="2">
        <v>869</v>
      </c>
      <c r="F54" s="2" t="s">
        <v>30</v>
      </c>
      <c r="G54" s="2" t="s">
        <v>369</v>
      </c>
      <c r="H54" s="2" t="s">
        <v>370</v>
      </c>
      <c r="I54" s="2" t="s">
        <v>371</v>
      </c>
      <c r="J54" s="2" t="s">
        <v>34</v>
      </c>
      <c r="K54" s="2" t="s">
        <v>34</v>
      </c>
      <c r="L54" s="2" t="s">
        <v>372</v>
      </c>
      <c r="M54" s="2" t="s">
        <v>34</v>
      </c>
      <c r="N54" s="2" t="s">
        <v>34</v>
      </c>
      <c r="O54" s="2" t="s">
        <v>34</v>
      </c>
      <c r="P54" s="2" t="s">
        <v>36</v>
      </c>
    </row>
    <row r="55" spans="1:16" x14ac:dyDescent="0.2">
      <c r="A55" s="2" t="s">
        <v>373</v>
      </c>
      <c r="B55" s="2">
        <v>4</v>
      </c>
      <c r="C55" s="2">
        <v>3</v>
      </c>
      <c r="D55" s="2" t="s">
        <v>29</v>
      </c>
      <c r="E55" s="2">
        <v>902</v>
      </c>
      <c r="F55" s="2" t="s">
        <v>30</v>
      </c>
      <c r="G55" s="2" t="s">
        <v>374</v>
      </c>
      <c r="H55" s="2" t="s">
        <v>375</v>
      </c>
      <c r="I55" s="2" t="s">
        <v>376</v>
      </c>
      <c r="J55" s="2" t="s">
        <v>34</v>
      </c>
      <c r="K55" s="2" t="s">
        <v>34</v>
      </c>
      <c r="L55" s="2" t="s">
        <v>377</v>
      </c>
      <c r="M55" s="2" t="s">
        <v>34</v>
      </c>
      <c r="N55" s="2" t="s">
        <v>34</v>
      </c>
      <c r="O55" s="2" t="s">
        <v>378</v>
      </c>
      <c r="P55" s="2" t="s">
        <v>36</v>
      </c>
    </row>
    <row r="56" spans="1:16" x14ac:dyDescent="0.2">
      <c r="A56" s="2" t="s">
        <v>379</v>
      </c>
      <c r="B56" s="2">
        <v>4</v>
      </c>
      <c r="C56" s="2">
        <v>4</v>
      </c>
      <c r="D56" s="2" t="s">
        <v>29</v>
      </c>
      <c r="E56" s="2">
        <v>966</v>
      </c>
      <c r="F56" s="2" t="s">
        <v>30</v>
      </c>
      <c r="G56" s="2" t="s">
        <v>380</v>
      </c>
      <c r="H56" s="2" t="s">
        <v>381</v>
      </c>
      <c r="I56" s="2" t="s">
        <v>382</v>
      </c>
      <c r="J56" s="2" t="s">
        <v>34</v>
      </c>
      <c r="K56" s="2" t="s">
        <v>34</v>
      </c>
      <c r="L56" s="2" t="s">
        <v>383</v>
      </c>
      <c r="M56" s="2" t="s">
        <v>34</v>
      </c>
      <c r="N56" s="2" t="s">
        <v>34</v>
      </c>
      <c r="O56" s="2" t="s">
        <v>34</v>
      </c>
      <c r="P56" s="2" t="s">
        <v>36</v>
      </c>
    </row>
    <row r="57" spans="1:16" x14ac:dyDescent="0.2">
      <c r="A57" s="2" t="s">
        <v>384</v>
      </c>
      <c r="B57" s="2">
        <v>4</v>
      </c>
      <c r="C57" s="2">
        <v>5</v>
      </c>
      <c r="D57" s="2" t="s">
        <v>29</v>
      </c>
      <c r="E57" s="2">
        <v>948</v>
      </c>
      <c r="F57" s="2" t="s">
        <v>38</v>
      </c>
      <c r="G57" s="2" t="s">
        <v>385</v>
      </c>
      <c r="H57" s="2" t="s">
        <v>386</v>
      </c>
      <c r="I57" s="2" t="s">
        <v>387</v>
      </c>
      <c r="J57" s="2" t="s">
        <v>388</v>
      </c>
      <c r="K57" s="3">
        <v>46219</v>
      </c>
      <c r="L57" s="2" t="s">
        <v>389</v>
      </c>
      <c r="M57" s="2" t="s">
        <v>34</v>
      </c>
      <c r="N57" s="2" t="s">
        <v>34</v>
      </c>
      <c r="O57" s="2" t="s">
        <v>34</v>
      </c>
      <c r="P57" s="2" t="s">
        <v>78</v>
      </c>
    </row>
    <row r="58" spans="1:16" x14ac:dyDescent="0.2">
      <c r="A58" s="2" t="s">
        <v>390</v>
      </c>
      <c r="B58" s="2">
        <v>4</v>
      </c>
      <c r="C58" s="2">
        <v>6</v>
      </c>
      <c r="D58" s="2" t="s">
        <v>29</v>
      </c>
      <c r="E58" s="2">
        <v>915</v>
      </c>
      <c r="F58" s="2" t="s">
        <v>38</v>
      </c>
      <c r="G58" s="2" t="s">
        <v>391</v>
      </c>
      <c r="H58" s="2" t="s">
        <v>392</v>
      </c>
      <c r="I58" s="2" t="s">
        <v>393</v>
      </c>
      <c r="J58" s="2" t="s">
        <v>394</v>
      </c>
      <c r="K58" s="3">
        <v>46444</v>
      </c>
      <c r="L58" s="2" t="s">
        <v>395</v>
      </c>
      <c r="M58" s="2" t="s">
        <v>34</v>
      </c>
      <c r="N58" s="2" t="s">
        <v>396</v>
      </c>
      <c r="O58" s="2" t="s">
        <v>34</v>
      </c>
      <c r="P58" s="2" t="s">
        <v>36</v>
      </c>
    </row>
    <row r="59" spans="1:16" x14ac:dyDescent="0.2">
      <c r="A59" s="2" t="s">
        <v>397</v>
      </c>
      <c r="B59" s="2">
        <v>4</v>
      </c>
      <c r="C59" s="2">
        <v>7</v>
      </c>
      <c r="D59" s="2" t="s">
        <v>71</v>
      </c>
      <c r="E59" s="2">
        <v>1219</v>
      </c>
      <c r="F59" s="2" t="s">
        <v>38</v>
      </c>
      <c r="G59" s="2" t="s">
        <v>398</v>
      </c>
      <c r="H59" s="2" t="s">
        <v>399</v>
      </c>
      <c r="I59" s="2" t="s">
        <v>400</v>
      </c>
      <c r="J59" s="2" t="s">
        <v>401</v>
      </c>
      <c r="K59" s="3">
        <v>46369</v>
      </c>
      <c r="L59" s="2" t="s">
        <v>402</v>
      </c>
      <c r="M59" s="2" t="s">
        <v>403</v>
      </c>
      <c r="N59" s="2" t="s">
        <v>34</v>
      </c>
      <c r="O59" s="2" t="s">
        <v>34</v>
      </c>
      <c r="P59" s="2" t="s">
        <v>36</v>
      </c>
    </row>
    <row r="60" spans="1:16" x14ac:dyDescent="0.2">
      <c r="A60" s="2" t="s">
        <v>404</v>
      </c>
      <c r="B60" s="2">
        <v>4</v>
      </c>
      <c r="C60" s="2">
        <v>8</v>
      </c>
      <c r="D60" s="2" t="s">
        <v>71</v>
      </c>
      <c r="E60" s="2">
        <v>1430</v>
      </c>
      <c r="F60" s="2" t="s">
        <v>30</v>
      </c>
      <c r="G60" s="2" t="s">
        <v>405</v>
      </c>
      <c r="H60" s="2" t="s">
        <v>406</v>
      </c>
      <c r="I60" s="2" t="s">
        <v>407</v>
      </c>
      <c r="J60" s="2" t="s">
        <v>34</v>
      </c>
      <c r="K60" s="2" t="s">
        <v>34</v>
      </c>
      <c r="L60" s="2" t="s">
        <v>408</v>
      </c>
      <c r="M60" s="2" t="s">
        <v>409</v>
      </c>
      <c r="N60" s="2" t="s">
        <v>34</v>
      </c>
      <c r="O60" s="2" t="s">
        <v>410</v>
      </c>
      <c r="P60" s="2" t="s">
        <v>36</v>
      </c>
    </row>
    <row r="61" spans="1:16" x14ac:dyDescent="0.2">
      <c r="A61" s="2" t="s">
        <v>411</v>
      </c>
      <c r="B61" s="2">
        <v>4</v>
      </c>
      <c r="C61" s="2">
        <v>9</v>
      </c>
      <c r="D61" s="2" t="s">
        <v>71</v>
      </c>
      <c r="E61" s="2">
        <v>1191</v>
      </c>
      <c r="F61" s="2" t="s">
        <v>38</v>
      </c>
      <c r="G61" s="2" t="s">
        <v>412</v>
      </c>
      <c r="H61" s="2" t="s">
        <v>413</v>
      </c>
      <c r="I61" s="2" t="s">
        <v>414</v>
      </c>
      <c r="J61" s="2" t="s">
        <v>415</v>
      </c>
      <c r="K61" s="3">
        <v>46138</v>
      </c>
      <c r="L61" s="2" t="s">
        <v>416</v>
      </c>
      <c r="M61" s="2" t="s">
        <v>417</v>
      </c>
      <c r="N61" s="2" t="s">
        <v>34</v>
      </c>
      <c r="O61" s="2" t="s">
        <v>418</v>
      </c>
      <c r="P61" s="2" t="s">
        <v>78</v>
      </c>
    </row>
    <row r="62" spans="1:16" x14ac:dyDescent="0.2">
      <c r="A62" s="2" t="s">
        <v>419</v>
      </c>
      <c r="B62" s="2">
        <v>4</v>
      </c>
      <c r="C62" s="2">
        <v>10</v>
      </c>
      <c r="D62" s="2" t="s">
        <v>71</v>
      </c>
      <c r="E62" s="2">
        <v>1421</v>
      </c>
      <c r="F62" s="2" t="s">
        <v>30</v>
      </c>
      <c r="G62" s="2" t="s">
        <v>341</v>
      </c>
      <c r="H62" s="2" t="s">
        <v>420</v>
      </c>
      <c r="I62" s="2" t="s">
        <v>421</v>
      </c>
      <c r="J62" s="2" t="s">
        <v>34</v>
      </c>
      <c r="K62" s="2" t="s">
        <v>34</v>
      </c>
      <c r="L62" s="2" t="s">
        <v>422</v>
      </c>
      <c r="M62" s="2" t="s">
        <v>34</v>
      </c>
      <c r="N62" s="2" t="s">
        <v>34</v>
      </c>
      <c r="O62" s="2" t="s">
        <v>34</v>
      </c>
      <c r="P62" s="2" t="s">
        <v>36</v>
      </c>
    </row>
    <row r="63" spans="1:16" x14ac:dyDescent="0.2">
      <c r="A63" s="2" t="s">
        <v>423</v>
      </c>
      <c r="B63" s="2">
        <v>4</v>
      </c>
      <c r="C63" s="2">
        <v>11</v>
      </c>
      <c r="D63" s="2" t="s">
        <v>71</v>
      </c>
      <c r="E63" s="2">
        <v>1409</v>
      </c>
      <c r="F63" s="2" t="s">
        <v>30</v>
      </c>
      <c r="G63" s="2" t="s">
        <v>424</v>
      </c>
      <c r="H63" s="2" t="s">
        <v>425</v>
      </c>
      <c r="I63" s="2" t="s">
        <v>426</v>
      </c>
      <c r="J63" s="2" t="s">
        <v>34</v>
      </c>
      <c r="K63" s="2" t="s">
        <v>34</v>
      </c>
      <c r="L63" s="2" t="s">
        <v>427</v>
      </c>
      <c r="M63" s="2" t="s">
        <v>428</v>
      </c>
      <c r="N63" s="2" t="s">
        <v>34</v>
      </c>
      <c r="O63" s="2" t="s">
        <v>34</v>
      </c>
      <c r="P63" s="2" t="s">
        <v>36</v>
      </c>
    </row>
    <row r="64" spans="1:16" x14ac:dyDescent="0.2">
      <c r="A64" s="2" t="s">
        <v>429</v>
      </c>
      <c r="B64" s="2">
        <v>4</v>
      </c>
      <c r="C64" s="2">
        <v>12</v>
      </c>
      <c r="D64" s="2" t="s">
        <v>71</v>
      </c>
      <c r="E64" s="2">
        <v>1381</v>
      </c>
      <c r="F64" s="2" t="s">
        <v>38</v>
      </c>
      <c r="G64" s="2" t="s">
        <v>430</v>
      </c>
      <c r="H64" s="2" t="s">
        <v>431</v>
      </c>
      <c r="I64" s="2" t="s">
        <v>432</v>
      </c>
      <c r="J64" s="2" t="s">
        <v>433</v>
      </c>
      <c r="K64" s="3">
        <v>46134</v>
      </c>
      <c r="L64" s="2" t="s">
        <v>434</v>
      </c>
      <c r="M64" s="2" t="s">
        <v>435</v>
      </c>
      <c r="N64" s="2" t="s">
        <v>34</v>
      </c>
      <c r="O64" s="2" t="s">
        <v>34</v>
      </c>
      <c r="P64" s="2" t="s">
        <v>36</v>
      </c>
    </row>
    <row r="65" spans="1:16" x14ac:dyDescent="0.2">
      <c r="A65" s="2" t="s">
        <v>436</v>
      </c>
      <c r="B65" s="2">
        <v>4</v>
      </c>
      <c r="C65" s="2">
        <v>13</v>
      </c>
      <c r="D65" s="2" t="s">
        <v>113</v>
      </c>
      <c r="E65" s="2">
        <v>2121</v>
      </c>
      <c r="F65" s="2" t="s">
        <v>30</v>
      </c>
      <c r="G65" s="2" t="s">
        <v>437</v>
      </c>
      <c r="H65" s="2" t="s">
        <v>438</v>
      </c>
      <c r="I65" s="2" t="s">
        <v>439</v>
      </c>
      <c r="J65" s="2" t="s">
        <v>34</v>
      </c>
      <c r="K65" s="2" t="s">
        <v>34</v>
      </c>
      <c r="L65" s="2" t="s">
        <v>440</v>
      </c>
      <c r="M65" s="2" t="s">
        <v>34</v>
      </c>
      <c r="N65" s="2" t="s">
        <v>441</v>
      </c>
      <c r="O65" s="2" t="s">
        <v>34</v>
      </c>
      <c r="P65" s="2" t="s">
        <v>36</v>
      </c>
    </row>
    <row r="66" spans="1:16" x14ac:dyDescent="0.2">
      <c r="A66" s="2" t="s">
        <v>442</v>
      </c>
      <c r="B66" s="2">
        <v>4</v>
      </c>
      <c r="C66" s="2">
        <v>14</v>
      </c>
      <c r="D66" s="2" t="s">
        <v>113</v>
      </c>
      <c r="E66" s="2">
        <v>1896</v>
      </c>
      <c r="F66" s="2" t="s">
        <v>30</v>
      </c>
      <c r="G66" s="2" t="s">
        <v>443</v>
      </c>
      <c r="H66" s="2" t="s">
        <v>444</v>
      </c>
      <c r="I66" s="2" t="s">
        <v>445</v>
      </c>
      <c r="J66" s="2" t="s">
        <v>34</v>
      </c>
      <c r="K66" s="2" t="s">
        <v>34</v>
      </c>
      <c r="L66" s="2" t="s">
        <v>446</v>
      </c>
      <c r="M66" s="2" t="s">
        <v>447</v>
      </c>
      <c r="N66" s="2" t="s">
        <v>34</v>
      </c>
      <c r="O66" s="2" t="s">
        <v>34</v>
      </c>
      <c r="P66" s="2" t="s">
        <v>36</v>
      </c>
    </row>
    <row r="67" spans="1:16" x14ac:dyDescent="0.2">
      <c r="A67" s="2" t="s">
        <v>448</v>
      </c>
      <c r="B67" s="2">
        <v>4</v>
      </c>
      <c r="C67" s="2">
        <v>15</v>
      </c>
      <c r="D67" s="2" t="s">
        <v>113</v>
      </c>
      <c r="E67" s="2">
        <v>2099</v>
      </c>
      <c r="F67" s="2" t="s">
        <v>30</v>
      </c>
      <c r="G67" s="2" t="s">
        <v>449</v>
      </c>
      <c r="H67" s="2" t="s">
        <v>450</v>
      </c>
      <c r="I67" s="2" t="s">
        <v>451</v>
      </c>
      <c r="J67" s="2" t="s">
        <v>34</v>
      </c>
      <c r="K67" s="2" t="s">
        <v>34</v>
      </c>
      <c r="L67" s="2" t="s">
        <v>452</v>
      </c>
      <c r="M67" s="2" t="s">
        <v>34</v>
      </c>
      <c r="N67" s="2" t="s">
        <v>34</v>
      </c>
      <c r="O67" s="2" t="s">
        <v>453</v>
      </c>
      <c r="P67" s="2" t="s">
        <v>36</v>
      </c>
    </row>
    <row r="68" spans="1:16" x14ac:dyDescent="0.2">
      <c r="A68" s="2" t="s">
        <v>454</v>
      </c>
      <c r="B68" s="2">
        <v>4</v>
      </c>
      <c r="C68" s="2">
        <v>16</v>
      </c>
      <c r="D68" s="2" t="s">
        <v>113</v>
      </c>
      <c r="E68" s="2">
        <v>1978</v>
      </c>
      <c r="F68" s="2" t="s">
        <v>30</v>
      </c>
      <c r="G68" s="2" t="s">
        <v>455</v>
      </c>
      <c r="H68" s="2" t="s">
        <v>456</v>
      </c>
      <c r="I68" s="2" t="s">
        <v>457</v>
      </c>
      <c r="J68" s="2" t="s">
        <v>34</v>
      </c>
      <c r="K68" s="2" t="s">
        <v>34</v>
      </c>
      <c r="L68" s="2" t="s">
        <v>458</v>
      </c>
      <c r="M68" s="2" t="s">
        <v>459</v>
      </c>
      <c r="N68" s="2" t="s">
        <v>34</v>
      </c>
      <c r="O68" s="2" t="s">
        <v>460</v>
      </c>
      <c r="P68" s="2" t="s">
        <v>36</v>
      </c>
    </row>
    <row r="69" spans="1:16" x14ac:dyDescent="0.2">
      <c r="A69" s="2" t="s">
        <v>461</v>
      </c>
      <c r="B69" s="2">
        <v>4</v>
      </c>
      <c r="C69" s="2">
        <v>17</v>
      </c>
      <c r="D69" s="2" t="s">
        <v>144</v>
      </c>
      <c r="E69" s="2">
        <v>3938</v>
      </c>
      <c r="F69" s="2" t="s">
        <v>30</v>
      </c>
      <c r="G69" s="2" t="s">
        <v>462</v>
      </c>
      <c r="H69" s="2" t="s">
        <v>463</v>
      </c>
      <c r="I69" s="2" t="s">
        <v>464</v>
      </c>
      <c r="J69" s="2" t="s">
        <v>34</v>
      </c>
      <c r="K69" s="2" t="s">
        <v>34</v>
      </c>
      <c r="L69" s="2" t="s">
        <v>465</v>
      </c>
      <c r="M69" s="2" t="s">
        <v>466</v>
      </c>
      <c r="N69" s="2" t="s">
        <v>34</v>
      </c>
      <c r="O69" s="2" t="s">
        <v>467</v>
      </c>
      <c r="P69" s="2" t="s">
        <v>36</v>
      </c>
    </row>
    <row r="70" spans="1:16" x14ac:dyDescent="0.2">
      <c r="A70" s="2" t="s">
        <v>468</v>
      </c>
      <c r="B70" s="2">
        <v>5</v>
      </c>
      <c r="C70" s="2">
        <v>1</v>
      </c>
      <c r="D70" s="2" t="s">
        <v>29</v>
      </c>
      <c r="E70" s="2">
        <v>916</v>
      </c>
      <c r="F70" s="2" t="s">
        <v>30</v>
      </c>
      <c r="G70" s="2" t="s">
        <v>72</v>
      </c>
      <c r="H70" s="2" t="s">
        <v>469</v>
      </c>
      <c r="I70" s="2" t="s">
        <v>470</v>
      </c>
      <c r="J70" s="2" t="s">
        <v>34</v>
      </c>
      <c r="K70" s="2" t="s">
        <v>34</v>
      </c>
      <c r="L70" s="2" t="s">
        <v>471</v>
      </c>
      <c r="M70" s="2" t="s">
        <v>34</v>
      </c>
      <c r="N70" s="2" t="s">
        <v>34</v>
      </c>
      <c r="O70" s="2" t="s">
        <v>34</v>
      </c>
      <c r="P70" s="2" t="s">
        <v>36</v>
      </c>
    </row>
    <row r="71" spans="1:16" x14ac:dyDescent="0.2">
      <c r="A71" s="2" t="s">
        <v>472</v>
      </c>
      <c r="B71" s="2">
        <v>5</v>
      </c>
      <c r="C71" s="2">
        <v>2</v>
      </c>
      <c r="D71" s="2" t="s">
        <v>29</v>
      </c>
      <c r="E71" s="2">
        <v>834</v>
      </c>
      <c r="F71" s="2" t="s">
        <v>30</v>
      </c>
      <c r="G71" s="2" t="s">
        <v>473</v>
      </c>
      <c r="H71" s="2" t="s">
        <v>474</v>
      </c>
      <c r="I71" s="2" t="s">
        <v>475</v>
      </c>
      <c r="J71" s="2" t="s">
        <v>34</v>
      </c>
      <c r="K71" s="2" t="s">
        <v>34</v>
      </c>
      <c r="L71" s="2" t="s">
        <v>476</v>
      </c>
      <c r="M71" s="2" t="s">
        <v>34</v>
      </c>
      <c r="N71" s="2" t="s">
        <v>34</v>
      </c>
      <c r="O71" s="2" t="s">
        <v>477</v>
      </c>
      <c r="P71" s="2" t="s">
        <v>36</v>
      </c>
    </row>
    <row r="72" spans="1:16" x14ac:dyDescent="0.2">
      <c r="A72" s="2" t="s">
        <v>478</v>
      </c>
      <c r="B72" s="2">
        <v>5</v>
      </c>
      <c r="C72" s="2">
        <v>3</v>
      </c>
      <c r="D72" s="2" t="s">
        <v>29</v>
      </c>
      <c r="E72" s="2">
        <v>935</v>
      </c>
      <c r="F72" s="2" t="s">
        <v>38</v>
      </c>
      <c r="G72" s="2" t="s">
        <v>479</v>
      </c>
      <c r="H72" s="2" t="s">
        <v>480</v>
      </c>
      <c r="I72" s="2" t="s">
        <v>481</v>
      </c>
      <c r="J72" s="2" t="s">
        <v>482</v>
      </c>
      <c r="K72" s="3">
        <v>46444</v>
      </c>
      <c r="L72" s="2" t="s">
        <v>483</v>
      </c>
      <c r="M72" s="2" t="s">
        <v>34</v>
      </c>
      <c r="N72" s="2" t="s">
        <v>34</v>
      </c>
      <c r="O72" s="2" t="s">
        <v>34</v>
      </c>
      <c r="P72" s="2" t="s">
        <v>36</v>
      </c>
    </row>
    <row r="73" spans="1:16" x14ac:dyDescent="0.2">
      <c r="A73" s="2" t="s">
        <v>484</v>
      </c>
      <c r="B73" s="2">
        <v>5</v>
      </c>
      <c r="C73" s="2">
        <v>4</v>
      </c>
      <c r="D73" s="2" t="s">
        <v>29</v>
      </c>
      <c r="E73" s="2">
        <v>970</v>
      </c>
      <c r="F73" s="2" t="s">
        <v>30</v>
      </c>
      <c r="G73" s="2" t="s">
        <v>485</v>
      </c>
      <c r="H73" s="2" t="s">
        <v>486</v>
      </c>
      <c r="I73" s="2" t="s">
        <v>487</v>
      </c>
      <c r="J73" s="2" t="s">
        <v>34</v>
      </c>
      <c r="K73" s="2" t="s">
        <v>34</v>
      </c>
      <c r="L73" s="2" t="s">
        <v>488</v>
      </c>
      <c r="M73" s="2" t="s">
        <v>34</v>
      </c>
      <c r="N73" s="2" t="s">
        <v>34</v>
      </c>
      <c r="O73" s="2" t="s">
        <v>489</v>
      </c>
      <c r="P73" s="2" t="s">
        <v>36</v>
      </c>
    </row>
    <row r="74" spans="1:16" x14ac:dyDescent="0.2">
      <c r="A74" s="2" t="s">
        <v>490</v>
      </c>
      <c r="B74" s="2">
        <v>5</v>
      </c>
      <c r="C74" s="2">
        <v>5</v>
      </c>
      <c r="D74" s="2" t="s">
        <v>29</v>
      </c>
      <c r="E74" s="2">
        <v>868</v>
      </c>
      <c r="F74" s="2" t="s">
        <v>38</v>
      </c>
      <c r="G74" s="2" t="s">
        <v>491</v>
      </c>
      <c r="H74" s="2" t="s">
        <v>492</v>
      </c>
      <c r="I74" s="2" t="s">
        <v>493</v>
      </c>
      <c r="J74" s="2" t="s">
        <v>494</v>
      </c>
      <c r="K74" s="3">
        <v>46232</v>
      </c>
      <c r="L74" s="2" t="s">
        <v>495</v>
      </c>
      <c r="M74" s="2" t="s">
        <v>34</v>
      </c>
      <c r="N74" s="2" t="s">
        <v>34</v>
      </c>
      <c r="O74" s="2" t="s">
        <v>496</v>
      </c>
      <c r="P74" s="2" t="s">
        <v>36</v>
      </c>
    </row>
    <row r="75" spans="1:16" x14ac:dyDescent="0.2">
      <c r="A75" s="2" t="s">
        <v>497</v>
      </c>
      <c r="B75" s="2">
        <v>5</v>
      </c>
      <c r="C75" s="2">
        <v>6</v>
      </c>
      <c r="D75" s="2" t="s">
        <v>29</v>
      </c>
      <c r="E75" s="2">
        <v>911</v>
      </c>
      <c r="F75" s="2" t="s">
        <v>30</v>
      </c>
      <c r="G75" s="2" t="s">
        <v>498</v>
      </c>
      <c r="H75" s="2" t="s">
        <v>499</v>
      </c>
      <c r="I75" s="2" t="s">
        <v>500</v>
      </c>
      <c r="J75" s="2" t="s">
        <v>34</v>
      </c>
      <c r="K75" s="2" t="s">
        <v>34</v>
      </c>
      <c r="L75" s="2" t="s">
        <v>501</v>
      </c>
      <c r="M75" s="2" t="s">
        <v>34</v>
      </c>
      <c r="N75" s="2" t="s">
        <v>34</v>
      </c>
      <c r="O75" s="2" t="s">
        <v>502</v>
      </c>
      <c r="P75" s="2" t="s">
        <v>36</v>
      </c>
    </row>
    <row r="76" spans="1:16" x14ac:dyDescent="0.2">
      <c r="A76" s="2" t="s">
        <v>503</v>
      </c>
      <c r="B76" s="2">
        <v>5</v>
      </c>
      <c r="C76" s="2">
        <v>7</v>
      </c>
      <c r="D76" s="2" t="s">
        <v>71</v>
      </c>
      <c r="E76" s="2">
        <v>1284</v>
      </c>
      <c r="F76" s="2" t="s">
        <v>30</v>
      </c>
      <c r="G76" s="2" t="s">
        <v>504</v>
      </c>
      <c r="H76" s="2" t="s">
        <v>505</v>
      </c>
      <c r="I76" s="2" t="s">
        <v>506</v>
      </c>
      <c r="J76" s="2" t="s">
        <v>34</v>
      </c>
      <c r="K76" s="2" t="s">
        <v>34</v>
      </c>
      <c r="L76" s="2" t="s">
        <v>507</v>
      </c>
      <c r="M76" s="2" t="s">
        <v>508</v>
      </c>
      <c r="N76" s="2" t="s">
        <v>34</v>
      </c>
      <c r="O76" s="2" t="s">
        <v>509</v>
      </c>
      <c r="P76" s="2" t="s">
        <v>78</v>
      </c>
    </row>
    <row r="77" spans="1:16" x14ac:dyDescent="0.2">
      <c r="A77" s="2" t="s">
        <v>510</v>
      </c>
      <c r="B77" s="2">
        <v>5</v>
      </c>
      <c r="C77" s="2">
        <v>8</v>
      </c>
      <c r="D77" s="2" t="s">
        <v>71</v>
      </c>
      <c r="E77" s="2">
        <v>1393</v>
      </c>
      <c r="F77" s="2" t="s">
        <v>30</v>
      </c>
      <c r="G77" s="2" t="s">
        <v>511</v>
      </c>
      <c r="H77" s="2" t="s">
        <v>512</v>
      </c>
      <c r="I77" s="2" t="s">
        <v>513</v>
      </c>
      <c r="J77" s="2" t="s">
        <v>34</v>
      </c>
      <c r="K77" s="2" t="s">
        <v>34</v>
      </c>
      <c r="L77" s="2" t="s">
        <v>514</v>
      </c>
      <c r="M77" s="2" t="s">
        <v>515</v>
      </c>
      <c r="N77" s="2" t="s">
        <v>34</v>
      </c>
      <c r="O77" s="2" t="s">
        <v>516</v>
      </c>
      <c r="P77" s="2" t="s">
        <v>78</v>
      </c>
    </row>
    <row r="78" spans="1:16" x14ac:dyDescent="0.2">
      <c r="A78" s="2" t="s">
        <v>517</v>
      </c>
      <c r="B78" s="2">
        <v>5</v>
      </c>
      <c r="C78" s="2">
        <v>9</v>
      </c>
      <c r="D78" s="2" t="s">
        <v>71</v>
      </c>
      <c r="E78" s="2">
        <v>1311</v>
      </c>
      <c r="F78" s="2" t="s">
        <v>38</v>
      </c>
      <c r="G78" s="2" t="s">
        <v>518</v>
      </c>
      <c r="H78" s="2" t="s">
        <v>519</v>
      </c>
      <c r="I78" s="2" t="s">
        <v>520</v>
      </c>
      <c r="J78" s="2" t="s">
        <v>521</v>
      </c>
      <c r="K78" s="3">
        <v>46280</v>
      </c>
      <c r="L78" s="2" t="s">
        <v>522</v>
      </c>
      <c r="M78" s="2" t="s">
        <v>523</v>
      </c>
      <c r="N78" s="2" t="s">
        <v>34</v>
      </c>
      <c r="O78" s="2" t="s">
        <v>34</v>
      </c>
      <c r="P78" s="2" t="s">
        <v>78</v>
      </c>
    </row>
    <row r="79" spans="1:16" x14ac:dyDescent="0.2">
      <c r="A79" s="2" t="s">
        <v>524</v>
      </c>
      <c r="B79" s="2">
        <v>5</v>
      </c>
      <c r="C79" s="2">
        <v>10</v>
      </c>
      <c r="D79" s="2" t="s">
        <v>71</v>
      </c>
      <c r="E79" s="2">
        <v>1448</v>
      </c>
      <c r="F79" s="2" t="s">
        <v>38</v>
      </c>
      <c r="G79" s="2" t="s">
        <v>525</v>
      </c>
      <c r="H79" s="2" t="s">
        <v>526</v>
      </c>
      <c r="I79" s="2" t="s">
        <v>527</v>
      </c>
      <c r="J79" s="2" t="s">
        <v>528</v>
      </c>
      <c r="K79" s="3">
        <v>46309</v>
      </c>
      <c r="L79" s="2" t="s">
        <v>529</v>
      </c>
      <c r="M79" s="2" t="s">
        <v>34</v>
      </c>
      <c r="N79" s="2" t="s">
        <v>34</v>
      </c>
      <c r="O79" s="2" t="s">
        <v>530</v>
      </c>
      <c r="P79" s="2" t="s">
        <v>36</v>
      </c>
    </row>
    <row r="80" spans="1:16" x14ac:dyDescent="0.2">
      <c r="A80" s="2" t="s">
        <v>531</v>
      </c>
      <c r="B80" s="2">
        <v>5</v>
      </c>
      <c r="C80" s="2">
        <v>11</v>
      </c>
      <c r="D80" s="2" t="s">
        <v>71</v>
      </c>
      <c r="E80" s="2">
        <v>1413</v>
      </c>
      <c r="F80" s="2" t="s">
        <v>30</v>
      </c>
      <c r="G80" s="2" t="s">
        <v>532</v>
      </c>
      <c r="H80" s="2" t="s">
        <v>533</v>
      </c>
      <c r="I80" s="2" t="s">
        <v>534</v>
      </c>
      <c r="J80" s="2" t="s">
        <v>34</v>
      </c>
      <c r="K80" s="2" t="s">
        <v>34</v>
      </c>
      <c r="L80" s="2" t="s">
        <v>535</v>
      </c>
      <c r="M80" s="2" t="s">
        <v>34</v>
      </c>
      <c r="N80" s="2" t="s">
        <v>34</v>
      </c>
      <c r="O80" s="2" t="s">
        <v>34</v>
      </c>
      <c r="P80" s="2" t="s">
        <v>36</v>
      </c>
    </row>
    <row r="81" spans="1:16" x14ac:dyDescent="0.2">
      <c r="A81" s="2" t="s">
        <v>536</v>
      </c>
      <c r="B81" s="2">
        <v>5</v>
      </c>
      <c r="C81" s="2">
        <v>12</v>
      </c>
      <c r="D81" s="2" t="s">
        <v>71</v>
      </c>
      <c r="E81" s="2">
        <v>1390</v>
      </c>
      <c r="F81" s="2" t="s">
        <v>30</v>
      </c>
      <c r="G81" s="2" t="s">
        <v>537</v>
      </c>
      <c r="H81" s="2" t="s">
        <v>538</v>
      </c>
      <c r="I81" s="2" t="s">
        <v>539</v>
      </c>
      <c r="J81" s="2" t="s">
        <v>34</v>
      </c>
      <c r="K81" s="2" t="s">
        <v>34</v>
      </c>
      <c r="L81" s="2" t="s">
        <v>540</v>
      </c>
      <c r="M81" s="2" t="s">
        <v>34</v>
      </c>
      <c r="N81" s="2" t="s">
        <v>34</v>
      </c>
      <c r="O81" s="2" t="s">
        <v>541</v>
      </c>
      <c r="P81" s="2" t="s">
        <v>36</v>
      </c>
    </row>
    <row r="82" spans="1:16" x14ac:dyDescent="0.2">
      <c r="A82" s="2" t="s">
        <v>542</v>
      </c>
      <c r="B82" s="2">
        <v>5</v>
      </c>
      <c r="C82" s="2">
        <v>13</v>
      </c>
      <c r="D82" s="2" t="s">
        <v>113</v>
      </c>
      <c r="E82" s="2">
        <v>1748</v>
      </c>
      <c r="F82" s="2" t="s">
        <v>30</v>
      </c>
      <c r="G82" s="2" t="s">
        <v>543</v>
      </c>
      <c r="H82" s="2" t="s">
        <v>544</v>
      </c>
      <c r="I82" s="2" t="s">
        <v>545</v>
      </c>
      <c r="J82" s="2" t="s">
        <v>34</v>
      </c>
      <c r="K82" s="2" t="s">
        <v>34</v>
      </c>
      <c r="L82" s="2" t="s">
        <v>546</v>
      </c>
      <c r="M82" s="2" t="s">
        <v>547</v>
      </c>
      <c r="N82" s="2" t="s">
        <v>34</v>
      </c>
      <c r="O82" s="2" t="s">
        <v>34</v>
      </c>
      <c r="P82" s="2" t="s">
        <v>36</v>
      </c>
    </row>
    <row r="83" spans="1:16" x14ac:dyDescent="0.2">
      <c r="A83" s="2" t="s">
        <v>548</v>
      </c>
      <c r="B83" s="2">
        <v>5</v>
      </c>
      <c r="C83" s="2">
        <v>14</v>
      </c>
      <c r="D83" s="2" t="s">
        <v>113</v>
      </c>
      <c r="E83" s="2">
        <v>2120</v>
      </c>
      <c r="F83" s="2" t="s">
        <v>30</v>
      </c>
      <c r="G83" s="2" t="s">
        <v>549</v>
      </c>
      <c r="H83" s="2" t="s">
        <v>550</v>
      </c>
      <c r="I83" s="2" t="s">
        <v>551</v>
      </c>
      <c r="J83" s="2" t="s">
        <v>34</v>
      </c>
      <c r="K83" s="2" t="s">
        <v>34</v>
      </c>
      <c r="L83" s="2" t="s">
        <v>552</v>
      </c>
      <c r="M83" s="2" t="s">
        <v>553</v>
      </c>
      <c r="N83" s="2" t="s">
        <v>554</v>
      </c>
      <c r="O83" s="2" t="s">
        <v>34</v>
      </c>
      <c r="P83" s="2" t="s">
        <v>78</v>
      </c>
    </row>
    <row r="84" spans="1:16" x14ac:dyDescent="0.2">
      <c r="A84" s="2" t="s">
        <v>555</v>
      </c>
      <c r="B84" s="2">
        <v>5</v>
      </c>
      <c r="C84" s="2">
        <v>15</v>
      </c>
      <c r="D84" s="2" t="s">
        <v>113</v>
      </c>
      <c r="E84" s="2">
        <v>2065</v>
      </c>
      <c r="F84" s="2" t="s">
        <v>30</v>
      </c>
      <c r="G84" s="2" t="s">
        <v>556</v>
      </c>
      <c r="H84" s="2" t="s">
        <v>557</v>
      </c>
      <c r="I84" s="2" t="s">
        <v>558</v>
      </c>
      <c r="J84" s="2" t="s">
        <v>34</v>
      </c>
      <c r="K84" s="2" t="s">
        <v>34</v>
      </c>
      <c r="L84" s="2" t="s">
        <v>559</v>
      </c>
      <c r="M84" s="2" t="s">
        <v>34</v>
      </c>
      <c r="N84" s="2" t="s">
        <v>560</v>
      </c>
      <c r="O84" s="2" t="s">
        <v>34</v>
      </c>
      <c r="P84" s="2" t="s">
        <v>78</v>
      </c>
    </row>
    <row r="85" spans="1:16" x14ac:dyDescent="0.2">
      <c r="A85" s="2" t="s">
        <v>561</v>
      </c>
      <c r="B85" s="2">
        <v>5</v>
      </c>
      <c r="C85" s="2">
        <v>16</v>
      </c>
      <c r="D85" s="2" t="s">
        <v>113</v>
      </c>
      <c r="E85" s="2">
        <v>1747</v>
      </c>
      <c r="F85" s="2" t="s">
        <v>38</v>
      </c>
      <c r="G85" s="2" t="s">
        <v>562</v>
      </c>
      <c r="H85" s="2" t="s">
        <v>563</v>
      </c>
      <c r="I85" s="2" t="s">
        <v>564</v>
      </c>
      <c r="J85" s="2" t="s">
        <v>565</v>
      </c>
      <c r="K85" s="3">
        <v>46473</v>
      </c>
      <c r="L85" s="2" t="s">
        <v>566</v>
      </c>
      <c r="M85" s="2" t="s">
        <v>567</v>
      </c>
      <c r="N85" s="2" t="s">
        <v>568</v>
      </c>
      <c r="O85" s="2" t="s">
        <v>569</v>
      </c>
      <c r="P85" s="2" t="s">
        <v>78</v>
      </c>
    </row>
    <row r="86" spans="1:16" x14ac:dyDescent="0.2">
      <c r="A86" s="2" t="s">
        <v>570</v>
      </c>
      <c r="B86" s="2">
        <v>5</v>
      </c>
      <c r="C86" s="2">
        <v>17</v>
      </c>
      <c r="D86" s="2" t="s">
        <v>144</v>
      </c>
      <c r="E86" s="2">
        <v>3167</v>
      </c>
      <c r="F86" s="2" t="s">
        <v>38</v>
      </c>
      <c r="G86" s="2" t="s">
        <v>571</v>
      </c>
      <c r="H86" s="2" t="s">
        <v>572</v>
      </c>
      <c r="I86" s="2" t="s">
        <v>573</v>
      </c>
      <c r="J86" s="2" t="s">
        <v>401</v>
      </c>
      <c r="K86" s="3">
        <v>46197</v>
      </c>
      <c r="L86" s="2" t="s">
        <v>574</v>
      </c>
      <c r="M86" s="2" t="s">
        <v>575</v>
      </c>
      <c r="N86" s="2" t="s">
        <v>34</v>
      </c>
      <c r="O86" s="2" t="s">
        <v>34</v>
      </c>
      <c r="P86" s="2" t="s">
        <v>78</v>
      </c>
    </row>
    <row r="87" spans="1:16" x14ac:dyDescent="0.2">
      <c r="A87" s="2" t="s">
        <v>576</v>
      </c>
      <c r="B87" s="2">
        <v>6</v>
      </c>
      <c r="C87" s="2">
        <v>1</v>
      </c>
      <c r="D87" s="2" t="s">
        <v>29</v>
      </c>
      <c r="E87" s="2">
        <v>958</v>
      </c>
      <c r="F87" s="2" t="s">
        <v>38</v>
      </c>
      <c r="G87" s="2" t="s">
        <v>577</v>
      </c>
      <c r="H87" s="2" t="s">
        <v>578</v>
      </c>
      <c r="I87" s="2" t="s">
        <v>579</v>
      </c>
      <c r="J87" s="2" t="s">
        <v>580</v>
      </c>
      <c r="K87" s="3">
        <v>46466</v>
      </c>
      <c r="L87" s="2" t="s">
        <v>581</v>
      </c>
      <c r="M87" s="2" t="s">
        <v>34</v>
      </c>
      <c r="N87" s="2" t="s">
        <v>34</v>
      </c>
      <c r="O87" s="2" t="s">
        <v>582</v>
      </c>
      <c r="P87" s="2" t="s">
        <v>78</v>
      </c>
    </row>
    <row r="88" spans="1:16" x14ac:dyDescent="0.2">
      <c r="A88" s="2" t="s">
        <v>583</v>
      </c>
      <c r="B88" s="2">
        <v>6</v>
      </c>
      <c r="C88" s="2">
        <v>2</v>
      </c>
      <c r="D88" s="2" t="s">
        <v>29</v>
      </c>
      <c r="E88" s="2">
        <v>907</v>
      </c>
      <c r="F88" s="2" t="s">
        <v>30</v>
      </c>
      <c r="G88" s="2" t="s">
        <v>584</v>
      </c>
      <c r="H88" s="2" t="s">
        <v>585</v>
      </c>
      <c r="I88" s="2" t="s">
        <v>586</v>
      </c>
      <c r="J88" s="2" t="s">
        <v>34</v>
      </c>
      <c r="K88" s="2" t="s">
        <v>34</v>
      </c>
      <c r="L88" s="2" t="s">
        <v>587</v>
      </c>
      <c r="M88" s="2" t="s">
        <v>34</v>
      </c>
      <c r="N88" s="2" t="s">
        <v>34</v>
      </c>
      <c r="O88" s="2" t="s">
        <v>34</v>
      </c>
      <c r="P88" s="2" t="s">
        <v>36</v>
      </c>
    </row>
    <row r="89" spans="1:16" x14ac:dyDescent="0.2">
      <c r="A89" s="2" t="s">
        <v>588</v>
      </c>
      <c r="B89" s="2">
        <v>6</v>
      </c>
      <c r="C89" s="2">
        <v>3</v>
      </c>
      <c r="D89" s="2" t="s">
        <v>29</v>
      </c>
      <c r="E89" s="2">
        <v>916</v>
      </c>
      <c r="F89" s="2" t="s">
        <v>30</v>
      </c>
      <c r="G89" s="2" t="s">
        <v>589</v>
      </c>
      <c r="H89" s="2" t="s">
        <v>590</v>
      </c>
      <c r="I89" s="2" t="s">
        <v>591</v>
      </c>
      <c r="J89" s="2" t="s">
        <v>34</v>
      </c>
      <c r="K89" s="2" t="s">
        <v>34</v>
      </c>
      <c r="L89" s="2" t="s">
        <v>592</v>
      </c>
      <c r="M89" s="2" t="s">
        <v>34</v>
      </c>
      <c r="N89" s="2" t="s">
        <v>34</v>
      </c>
      <c r="O89" s="2" t="s">
        <v>34</v>
      </c>
      <c r="P89" s="2" t="s">
        <v>36</v>
      </c>
    </row>
    <row r="90" spans="1:16" x14ac:dyDescent="0.2">
      <c r="A90" s="2" t="s">
        <v>593</v>
      </c>
      <c r="B90" s="2">
        <v>6</v>
      </c>
      <c r="C90" s="2">
        <v>4</v>
      </c>
      <c r="D90" s="2" t="s">
        <v>29</v>
      </c>
      <c r="E90" s="2">
        <v>838</v>
      </c>
      <c r="F90" s="2" t="s">
        <v>30</v>
      </c>
      <c r="G90" s="2" t="s">
        <v>594</v>
      </c>
      <c r="H90" s="2" t="s">
        <v>595</v>
      </c>
      <c r="I90" s="2" t="s">
        <v>596</v>
      </c>
      <c r="J90" s="2" t="s">
        <v>34</v>
      </c>
      <c r="K90" s="2" t="s">
        <v>34</v>
      </c>
      <c r="L90" s="2" t="s">
        <v>597</v>
      </c>
      <c r="M90" s="2" t="s">
        <v>34</v>
      </c>
      <c r="N90" s="2" t="s">
        <v>34</v>
      </c>
      <c r="O90" s="2" t="s">
        <v>598</v>
      </c>
      <c r="P90" s="2" t="s">
        <v>36</v>
      </c>
    </row>
    <row r="91" spans="1:16" x14ac:dyDescent="0.2">
      <c r="A91" s="2" t="s">
        <v>599</v>
      </c>
      <c r="B91" s="2">
        <v>6</v>
      </c>
      <c r="C91" s="2">
        <v>5</v>
      </c>
      <c r="D91" s="2" t="s">
        <v>29</v>
      </c>
      <c r="E91" s="2">
        <v>843</v>
      </c>
      <c r="F91" s="2" t="s">
        <v>30</v>
      </c>
      <c r="G91" s="2" t="s">
        <v>600</v>
      </c>
      <c r="H91" s="2" t="s">
        <v>601</v>
      </c>
      <c r="I91" s="2" t="s">
        <v>602</v>
      </c>
      <c r="J91" s="2" t="s">
        <v>34</v>
      </c>
      <c r="K91" s="2" t="s">
        <v>34</v>
      </c>
      <c r="L91" s="2" t="s">
        <v>603</v>
      </c>
      <c r="M91" s="2" t="s">
        <v>34</v>
      </c>
      <c r="N91" s="2" t="s">
        <v>34</v>
      </c>
      <c r="O91" s="2" t="s">
        <v>604</v>
      </c>
      <c r="P91" s="2" t="s">
        <v>36</v>
      </c>
    </row>
    <row r="92" spans="1:16" x14ac:dyDescent="0.2">
      <c r="A92" s="2" t="s">
        <v>605</v>
      </c>
      <c r="B92" s="2">
        <v>6</v>
      </c>
      <c r="C92" s="2">
        <v>6</v>
      </c>
      <c r="D92" s="2" t="s">
        <v>29</v>
      </c>
      <c r="E92" s="2">
        <v>962</v>
      </c>
      <c r="F92" s="2" t="s">
        <v>30</v>
      </c>
      <c r="G92" s="2" t="s">
        <v>606</v>
      </c>
      <c r="H92" s="2" t="s">
        <v>607</v>
      </c>
      <c r="I92" s="2" t="s">
        <v>608</v>
      </c>
      <c r="J92" s="2" t="s">
        <v>34</v>
      </c>
      <c r="K92" s="2" t="s">
        <v>34</v>
      </c>
      <c r="L92" s="2" t="s">
        <v>609</v>
      </c>
      <c r="M92" s="2" t="s">
        <v>34</v>
      </c>
      <c r="N92" s="2" t="s">
        <v>34</v>
      </c>
      <c r="O92" s="2" t="s">
        <v>610</v>
      </c>
      <c r="P92" s="2" t="s">
        <v>36</v>
      </c>
    </row>
    <row r="93" spans="1:16" x14ac:dyDescent="0.2">
      <c r="A93" s="2" t="s">
        <v>611</v>
      </c>
      <c r="B93" s="2">
        <v>6</v>
      </c>
      <c r="C93" s="2">
        <v>7</v>
      </c>
      <c r="D93" s="2" t="s">
        <v>71</v>
      </c>
      <c r="E93" s="2">
        <v>1186</v>
      </c>
      <c r="F93" s="2" t="s">
        <v>30</v>
      </c>
      <c r="G93" s="2" t="s">
        <v>612</v>
      </c>
      <c r="H93" s="2" t="s">
        <v>613</v>
      </c>
      <c r="I93" s="2" t="s">
        <v>614</v>
      </c>
      <c r="J93" s="2" t="s">
        <v>34</v>
      </c>
      <c r="K93" s="2" t="s">
        <v>34</v>
      </c>
      <c r="L93" s="2" t="s">
        <v>615</v>
      </c>
      <c r="M93" s="2" t="s">
        <v>34</v>
      </c>
      <c r="N93" s="2" t="s">
        <v>34</v>
      </c>
      <c r="O93" s="2" t="s">
        <v>34</v>
      </c>
      <c r="P93" s="2" t="s">
        <v>36</v>
      </c>
    </row>
    <row r="94" spans="1:16" x14ac:dyDescent="0.2">
      <c r="A94" s="2" t="s">
        <v>616</v>
      </c>
      <c r="B94" s="2">
        <v>6</v>
      </c>
      <c r="C94" s="2">
        <v>8</v>
      </c>
      <c r="D94" s="2" t="s">
        <v>71</v>
      </c>
      <c r="E94" s="2">
        <v>1374</v>
      </c>
      <c r="F94" s="2" t="s">
        <v>30</v>
      </c>
      <c r="G94" s="2" t="s">
        <v>617</v>
      </c>
      <c r="H94" s="2" t="s">
        <v>618</v>
      </c>
      <c r="I94" s="2" t="s">
        <v>619</v>
      </c>
      <c r="J94" s="2" t="s">
        <v>34</v>
      </c>
      <c r="K94" s="2" t="s">
        <v>34</v>
      </c>
      <c r="L94" s="2" t="s">
        <v>620</v>
      </c>
      <c r="M94" s="2" t="s">
        <v>621</v>
      </c>
      <c r="N94" s="2" t="s">
        <v>34</v>
      </c>
      <c r="O94" s="2" t="s">
        <v>622</v>
      </c>
      <c r="P94" s="2" t="s">
        <v>36</v>
      </c>
    </row>
    <row r="95" spans="1:16" x14ac:dyDescent="0.2">
      <c r="A95" s="2" t="s">
        <v>623</v>
      </c>
      <c r="B95" s="2">
        <v>6</v>
      </c>
      <c r="C95" s="2">
        <v>9</v>
      </c>
      <c r="D95" s="2" t="s">
        <v>71</v>
      </c>
      <c r="E95" s="2">
        <v>1364</v>
      </c>
      <c r="F95" s="2" t="s">
        <v>38</v>
      </c>
      <c r="G95" s="2" t="s">
        <v>254</v>
      </c>
      <c r="H95" s="2" t="s">
        <v>624</v>
      </c>
      <c r="I95" s="2" t="s">
        <v>625</v>
      </c>
      <c r="J95" s="2" t="s">
        <v>626</v>
      </c>
      <c r="K95" s="3">
        <v>46338</v>
      </c>
      <c r="L95" s="2" t="s">
        <v>627</v>
      </c>
      <c r="M95" s="2" t="s">
        <v>628</v>
      </c>
      <c r="N95" s="2" t="s">
        <v>34</v>
      </c>
      <c r="O95" s="2" t="s">
        <v>629</v>
      </c>
      <c r="P95" s="2" t="s">
        <v>78</v>
      </c>
    </row>
    <row r="96" spans="1:16" x14ac:dyDescent="0.2">
      <c r="A96" s="2" t="s">
        <v>630</v>
      </c>
      <c r="B96" s="2">
        <v>6</v>
      </c>
      <c r="C96" s="2">
        <v>10</v>
      </c>
      <c r="D96" s="2" t="s">
        <v>71</v>
      </c>
      <c r="E96" s="2">
        <v>1348</v>
      </c>
      <c r="F96" s="2" t="s">
        <v>30</v>
      </c>
      <c r="G96" s="2" t="s">
        <v>631</v>
      </c>
      <c r="H96" s="2" t="s">
        <v>632</v>
      </c>
      <c r="I96" s="2" t="s">
        <v>633</v>
      </c>
      <c r="J96" s="2" t="s">
        <v>34</v>
      </c>
      <c r="K96" s="2" t="s">
        <v>34</v>
      </c>
      <c r="L96" s="2" t="s">
        <v>634</v>
      </c>
      <c r="M96" s="2" t="s">
        <v>34</v>
      </c>
      <c r="N96" s="2" t="s">
        <v>34</v>
      </c>
      <c r="O96" s="2" t="s">
        <v>34</v>
      </c>
      <c r="P96" s="2" t="s">
        <v>36</v>
      </c>
    </row>
    <row r="97" spans="1:16" x14ac:dyDescent="0.2">
      <c r="A97" s="2" t="s">
        <v>635</v>
      </c>
      <c r="B97" s="2">
        <v>6</v>
      </c>
      <c r="C97" s="2">
        <v>11</v>
      </c>
      <c r="D97" s="2" t="s">
        <v>71</v>
      </c>
      <c r="E97" s="2">
        <v>1425</v>
      </c>
      <c r="F97" s="2" t="s">
        <v>38</v>
      </c>
      <c r="G97" s="2" t="s">
        <v>636</v>
      </c>
      <c r="H97" s="2" t="s">
        <v>637</v>
      </c>
      <c r="I97" s="2" t="s">
        <v>638</v>
      </c>
      <c r="J97" s="2" t="s">
        <v>639</v>
      </c>
      <c r="K97" s="3">
        <v>46440</v>
      </c>
      <c r="L97" s="2" t="s">
        <v>640</v>
      </c>
      <c r="M97" s="2" t="s">
        <v>34</v>
      </c>
      <c r="N97" s="2" t="s">
        <v>34</v>
      </c>
      <c r="O97" s="2" t="s">
        <v>34</v>
      </c>
      <c r="P97" s="2" t="s">
        <v>36</v>
      </c>
    </row>
    <row r="98" spans="1:16" x14ac:dyDescent="0.2">
      <c r="A98" s="2" t="s">
        <v>641</v>
      </c>
      <c r="B98" s="2">
        <v>6</v>
      </c>
      <c r="C98" s="2">
        <v>12</v>
      </c>
      <c r="D98" s="2" t="s">
        <v>71</v>
      </c>
      <c r="E98" s="2">
        <v>1366</v>
      </c>
      <c r="F98" s="2" t="s">
        <v>30</v>
      </c>
      <c r="G98" s="2" t="s">
        <v>642</v>
      </c>
      <c r="H98" s="2" t="s">
        <v>643</v>
      </c>
      <c r="I98" s="2" t="s">
        <v>644</v>
      </c>
      <c r="J98" s="2" t="s">
        <v>34</v>
      </c>
      <c r="K98" s="2" t="s">
        <v>34</v>
      </c>
      <c r="L98" s="2" t="s">
        <v>645</v>
      </c>
      <c r="M98" s="2" t="s">
        <v>34</v>
      </c>
      <c r="N98" s="2" t="s">
        <v>34</v>
      </c>
      <c r="O98" s="2" t="s">
        <v>34</v>
      </c>
      <c r="P98" s="2" t="s">
        <v>36</v>
      </c>
    </row>
    <row r="99" spans="1:16" x14ac:dyDescent="0.2">
      <c r="A99" s="2" t="s">
        <v>646</v>
      </c>
      <c r="B99" s="2">
        <v>6</v>
      </c>
      <c r="C99" s="2">
        <v>13</v>
      </c>
      <c r="D99" s="2" t="s">
        <v>113</v>
      </c>
      <c r="E99" s="2">
        <v>1948</v>
      </c>
      <c r="F99" s="2" t="s">
        <v>38</v>
      </c>
      <c r="G99" s="2" t="s">
        <v>31</v>
      </c>
      <c r="H99" s="2" t="s">
        <v>647</v>
      </c>
      <c r="I99" s="2" t="s">
        <v>648</v>
      </c>
      <c r="J99" s="2" t="s">
        <v>649</v>
      </c>
      <c r="K99" s="3">
        <v>46339</v>
      </c>
      <c r="L99" s="2" t="s">
        <v>650</v>
      </c>
      <c r="M99" s="2" t="s">
        <v>34</v>
      </c>
      <c r="N99" s="2" t="s">
        <v>34</v>
      </c>
      <c r="O99" s="2" t="s">
        <v>651</v>
      </c>
      <c r="P99" s="2" t="s">
        <v>36</v>
      </c>
    </row>
    <row r="100" spans="1:16" x14ac:dyDescent="0.2">
      <c r="A100" s="2" t="s">
        <v>652</v>
      </c>
      <c r="B100" s="2">
        <v>6</v>
      </c>
      <c r="C100" s="2">
        <v>14</v>
      </c>
      <c r="D100" s="2" t="s">
        <v>113</v>
      </c>
      <c r="E100" s="2">
        <v>2109</v>
      </c>
      <c r="F100" s="2" t="s">
        <v>30</v>
      </c>
      <c r="G100" s="2" t="s">
        <v>653</v>
      </c>
      <c r="H100" s="2" t="s">
        <v>654</v>
      </c>
      <c r="I100" s="2" t="s">
        <v>655</v>
      </c>
      <c r="J100" s="2" t="s">
        <v>34</v>
      </c>
      <c r="K100" s="2" t="s">
        <v>34</v>
      </c>
      <c r="L100" s="2" t="s">
        <v>656</v>
      </c>
      <c r="M100" s="2" t="s">
        <v>657</v>
      </c>
      <c r="N100" s="2" t="s">
        <v>34</v>
      </c>
      <c r="O100" s="2" t="s">
        <v>34</v>
      </c>
      <c r="P100" s="2" t="s">
        <v>36</v>
      </c>
    </row>
    <row r="101" spans="1:16" x14ac:dyDescent="0.2">
      <c r="A101" s="2" t="s">
        <v>658</v>
      </c>
      <c r="B101" s="2">
        <v>6</v>
      </c>
      <c r="C101" s="2">
        <v>15</v>
      </c>
      <c r="D101" s="2" t="s">
        <v>113</v>
      </c>
      <c r="E101" s="2">
        <v>1737</v>
      </c>
      <c r="F101" s="2" t="s">
        <v>38</v>
      </c>
      <c r="G101" s="2" t="s">
        <v>659</v>
      </c>
      <c r="H101" s="2" t="s">
        <v>660</v>
      </c>
      <c r="I101" s="2" t="s">
        <v>661</v>
      </c>
      <c r="J101" s="2" t="s">
        <v>662</v>
      </c>
      <c r="K101" s="3">
        <v>46444</v>
      </c>
      <c r="L101" s="2" t="s">
        <v>663</v>
      </c>
      <c r="M101" s="2" t="s">
        <v>664</v>
      </c>
      <c r="N101" s="2" t="s">
        <v>34</v>
      </c>
      <c r="O101" s="2" t="s">
        <v>34</v>
      </c>
      <c r="P101" s="2" t="s">
        <v>36</v>
      </c>
    </row>
    <row r="102" spans="1:16" x14ac:dyDescent="0.2">
      <c r="A102" s="2" t="s">
        <v>665</v>
      </c>
      <c r="B102" s="2">
        <v>6</v>
      </c>
      <c r="C102" s="2">
        <v>16</v>
      </c>
      <c r="D102" s="2" t="s">
        <v>113</v>
      </c>
      <c r="E102" s="2">
        <v>1758</v>
      </c>
      <c r="F102" s="2" t="s">
        <v>30</v>
      </c>
      <c r="G102" s="2" t="s">
        <v>666</v>
      </c>
      <c r="H102" s="2" t="s">
        <v>667</v>
      </c>
      <c r="I102" s="2" t="s">
        <v>668</v>
      </c>
      <c r="J102" s="2" t="s">
        <v>34</v>
      </c>
      <c r="K102" s="2" t="s">
        <v>34</v>
      </c>
      <c r="L102" s="2" t="s">
        <v>669</v>
      </c>
      <c r="M102" s="2" t="s">
        <v>34</v>
      </c>
      <c r="N102" s="2" t="s">
        <v>34</v>
      </c>
      <c r="O102" s="2" t="s">
        <v>34</v>
      </c>
      <c r="P102" s="2" t="s">
        <v>36</v>
      </c>
    </row>
    <row r="103" spans="1:16" x14ac:dyDescent="0.2">
      <c r="A103" s="2" t="s">
        <v>670</v>
      </c>
      <c r="B103" s="2">
        <v>6</v>
      </c>
      <c r="C103" s="2">
        <v>17</v>
      </c>
      <c r="D103" s="2" t="s">
        <v>144</v>
      </c>
      <c r="E103" s="2">
        <v>4191</v>
      </c>
      <c r="F103" s="2" t="s">
        <v>30</v>
      </c>
      <c r="G103" s="2" t="s">
        <v>671</v>
      </c>
      <c r="H103" s="2" t="s">
        <v>672</v>
      </c>
      <c r="I103" s="2" t="s">
        <v>673</v>
      </c>
      <c r="J103" s="2" t="s">
        <v>34</v>
      </c>
      <c r="K103" s="2" t="s">
        <v>34</v>
      </c>
      <c r="L103" s="2" t="s">
        <v>674</v>
      </c>
      <c r="M103" s="2" t="s">
        <v>675</v>
      </c>
      <c r="N103" s="2" t="s">
        <v>34</v>
      </c>
      <c r="O103" s="2" t="s">
        <v>676</v>
      </c>
      <c r="P103" s="2" t="s">
        <v>78</v>
      </c>
    </row>
    <row r="104" spans="1:16" x14ac:dyDescent="0.2">
      <c r="A104" s="2" t="s">
        <v>677</v>
      </c>
      <c r="B104" s="2">
        <v>7</v>
      </c>
      <c r="C104" s="2">
        <v>1</v>
      </c>
      <c r="D104" s="2" t="s">
        <v>29</v>
      </c>
      <c r="E104" s="2">
        <v>849</v>
      </c>
      <c r="F104" s="2" t="s">
        <v>30</v>
      </c>
      <c r="G104" s="2" t="s">
        <v>678</v>
      </c>
      <c r="H104" s="2" t="s">
        <v>679</v>
      </c>
      <c r="I104" s="2" t="s">
        <v>680</v>
      </c>
      <c r="J104" s="2" t="s">
        <v>34</v>
      </c>
      <c r="K104" s="2" t="s">
        <v>34</v>
      </c>
      <c r="L104" s="2" t="s">
        <v>681</v>
      </c>
      <c r="M104" s="2" t="s">
        <v>34</v>
      </c>
      <c r="N104" s="2" t="s">
        <v>34</v>
      </c>
      <c r="O104" s="2" t="s">
        <v>34</v>
      </c>
      <c r="P104" s="2" t="s">
        <v>36</v>
      </c>
    </row>
    <row r="105" spans="1:16" x14ac:dyDescent="0.2">
      <c r="A105" s="2" t="s">
        <v>682</v>
      </c>
      <c r="B105" s="2">
        <v>7</v>
      </c>
      <c r="C105" s="2">
        <v>2</v>
      </c>
      <c r="D105" s="2" t="s">
        <v>29</v>
      </c>
      <c r="E105" s="2">
        <v>935</v>
      </c>
      <c r="F105" s="2" t="s">
        <v>30</v>
      </c>
      <c r="G105" s="2" t="s">
        <v>683</v>
      </c>
      <c r="H105" s="2" t="s">
        <v>684</v>
      </c>
      <c r="I105" s="2" t="s">
        <v>685</v>
      </c>
      <c r="J105" s="2" t="s">
        <v>34</v>
      </c>
      <c r="K105" s="2" t="s">
        <v>34</v>
      </c>
      <c r="L105" s="2" t="s">
        <v>686</v>
      </c>
      <c r="M105" s="2" t="s">
        <v>34</v>
      </c>
      <c r="N105" s="2" t="s">
        <v>34</v>
      </c>
      <c r="O105" s="2" t="s">
        <v>687</v>
      </c>
      <c r="P105" s="2" t="s">
        <v>36</v>
      </c>
    </row>
    <row r="106" spans="1:16" x14ac:dyDescent="0.2">
      <c r="A106" s="2" t="s">
        <v>688</v>
      </c>
      <c r="B106" s="2">
        <v>7</v>
      </c>
      <c r="C106" s="2">
        <v>3</v>
      </c>
      <c r="D106" s="2" t="s">
        <v>29</v>
      </c>
      <c r="E106" s="2">
        <v>862</v>
      </c>
      <c r="F106" s="2" t="s">
        <v>30</v>
      </c>
      <c r="G106" s="2" t="s">
        <v>689</v>
      </c>
      <c r="H106" s="2" t="s">
        <v>690</v>
      </c>
      <c r="I106" s="2" t="s">
        <v>691</v>
      </c>
      <c r="J106" s="2" t="s">
        <v>34</v>
      </c>
      <c r="K106" s="2" t="s">
        <v>34</v>
      </c>
      <c r="L106" s="2" t="s">
        <v>692</v>
      </c>
      <c r="M106" s="2" t="s">
        <v>34</v>
      </c>
      <c r="N106" s="2" t="s">
        <v>34</v>
      </c>
      <c r="O106" s="2" t="s">
        <v>34</v>
      </c>
      <c r="P106" s="2" t="s">
        <v>78</v>
      </c>
    </row>
    <row r="107" spans="1:16" x14ac:dyDescent="0.2">
      <c r="A107" s="2" t="s">
        <v>693</v>
      </c>
      <c r="B107" s="2">
        <v>7</v>
      </c>
      <c r="C107" s="2">
        <v>4</v>
      </c>
      <c r="D107" s="2" t="s">
        <v>29</v>
      </c>
      <c r="E107" s="2">
        <v>867</v>
      </c>
      <c r="F107" s="2" t="s">
        <v>30</v>
      </c>
      <c r="G107" s="2" t="s">
        <v>189</v>
      </c>
      <c r="H107" s="2" t="s">
        <v>694</v>
      </c>
      <c r="I107" s="2" t="s">
        <v>695</v>
      </c>
      <c r="J107" s="2" t="s">
        <v>34</v>
      </c>
      <c r="K107" s="2" t="s">
        <v>34</v>
      </c>
      <c r="L107" s="2" t="s">
        <v>696</v>
      </c>
      <c r="M107" s="2" t="s">
        <v>34</v>
      </c>
      <c r="N107" s="2" t="s">
        <v>34</v>
      </c>
      <c r="O107" s="2" t="s">
        <v>697</v>
      </c>
      <c r="P107" s="2" t="s">
        <v>36</v>
      </c>
    </row>
    <row r="108" spans="1:16" x14ac:dyDescent="0.2">
      <c r="A108" s="2" t="s">
        <v>698</v>
      </c>
      <c r="B108" s="2">
        <v>7</v>
      </c>
      <c r="C108" s="2">
        <v>5</v>
      </c>
      <c r="D108" s="2" t="s">
        <v>29</v>
      </c>
      <c r="E108" s="2">
        <v>874</v>
      </c>
      <c r="F108" s="2" t="s">
        <v>30</v>
      </c>
      <c r="G108" s="2" t="s">
        <v>699</v>
      </c>
      <c r="H108" s="2" t="s">
        <v>700</v>
      </c>
      <c r="I108" s="2" t="s">
        <v>701</v>
      </c>
      <c r="J108" s="2" t="s">
        <v>34</v>
      </c>
      <c r="K108" s="2" t="s">
        <v>34</v>
      </c>
      <c r="L108" s="2" t="s">
        <v>702</v>
      </c>
      <c r="M108" s="2" t="s">
        <v>34</v>
      </c>
      <c r="N108" s="2" t="s">
        <v>34</v>
      </c>
      <c r="O108" s="2" t="s">
        <v>34</v>
      </c>
      <c r="P108" s="2" t="s">
        <v>36</v>
      </c>
    </row>
    <row r="109" spans="1:16" x14ac:dyDescent="0.2">
      <c r="A109" s="2" t="s">
        <v>703</v>
      </c>
      <c r="B109" s="2">
        <v>7</v>
      </c>
      <c r="C109" s="2">
        <v>6</v>
      </c>
      <c r="D109" s="2" t="s">
        <v>29</v>
      </c>
      <c r="E109" s="2">
        <v>849</v>
      </c>
      <c r="F109" s="2" t="s">
        <v>38</v>
      </c>
      <c r="G109" s="2" t="s">
        <v>704</v>
      </c>
      <c r="H109" s="2" t="s">
        <v>705</v>
      </c>
      <c r="I109" s="2" t="s">
        <v>706</v>
      </c>
      <c r="J109" s="2" t="s">
        <v>707</v>
      </c>
      <c r="K109" s="3">
        <v>46323</v>
      </c>
      <c r="L109" s="2" t="s">
        <v>708</v>
      </c>
      <c r="M109" s="2" t="s">
        <v>34</v>
      </c>
      <c r="N109" s="2" t="s">
        <v>34</v>
      </c>
      <c r="O109" s="2" t="s">
        <v>709</v>
      </c>
      <c r="P109" s="2" t="s">
        <v>36</v>
      </c>
    </row>
    <row r="110" spans="1:16" x14ac:dyDescent="0.2">
      <c r="A110" s="2" t="s">
        <v>710</v>
      </c>
      <c r="B110" s="2">
        <v>7</v>
      </c>
      <c r="C110" s="2">
        <v>7</v>
      </c>
      <c r="D110" s="2" t="s">
        <v>71</v>
      </c>
      <c r="E110" s="2">
        <v>1332</v>
      </c>
      <c r="F110" s="2" t="s">
        <v>30</v>
      </c>
      <c r="G110" s="2" t="s">
        <v>711</v>
      </c>
      <c r="H110" s="2" t="s">
        <v>712</v>
      </c>
      <c r="I110" s="2" t="s">
        <v>713</v>
      </c>
      <c r="J110" s="2" t="s">
        <v>34</v>
      </c>
      <c r="K110" s="2" t="s">
        <v>34</v>
      </c>
      <c r="L110" s="2" t="s">
        <v>714</v>
      </c>
      <c r="M110" s="2" t="s">
        <v>715</v>
      </c>
      <c r="N110" s="2" t="s">
        <v>34</v>
      </c>
      <c r="O110" s="2" t="s">
        <v>716</v>
      </c>
      <c r="P110" s="2" t="s">
        <v>36</v>
      </c>
    </row>
    <row r="111" spans="1:16" x14ac:dyDescent="0.2">
      <c r="A111" s="2" t="s">
        <v>717</v>
      </c>
      <c r="B111" s="2">
        <v>7</v>
      </c>
      <c r="C111" s="2">
        <v>8</v>
      </c>
      <c r="D111" s="2" t="s">
        <v>71</v>
      </c>
      <c r="E111" s="2">
        <v>1485</v>
      </c>
      <c r="F111" s="2" t="s">
        <v>30</v>
      </c>
      <c r="G111" s="2" t="s">
        <v>718</v>
      </c>
      <c r="H111" s="2" t="s">
        <v>719</v>
      </c>
      <c r="I111" s="2" t="s">
        <v>720</v>
      </c>
      <c r="J111" s="2" t="s">
        <v>34</v>
      </c>
      <c r="K111" s="2" t="s">
        <v>34</v>
      </c>
      <c r="L111" s="2" t="s">
        <v>721</v>
      </c>
      <c r="M111" s="2" t="s">
        <v>34</v>
      </c>
      <c r="N111" s="2" t="s">
        <v>34</v>
      </c>
      <c r="O111" s="2" t="s">
        <v>34</v>
      </c>
      <c r="P111" s="2" t="s">
        <v>78</v>
      </c>
    </row>
    <row r="112" spans="1:16" x14ac:dyDescent="0.2">
      <c r="A112" s="2" t="s">
        <v>722</v>
      </c>
      <c r="B112" s="2">
        <v>7</v>
      </c>
      <c r="C112" s="2">
        <v>9</v>
      </c>
      <c r="D112" s="2" t="s">
        <v>71</v>
      </c>
      <c r="E112" s="2">
        <v>1265</v>
      </c>
      <c r="F112" s="2" t="s">
        <v>30</v>
      </c>
      <c r="G112" s="2" t="s">
        <v>723</v>
      </c>
      <c r="H112" s="2" t="s">
        <v>724</v>
      </c>
      <c r="I112" s="2" t="s">
        <v>725</v>
      </c>
      <c r="J112" s="2" t="s">
        <v>34</v>
      </c>
      <c r="K112" s="2" t="s">
        <v>34</v>
      </c>
      <c r="L112" s="2" t="s">
        <v>726</v>
      </c>
      <c r="M112" s="2" t="s">
        <v>727</v>
      </c>
      <c r="N112" s="2" t="s">
        <v>34</v>
      </c>
      <c r="O112" s="2" t="s">
        <v>728</v>
      </c>
      <c r="P112" s="2" t="s">
        <v>36</v>
      </c>
    </row>
    <row r="113" spans="1:16" x14ac:dyDescent="0.2">
      <c r="A113" s="2" t="s">
        <v>729</v>
      </c>
      <c r="B113" s="2">
        <v>7</v>
      </c>
      <c r="C113" s="2">
        <v>10</v>
      </c>
      <c r="D113" s="2" t="s">
        <v>71</v>
      </c>
      <c r="E113" s="2">
        <v>1279</v>
      </c>
      <c r="F113" s="2" t="s">
        <v>30</v>
      </c>
      <c r="G113" s="2" t="s">
        <v>730</v>
      </c>
      <c r="H113" s="2" t="s">
        <v>731</v>
      </c>
      <c r="I113" s="2" t="s">
        <v>732</v>
      </c>
      <c r="J113" s="2" t="s">
        <v>34</v>
      </c>
      <c r="K113" s="2" t="s">
        <v>34</v>
      </c>
      <c r="L113" s="2" t="s">
        <v>733</v>
      </c>
      <c r="M113" s="2" t="s">
        <v>34</v>
      </c>
      <c r="N113" s="2" t="s">
        <v>34</v>
      </c>
      <c r="O113" s="2" t="s">
        <v>734</v>
      </c>
      <c r="P113" s="2" t="s">
        <v>36</v>
      </c>
    </row>
    <row r="114" spans="1:16" x14ac:dyDescent="0.2">
      <c r="A114" s="2" t="s">
        <v>735</v>
      </c>
      <c r="B114" s="2">
        <v>7</v>
      </c>
      <c r="C114" s="2">
        <v>11</v>
      </c>
      <c r="D114" s="2" t="s">
        <v>71</v>
      </c>
      <c r="E114" s="2">
        <v>1469</v>
      </c>
      <c r="F114" s="2" t="s">
        <v>30</v>
      </c>
      <c r="G114" s="2" t="s">
        <v>736</v>
      </c>
      <c r="H114" s="2" t="s">
        <v>737</v>
      </c>
      <c r="I114" s="2" t="s">
        <v>738</v>
      </c>
      <c r="J114" s="2" t="s">
        <v>34</v>
      </c>
      <c r="K114" s="2" t="s">
        <v>34</v>
      </c>
      <c r="L114" s="2" t="s">
        <v>739</v>
      </c>
      <c r="M114" s="2" t="s">
        <v>740</v>
      </c>
      <c r="N114" s="2" t="s">
        <v>34</v>
      </c>
      <c r="O114" s="2" t="s">
        <v>741</v>
      </c>
      <c r="P114" s="2" t="s">
        <v>36</v>
      </c>
    </row>
    <row r="115" spans="1:16" x14ac:dyDescent="0.2">
      <c r="A115" s="2" t="s">
        <v>742</v>
      </c>
      <c r="B115" s="2">
        <v>7</v>
      </c>
      <c r="C115" s="2">
        <v>12</v>
      </c>
      <c r="D115" s="2" t="s">
        <v>71</v>
      </c>
      <c r="E115" s="2">
        <v>1461</v>
      </c>
      <c r="F115" s="2" t="s">
        <v>30</v>
      </c>
      <c r="G115" s="2" t="s">
        <v>743</v>
      </c>
      <c r="H115" s="2" t="s">
        <v>744</v>
      </c>
      <c r="I115" s="2" t="s">
        <v>745</v>
      </c>
      <c r="J115" s="2" t="s">
        <v>34</v>
      </c>
      <c r="K115" s="2" t="s">
        <v>34</v>
      </c>
      <c r="L115" s="2" t="s">
        <v>746</v>
      </c>
      <c r="M115" s="2" t="s">
        <v>747</v>
      </c>
      <c r="N115" s="2" t="s">
        <v>34</v>
      </c>
      <c r="O115" s="2" t="s">
        <v>34</v>
      </c>
      <c r="P115" s="2" t="s">
        <v>36</v>
      </c>
    </row>
    <row r="116" spans="1:16" x14ac:dyDescent="0.2">
      <c r="A116" s="2" t="s">
        <v>748</v>
      </c>
      <c r="B116" s="2">
        <v>7</v>
      </c>
      <c r="C116" s="2">
        <v>13</v>
      </c>
      <c r="D116" s="2" t="s">
        <v>113</v>
      </c>
      <c r="E116" s="2">
        <v>1873</v>
      </c>
      <c r="F116" s="2" t="s">
        <v>30</v>
      </c>
      <c r="G116" s="2" t="s">
        <v>749</v>
      </c>
      <c r="H116" s="2" t="s">
        <v>750</v>
      </c>
      <c r="I116" s="2" t="s">
        <v>751</v>
      </c>
      <c r="J116" s="2" t="s">
        <v>34</v>
      </c>
      <c r="K116" s="2" t="s">
        <v>34</v>
      </c>
      <c r="L116" s="2" t="s">
        <v>752</v>
      </c>
      <c r="M116" s="2" t="s">
        <v>34</v>
      </c>
      <c r="N116" s="2" t="s">
        <v>34</v>
      </c>
      <c r="O116" s="2" t="s">
        <v>753</v>
      </c>
      <c r="P116" s="2" t="s">
        <v>36</v>
      </c>
    </row>
    <row r="117" spans="1:16" x14ac:dyDescent="0.2">
      <c r="A117" s="2" t="s">
        <v>754</v>
      </c>
      <c r="B117" s="2">
        <v>7</v>
      </c>
      <c r="C117" s="2">
        <v>14</v>
      </c>
      <c r="D117" s="2" t="s">
        <v>113</v>
      </c>
      <c r="E117" s="2">
        <v>2099</v>
      </c>
      <c r="F117" s="2" t="s">
        <v>38</v>
      </c>
      <c r="G117" s="2" t="s">
        <v>562</v>
      </c>
      <c r="H117" s="2" t="s">
        <v>755</v>
      </c>
      <c r="I117" s="2" t="s">
        <v>756</v>
      </c>
      <c r="J117" s="2" t="s">
        <v>757</v>
      </c>
      <c r="K117" s="3">
        <v>46406</v>
      </c>
      <c r="L117" s="2" t="s">
        <v>758</v>
      </c>
      <c r="M117" s="2" t="s">
        <v>34</v>
      </c>
      <c r="N117" s="2" t="s">
        <v>34</v>
      </c>
      <c r="O117" s="2" t="s">
        <v>34</v>
      </c>
      <c r="P117" s="2" t="s">
        <v>36</v>
      </c>
    </row>
    <row r="118" spans="1:16" x14ac:dyDescent="0.2">
      <c r="A118" s="2" t="s">
        <v>759</v>
      </c>
      <c r="B118" s="2">
        <v>7</v>
      </c>
      <c r="C118" s="2">
        <v>15</v>
      </c>
      <c r="D118" s="2" t="s">
        <v>113</v>
      </c>
      <c r="E118" s="2">
        <v>1710</v>
      </c>
      <c r="F118" s="2" t="s">
        <v>30</v>
      </c>
      <c r="G118" s="2" t="s">
        <v>760</v>
      </c>
      <c r="H118" s="2" t="s">
        <v>761</v>
      </c>
      <c r="I118" s="2" t="s">
        <v>762</v>
      </c>
      <c r="J118" s="2" t="s">
        <v>34</v>
      </c>
      <c r="K118" s="2" t="s">
        <v>34</v>
      </c>
      <c r="L118" s="2" t="s">
        <v>763</v>
      </c>
      <c r="M118" s="2" t="s">
        <v>764</v>
      </c>
      <c r="N118" s="2" t="s">
        <v>34</v>
      </c>
      <c r="O118" s="2" t="s">
        <v>765</v>
      </c>
      <c r="P118" s="2" t="s">
        <v>36</v>
      </c>
    </row>
    <row r="119" spans="1:16" x14ac:dyDescent="0.2">
      <c r="A119" s="2" t="s">
        <v>766</v>
      </c>
      <c r="B119" s="2">
        <v>7</v>
      </c>
      <c r="C119" s="2">
        <v>16</v>
      </c>
      <c r="D119" s="2" t="s">
        <v>113</v>
      </c>
      <c r="E119" s="2">
        <v>1747</v>
      </c>
      <c r="F119" s="2" t="s">
        <v>38</v>
      </c>
      <c r="G119" s="2" t="s">
        <v>767</v>
      </c>
      <c r="H119" s="2" t="s">
        <v>768</v>
      </c>
      <c r="I119" s="2" t="s">
        <v>769</v>
      </c>
      <c r="J119" s="2" t="s">
        <v>770</v>
      </c>
      <c r="K119" s="3">
        <v>46265</v>
      </c>
      <c r="L119" s="2" t="s">
        <v>771</v>
      </c>
      <c r="M119" s="2" t="s">
        <v>772</v>
      </c>
      <c r="N119" s="2" t="s">
        <v>34</v>
      </c>
      <c r="O119" s="2" t="s">
        <v>34</v>
      </c>
      <c r="P119" s="2" t="s">
        <v>36</v>
      </c>
    </row>
    <row r="120" spans="1:16" x14ac:dyDescent="0.2">
      <c r="A120" s="2" t="s">
        <v>773</v>
      </c>
      <c r="B120" s="2">
        <v>7</v>
      </c>
      <c r="C120" s="2">
        <v>17</v>
      </c>
      <c r="D120" s="2" t="s">
        <v>144</v>
      </c>
      <c r="E120" s="2">
        <v>3091</v>
      </c>
      <c r="F120" s="2" t="s">
        <v>30</v>
      </c>
      <c r="G120" s="2" t="s">
        <v>220</v>
      </c>
      <c r="H120" s="2" t="s">
        <v>774</v>
      </c>
      <c r="I120" s="2" t="s">
        <v>775</v>
      </c>
      <c r="J120" s="2" t="s">
        <v>34</v>
      </c>
      <c r="K120" s="2" t="s">
        <v>34</v>
      </c>
      <c r="L120" s="2" t="s">
        <v>776</v>
      </c>
      <c r="M120" s="2" t="s">
        <v>777</v>
      </c>
      <c r="N120" s="2" t="s">
        <v>34</v>
      </c>
      <c r="O120" s="2" t="s">
        <v>34</v>
      </c>
      <c r="P120" s="2" t="s">
        <v>36</v>
      </c>
    </row>
    <row r="121" spans="1:16" x14ac:dyDescent="0.2">
      <c r="A121" s="2" t="s">
        <v>778</v>
      </c>
      <c r="B121" s="2">
        <v>8</v>
      </c>
      <c r="C121" s="2">
        <v>1</v>
      </c>
      <c r="D121" s="2" t="s">
        <v>29</v>
      </c>
      <c r="E121" s="2">
        <v>951</v>
      </c>
      <c r="F121" s="2" t="s">
        <v>38</v>
      </c>
      <c r="G121" s="2" t="s">
        <v>779</v>
      </c>
      <c r="H121" s="2" t="s">
        <v>780</v>
      </c>
      <c r="I121" s="2" t="s">
        <v>781</v>
      </c>
      <c r="J121" s="2" t="s">
        <v>782</v>
      </c>
      <c r="K121" s="3">
        <v>46487</v>
      </c>
      <c r="L121" s="2" t="s">
        <v>783</v>
      </c>
      <c r="M121" s="2" t="s">
        <v>34</v>
      </c>
      <c r="N121" s="2" t="s">
        <v>34</v>
      </c>
      <c r="O121" s="2" t="s">
        <v>34</v>
      </c>
      <c r="P121" s="2" t="s">
        <v>36</v>
      </c>
    </row>
    <row r="122" spans="1:16" x14ac:dyDescent="0.2">
      <c r="A122" s="2" t="s">
        <v>784</v>
      </c>
      <c r="B122" s="2">
        <v>8</v>
      </c>
      <c r="C122" s="2">
        <v>2</v>
      </c>
      <c r="D122" s="2" t="s">
        <v>29</v>
      </c>
      <c r="E122" s="2">
        <v>911</v>
      </c>
      <c r="F122" s="2" t="s">
        <v>30</v>
      </c>
      <c r="G122" s="2" t="s">
        <v>785</v>
      </c>
      <c r="H122" s="2" t="s">
        <v>786</v>
      </c>
      <c r="I122" s="2" t="s">
        <v>787</v>
      </c>
      <c r="J122" s="2" t="s">
        <v>34</v>
      </c>
      <c r="K122" s="2" t="s">
        <v>34</v>
      </c>
      <c r="L122" s="2" t="s">
        <v>788</v>
      </c>
      <c r="M122" s="2" t="s">
        <v>34</v>
      </c>
      <c r="N122" s="2" t="s">
        <v>34</v>
      </c>
      <c r="O122" s="2" t="s">
        <v>789</v>
      </c>
      <c r="P122" s="2" t="s">
        <v>78</v>
      </c>
    </row>
    <row r="123" spans="1:16" x14ac:dyDescent="0.2">
      <c r="A123" s="2" t="s">
        <v>790</v>
      </c>
      <c r="B123" s="2">
        <v>8</v>
      </c>
      <c r="C123" s="2">
        <v>3</v>
      </c>
      <c r="D123" s="2" t="s">
        <v>29</v>
      </c>
      <c r="E123" s="2">
        <v>906</v>
      </c>
      <c r="F123" s="2" t="s">
        <v>38</v>
      </c>
      <c r="G123" s="2" t="s">
        <v>791</v>
      </c>
      <c r="H123" s="2" t="s">
        <v>792</v>
      </c>
      <c r="I123" s="2" t="s">
        <v>793</v>
      </c>
      <c r="J123" s="2" t="s">
        <v>794</v>
      </c>
      <c r="K123" s="3">
        <v>46486</v>
      </c>
      <c r="L123" s="2" t="s">
        <v>795</v>
      </c>
      <c r="M123" s="2" t="s">
        <v>34</v>
      </c>
      <c r="N123" s="2" t="s">
        <v>34</v>
      </c>
      <c r="O123" s="2" t="s">
        <v>796</v>
      </c>
      <c r="P123" s="2" t="s">
        <v>78</v>
      </c>
    </row>
    <row r="124" spans="1:16" x14ac:dyDescent="0.2">
      <c r="A124" s="2" t="s">
        <v>797</v>
      </c>
      <c r="B124" s="2">
        <v>8</v>
      </c>
      <c r="C124" s="2">
        <v>4</v>
      </c>
      <c r="D124" s="2" t="s">
        <v>29</v>
      </c>
      <c r="E124" s="2">
        <v>824</v>
      </c>
      <c r="F124" s="2" t="s">
        <v>30</v>
      </c>
      <c r="G124" s="2" t="s">
        <v>798</v>
      </c>
      <c r="H124" s="2" t="s">
        <v>799</v>
      </c>
      <c r="I124" s="2" t="s">
        <v>800</v>
      </c>
      <c r="J124" s="2" t="s">
        <v>34</v>
      </c>
      <c r="K124" s="2" t="s">
        <v>34</v>
      </c>
      <c r="L124" s="2" t="s">
        <v>801</v>
      </c>
      <c r="M124" s="2" t="s">
        <v>34</v>
      </c>
      <c r="N124" s="2" t="s">
        <v>34</v>
      </c>
      <c r="O124" s="2" t="s">
        <v>34</v>
      </c>
      <c r="P124" s="2" t="s">
        <v>78</v>
      </c>
    </row>
    <row r="125" spans="1:16" x14ac:dyDescent="0.2">
      <c r="A125" s="2" t="s">
        <v>802</v>
      </c>
      <c r="B125" s="2">
        <v>8</v>
      </c>
      <c r="C125" s="2">
        <v>5</v>
      </c>
      <c r="D125" s="2" t="s">
        <v>29</v>
      </c>
      <c r="E125" s="2">
        <v>897</v>
      </c>
      <c r="F125" s="2" t="s">
        <v>30</v>
      </c>
      <c r="G125" s="2" t="s">
        <v>803</v>
      </c>
      <c r="H125" s="2" t="s">
        <v>804</v>
      </c>
      <c r="I125" s="2" t="s">
        <v>805</v>
      </c>
      <c r="J125" s="2" t="s">
        <v>34</v>
      </c>
      <c r="K125" s="2" t="s">
        <v>34</v>
      </c>
      <c r="L125" s="2" t="s">
        <v>806</v>
      </c>
      <c r="M125" s="2" t="s">
        <v>34</v>
      </c>
      <c r="N125" s="2" t="s">
        <v>34</v>
      </c>
      <c r="O125" s="2" t="s">
        <v>807</v>
      </c>
      <c r="P125" s="2" t="s">
        <v>36</v>
      </c>
    </row>
    <row r="126" spans="1:16" x14ac:dyDescent="0.2">
      <c r="A126" s="2" t="s">
        <v>808</v>
      </c>
      <c r="B126" s="2">
        <v>8</v>
      </c>
      <c r="C126" s="2">
        <v>6</v>
      </c>
      <c r="D126" s="2" t="s">
        <v>29</v>
      </c>
      <c r="E126" s="2">
        <v>921</v>
      </c>
      <c r="F126" s="2" t="s">
        <v>30</v>
      </c>
      <c r="G126" s="2" t="s">
        <v>227</v>
      </c>
      <c r="H126" s="2" t="s">
        <v>809</v>
      </c>
      <c r="I126" s="2" t="s">
        <v>810</v>
      </c>
      <c r="J126" s="2" t="s">
        <v>34</v>
      </c>
      <c r="K126" s="2" t="s">
        <v>34</v>
      </c>
      <c r="L126" s="2" t="s">
        <v>811</v>
      </c>
      <c r="M126" s="2" t="s">
        <v>34</v>
      </c>
      <c r="N126" s="2" t="s">
        <v>34</v>
      </c>
      <c r="O126" s="2" t="s">
        <v>812</v>
      </c>
      <c r="P126" s="2" t="s">
        <v>36</v>
      </c>
    </row>
    <row r="127" spans="1:16" x14ac:dyDescent="0.2">
      <c r="A127" s="2" t="s">
        <v>813</v>
      </c>
      <c r="B127" s="2">
        <v>8</v>
      </c>
      <c r="C127" s="2">
        <v>7</v>
      </c>
      <c r="D127" s="2" t="s">
        <v>71</v>
      </c>
      <c r="E127" s="2">
        <v>1295</v>
      </c>
      <c r="F127" s="2" t="s">
        <v>30</v>
      </c>
      <c r="G127" s="2" t="s">
        <v>814</v>
      </c>
      <c r="H127" s="2" t="s">
        <v>815</v>
      </c>
      <c r="I127" s="2" t="s">
        <v>816</v>
      </c>
      <c r="J127" s="2" t="s">
        <v>34</v>
      </c>
      <c r="K127" s="2" t="s">
        <v>34</v>
      </c>
      <c r="L127" s="2" t="s">
        <v>817</v>
      </c>
      <c r="M127" s="2" t="s">
        <v>818</v>
      </c>
      <c r="N127" s="2" t="s">
        <v>34</v>
      </c>
      <c r="O127" s="2" t="s">
        <v>819</v>
      </c>
      <c r="P127" s="2" t="s">
        <v>36</v>
      </c>
    </row>
    <row r="128" spans="1:16" x14ac:dyDescent="0.2">
      <c r="A128" s="2" t="s">
        <v>820</v>
      </c>
      <c r="B128" s="2">
        <v>8</v>
      </c>
      <c r="C128" s="2">
        <v>8</v>
      </c>
      <c r="D128" s="2" t="s">
        <v>71</v>
      </c>
      <c r="E128" s="2">
        <v>1216</v>
      </c>
      <c r="F128" s="2" t="s">
        <v>30</v>
      </c>
      <c r="G128" s="2" t="s">
        <v>821</v>
      </c>
      <c r="H128" s="2" t="s">
        <v>822</v>
      </c>
      <c r="I128" s="2" t="s">
        <v>823</v>
      </c>
      <c r="J128" s="2" t="s">
        <v>34</v>
      </c>
      <c r="K128" s="2" t="s">
        <v>34</v>
      </c>
      <c r="L128" s="2" t="s">
        <v>824</v>
      </c>
      <c r="M128" s="2" t="s">
        <v>825</v>
      </c>
      <c r="N128" s="2" t="s">
        <v>34</v>
      </c>
      <c r="O128" s="2" t="s">
        <v>826</v>
      </c>
      <c r="P128" s="2" t="s">
        <v>36</v>
      </c>
    </row>
    <row r="129" spans="1:16" x14ac:dyDescent="0.2">
      <c r="A129" s="2" t="s">
        <v>827</v>
      </c>
      <c r="B129" s="2">
        <v>8</v>
      </c>
      <c r="C129" s="2">
        <v>9</v>
      </c>
      <c r="D129" s="2" t="s">
        <v>71</v>
      </c>
      <c r="E129" s="2">
        <v>1508</v>
      </c>
      <c r="F129" s="2" t="s">
        <v>30</v>
      </c>
      <c r="G129" s="2" t="s">
        <v>828</v>
      </c>
      <c r="H129" s="2" t="s">
        <v>829</v>
      </c>
      <c r="I129" s="2" t="s">
        <v>830</v>
      </c>
      <c r="J129" s="2" t="s">
        <v>34</v>
      </c>
      <c r="K129" s="2" t="s">
        <v>34</v>
      </c>
      <c r="L129" s="2" t="s">
        <v>831</v>
      </c>
      <c r="M129" s="2" t="s">
        <v>34</v>
      </c>
      <c r="N129" s="2" t="s">
        <v>34</v>
      </c>
      <c r="O129" s="2" t="s">
        <v>34</v>
      </c>
      <c r="P129" s="2" t="s">
        <v>36</v>
      </c>
    </row>
    <row r="130" spans="1:16" x14ac:dyDescent="0.2">
      <c r="A130" s="2" t="s">
        <v>832</v>
      </c>
      <c r="B130" s="2">
        <v>8</v>
      </c>
      <c r="C130" s="2">
        <v>10</v>
      </c>
      <c r="D130" s="2" t="s">
        <v>71</v>
      </c>
      <c r="E130" s="2">
        <v>1390</v>
      </c>
      <c r="F130" s="2" t="s">
        <v>30</v>
      </c>
      <c r="G130" s="2" t="s">
        <v>267</v>
      </c>
      <c r="H130" s="2" t="s">
        <v>833</v>
      </c>
      <c r="I130" s="2" t="s">
        <v>834</v>
      </c>
      <c r="J130" s="2" t="s">
        <v>34</v>
      </c>
      <c r="K130" s="2" t="s">
        <v>34</v>
      </c>
      <c r="L130" s="2" t="s">
        <v>835</v>
      </c>
      <c r="M130" s="2" t="s">
        <v>34</v>
      </c>
      <c r="N130" s="2" t="s">
        <v>34</v>
      </c>
      <c r="O130" s="2" t="s">
        <v>34</v>
      </c>
      <c r="P130" s="2" t="s">
        <v>78</v>
      </c>
    </row>
    <row r="131" spans="1:16" x14ac:dyDescent="0.2">
      <c r="A131" s="2" t="s">
        <v>836</v>
      </c>
      <c r="B131" s="2">
        <v>8</v>
      </c>
      <c r="C131" s="2">
        <v>11</v>
      </c>
      <c r="D131" s="2" t="s">
        <v>71</v>
      </c>
      <c r="E131" s="2">
        <v>1251</v>
      </c>
      <c r="F131" s="2" t="s">
        <v>30</v>
      </c>
      <c r="G131" s="2" t="s">
        <v>837</v>
      </c>
      <c r="H131" s="2" t="s">
        <v>838</v>
      </c>
      <c r="I131" s="2" t="s">
        <v>839</v>
      </c>
      <c r="J131" s="2" t="s">
        <v>34</v>
      </c>
      <c r="K131" s="2" t="s">
        <v>34</v>
      </c>
      <c r="L131" s="2" t="s">
        <v>840</v>
      </c>
      <c r="M131" s="2" t="s">
        <v>34</v>
      </c>
      <c r="N131" s="2" t="s">
        <v>34</v>
      </c>
      <c r="O131" s="2" t="s">
        <v>34</v>
      </c>
      <c r="P131" s="2" t="s">
        <v>78</v>
      </c>
    </row>
    <row r="132" spans="1:16" x14ac:dyDescent="0.2">
      <c r="A132" s="2" t="s">
        <v>841</v>
      </c>
      <c r="B132" s="2">
        <v>8</v>
      </c>
      <c r="C132" s="2">
        <v>12</v>
      </c>
      <c r="D132" s="2" t="s">
        <v>71</v>
      </c>
      <c r="E132" s="2">
        <v>1517</v>
      </c>
      <c r="F132" s="2" t="s">
        <v>30</v>
      </c>
      <c r="G132" s="2" t="s">
        <v>842</v>
      </c>
      <c r="H132" s="2" t="s">
        <v>843</v>
      </c>
      <c r="I132" s="2" t="s">
        <v>844</v>
      </c>
      <c r="J132" s="2" t="s">
        <v>34</v>
      </c>
      <c r="K132" s="2" t="s">
        <v>34</v>
      </c>
      <c r="L132" s="2" t="s">
        <v>845</v>
      </c>
      <c r="M132" s="2" t="s">
        <v>34</v>
      </c>
      <c r="N132" s="2" t="s">
        <v>846</v>
      </c>
      <c r="O132" s="2" t="s">
        <v>847</v>
      </c>
      <c r="P132" s="2" t="s">
        <v>78</v>
      </c>
    </row>
    <row r="133" spans="1:16" x14ac:dyDescent="0.2">
      <c r="A133" s="2" t="s">
        <v>848</v>
      </c>
      <c r="B133" s="2">
        <v>8</v>
      </c>
      <c r="C133" s="2">
        <v>13</v>
      </c>
      <c r="D133" s="2" t="s">
        <v>113</v>
      </c>
      <c r="E133" s="2">
        <v>2045</v>
      </c>
      <c r="F133" s="2" t="s">
        <v>30</v>
      </c>
      <c r="G133" s="2" t="s">
        <v>849</v>
      </c>
      <c r="H133" s="2" t="s">
        <v>850</v>
      </c>
      <c r="I133" s="2" t="s">
        <v>851</v>
      </c>
      <c r="J133" s="2" t="s">
        <v>34</v>
      </c>
      <c r="K133" s="2" t="s">
        <v>34</v>
      </c>
      <c r="L133" s="2" t="s">
        <v>852</v>
      </c>
      <c r="M133" s="2" t="s">
        <v>853</v>
      </c>
      <c r="N133" s="2" t="s">
        <v>854</v>
      </c>
      <c r="O133" s="2" t="s">
        <v>34</v>
      </c>
      <c r="P133" s="2" t="s">
        <v>36</v>
      </c>
    </row>
    <row r="134" spans="1:16" x14ac:dyDescent="0.2">
      <c r="A134" s="2" t="s">
        <v>855</v>
      </c>
      <c r="B134" s="2">
        <v>8</v>
      </c>
      <c r="C134" s="2">
        <v>14</v>
      </c>
      <c r="D134" s="2" t="s">
        <v>113</v>
      </c>
      <c r="E134" s="2">
        <v>2046</v>
      </c>
      <c r="F134" s="2" t="s">
        <v>30</v>
      </c>
      <c r="G134" s="2" t="s">
        <v>856</v>
      </c>
      <c r="H134" s="2" t="s">
        <v>857</v>
      </c>
      <c r="I134" s="2" t="s">
        <v>858</v>
      </c>
      <c r="J134" s="2" t="s">
        <v>34</v>
      </c>
      <c r="K134" s="2" t="s">
        <v>34</v>
      </c>
      <c r="L134" s="2" t="s">
        <v>859</v>
      </c>
      <c r="M134" s="2" t="s">
        <v>860</v>
      </c>
      <c r="N134" s="2" t="s">
        <v>34</v>
      </c>
      <c r="O134" s="2" t="s">
        <v>34</v>
      </c>
      <c r="P134" s="2" t="s">
        <v>36</v>
      </c>
    </row>
    <row r="135" spans="1:16" x14ac:dyDescent="0.2">
      <c r="A135" s="2" t="s">
        <v>861</v>
      </c>
      <c r="B135" s="2">
        <v>8</v>
      </c>
      <c r="C135" s="2">
        <v>15</v>
      </c>
      <c r="D135" s="2" t="s">
        <v>113</v>
      </c>
      <c r="E135" s="2">
        <v>1664</v>
      </c>
      <c r="F135" s="2" t="s">
        <v>30</v>
      </c>
      <c r="G135" s="2" t="s">
        <v>770</v>
      </c>
      <c r="H135" s="2" t="s">
        <v>862</v>
      </c>
      <c r="I135" s="2" t="s">
        <v>863</v>
      </c>
      <c r="J135" s="2" t="s">
        <v>34</v>
      </c>
      <c r="K135" s="2" t="s">
        <v>34</v>
      </c>
      <c r="L135" s="2" t="s">
        <v>864</v>
      </c>
      <c r="M135" s="2" t="s">
        <v>34</v>
      </c>
      <c r="N135" s="2" t="s">
        <v>34</v>
      </c>
      <c r="O135" s="2" t="s">
        <v>865</v>
      </c>
      <c r="P135" s="2" t="s">
        <v>36</v>
      </c>
    </row>
    <row r="136" spans="1:16" x14ac:dyDescent="0.2">
      <c r="A136" s="2" t="s">
        <v>866</v>
      </c>
      <c r="B136" s="2">
        <v>8</v>
      </c>
      <c r="C136" s="2">
        <v>16</v>
      </c>
      <c r="D136" s="2" t="s">
        <v>113</v>
      </c>
      <c r="E136" s="2">
        <v>2061</v>
      </c>
      <c r="F136" s="2" t="s">
        <v>30</v>
      </c>
      <c r="G136" s="2" t="s">
        <v>867</v>
      </c>
      <c r="H136" s="2" t="s">
        <v>868</v>
      </c>
      <c r="I136" s="2" t="s">
        <v>869</v>
      </c>
      <c r="J136" s="2" t="s">
        <v>34</v>
      </c>
      <c r="K136" s="2" t="s">
        <v>34</v>
      </c>
      <c r="L136" s="2" t="s">
        <v>870</v>
      </c>
      <c r="M136" s="2" t="s">
        <v>871</v>
      </c>
      <c r="N136" s="2" t="s">
        <v>872</v>
      </c>
      <c r="O136" s="2" t="s">
        <v>873</v>
      </c>
      <c r="P136" s="2" t="s">
        <v>78</v>
      </c>
    </row>
    <row r="137" spans="1:16" x14ac:dyDescent="0.2">
      <c r="A137" s="2" t="s">
        <v>874</v>
      </c>
      <c r="B137" s="2">
        <v>8</v>
      </c>
      <c r="C137" s="2">
        <v>17</v>
      </c>
      <c r="D137" s="2" t="s">
        <v>144</v>
      </c>
      <c r="E137" s="2">
        <v>3600</v>
      </c>
      <c r="F137" s="2" t="s">
        <v>30</v>
      </c>
      <c r="G137" s="2" t="s">
        <v>875</v>
      </c>
      <c r="H137" s="2" t="s">
        <v>876</v>
      </c>
      <c r="I137" s="2" t="s">
        <v>877</v>
      </c>
      <c r="J137" s="2" t="s">
        <v>34</v>
      </c>
      <c r="K137" s="2" t="s">
        <v>34</v>
      </c>
      <c r="L137" s="2" t="s">
        <v>878</v>
      </c>
      <c r="M137" s="2" t="s">
        <v>879</v>
      </c>
      <c r="N137" s="2" t="s">
        <v>34</v>
      </c>
      <c r="O137" s="2" t="s">
        <v>880</v>
      </c>
      <c r="P137" s="2" t="s">
        <v>78</v>
      </c>
    </row>
    <row r="138" spans="1:16" x14ac:dyDescent="0.2">
      <c r="A138" s="2" t="s">
        <v>881</v>
      </c>
      <c r="B138" s="2">
        <v>9</v>
      </c>
      <c r="C138" s="2">
        <v>1</v>
      </c>
      <c r="D138" s="2" t="s">
        <v>29</v>
      </c>
      <c r="E138" s="2">
        <v>881</v>
      </c>
      <c r="F138" s="2" t="s">
        <v>38</v>
      </c>
      <c r="G138" s="2" t="s">
        <v>882</v>
      </c>
      <c r="H138" s="2" t="s">
        <v>883</v>
      </c>
      <c r="I138" s="2" t="s">
        <v>884</v>
      </c>
      <c r="J138" s="2" t="s">
        <v>885</v>
      </c>
      <c r="K138" s="3">
        <v>46134</v>
      </c>
      <c r="L138" s="2" t="s">
        <v>886</v>
      </c>
      <c r="M138" s="2" t="s">
        <v>34</v>
      </c>
      <c r="N138" s="2" t="s">
        <v>34</v>
      </c>
      <c r="O138" s="2" t="s">
        <v>34</v>
      </c>
      <c r="P138" s="2" t="s">
        <v>36</v>
      </c>
    </row>
    <row r="139" spans="1:16" x14ac:dyDescent="0.2">
      <c r="A139" s="2" t="s">
        <v>887</v>
      </c>
      <c r="B139" s="2">
        <v>9</v>
      </c>
      <c r="C139" s="2">
        <v>2</v>
      </c>
      <c r="D139" s="2" t="s">
        <v>29</v>
      </c>
      <c r="E139" s="2">
        <v>823</v>
      </c>
      <c r="F139" s="2" t="s">
        <v>30</v>
      </c>
      <c r="G139" s="2" t="s">
        <v>888</v>
      </c>
      <c r="H139" s="2" t="s">
        <v>889</v>
      </c>
      <c r="I139" s="2" t="s">
        <v>890</v>
      </c>
      <c r="J139" s="2" t="s">
        <v>34</v>
      </c>
      <c r="K139" s="2" t="s">
        <v>34</v>
      </c>
      <c r="L139" s="2" t="s">
        <v>891</v>
      </c>
      <c r="M139" s="2" t="s">
        <v>34</v>
      </c>
      <c r="N139" s="2" t="s">
        <v>34</v>
      </c>
      <c r="O139" s="2" t="s">
        <v>34</v>
      </c>
      <c r="P139" s="2" t="s">
        <v>36</v>
      </c>
    </row>
    <row r="140" spans="1:16" x14ac:dyDescent="0.2">
      <c r="A140" s="2" t="s">
        <v>892</v>
      </c>
      <c r="B140" s="2">
        <v>9</v>
      </c>
      <c r="C140" s="2">
        <v>3</v>
      </c>
      <c r="D140" s="2" t="s">
        <v>29</v>
      </c>
      <c r="E140" s="2">
        <v>915</v>
      </c>
      <c r="F140" s="2" t="s">
        <v>38</v>
      </c>
      <c r="G140" s="2" t="s">
        <v>893</v>
      </c>
      <c r="H140" s="2" t="s">
        <v>894</v>
      </c>
      <c r="I140" s="2" t="s">
        <v>895</v>
      </c>
      <c r="J140" s="2" t="s">
        <v>767</v>
      </c>
      <c r="K140" s="3">
        <v>46261</v>
      </c>
      <c r="L140" s="2" t="s">
        <v>896</v>
      </c>
      <c r="M140" s="2" t="s">
        <v>34</v>
      </c>
      <c r="N140" s="2" t="s">
        <v>34</v>
      </c>
      <c r="O140" s="2" t="s">
        <v>897</v>
      </c>
      <c r="P140" s="2" t="s">
        <v>36</v>
      </c>
    </row>
    <row r="141" spans="1:16" x14ac:dyDescent="0.2">
      <c r="A141" s="2" t="s">
        <v>898</v>
      </c>
      <c r="B141" s="2">
        <v>9</v>
      </c>
      <c r="C141" s="2">
        <v>4</v>
      </c>
      <c r="D141" s="2" t="s">
        <v>29</v>
      </c>
      <c r="E141" s="2">
        <v>839</v>
      </c>
      <c r="F141" s="2" t="s">
        <v>30</v>
      </c>
      <c r="G141" s="2" t="s">
        <v>899</v>
      </c>
      <c r="H141" s="2" t="s">
        <v>900</v>
      </c>
      <c r="I141" s="2" t="s">
        <v>901</v>
      </c>
      <c r="J141" s="2" t="s">
        <v>34</v>
      </c>
      <c r="K141" s="2" t="s">
        <v>34</v>
      </c>
      <c r="L141" s="2" t="s">
        <v>902</v>
      </c>
      <c r="M141" s="2" t="s">
        <v>34</v>
      </c>
      <c r="N141" s="2" t="s">
        <v>34</v>
      </c>
      <c r="O141" s="2" t="s">
        <v>34</v>
      </c>
      <c r="P141" s="2" t="s">
        <v>36</v>
      </c>
    </row>
    <row r="142" spans="1:16" x14ac:dyDescent="0.2">
      <c r="A142" s="2" t="s">
        <v>903</v>
      </c>
      <c r="B142" s="2">
        <v>9</v>
      </c>
      <c r="C142" s="2">
        <v>5</v>
      </c>
      <c r="D142" s="2" t="s">
        <v>29</v>
      </c>
      <c r="E142" s="2">
        <v>846</v>
      </c>
      <c r="F142" s="2" t="s">
        <v>38</v>
      </c>
      <c r="G142" s="2" t="s">
        <v>904</v>
      </c>
      <c r="H142" s="2" t="s">
        <v>905</v>
      </c>
      <c r="I142" s="2" t="s">
        <v>906</v>
      </c>
      <c r="J142" s="2" t="s">
        <v>907</v>
      </c>
      <c r="K142" s="3">
        <v>46132</v>
      </c>
      <c r="L142" s="2" t="s">
        <v>908</v>
      </c>
      <c r="M142" s="2" t="s">
        <v>34</v>
      </c>
      <c r="N142" s="2" t="s">
        <v>34</v>
      </c>
      <c r="O142" s="2" t="s">
        <v>909</v>
      </c>
      <c r="P142" s="2" t="s">
        <v>78</v>
      </c>
    </row>
    <row r="143" spans="1:16" x14ac:dyDescent="0.2">
      <c r="A143" s="2" t="s">
        <v>910</v>
      </c>
      <c r="B143" s="2">
        <v>9</v>
      </c>
      <c r="C143" s="2">
        <v>6</v>
      </c>
      <c r="D143" s="2" t="s">
        <v>29</v>
      </c>
      <c r="E143" s="2">
        <v>865</v>
      </c>
      <c r="F143" s="2" t="s">
        <v>30</v>
      </c>
      <c r="G143" s="2" t="s">
        <v>911</v>
      </c>
      <c r="H143" s="2" t="s">
        <v>912</v>
      </c>
      <c r="I143" s="2" t="s">
        <v>913</v>
      </c>
      <c r="J143" s="2" t="s">
        <v>34</v>
      </c>
      <c r="K143" s="2" t="s">
        <v>34</v>
      </c>
      <c r="L143" s="2" t="s">
        <v>914</v>
      </c>
      <c r="M143" s="2" t="s">
        <v>34</v>
      </c>
      <c r="N143" s="2" t="s">
        <v>34</v>
      </c>
      <c r="O143" s="2" t="s">
        <v>34</v>
      </c>
      <c r="P143" s="2" t="s">
        <v>36</v>
      </c>
    </row>
    <row r="144" spans="1:16" x14ac:dyDescent="0.2">
      <c r="A144" s="2" t="s">
        <v>915</v>
      </c>
      <c r="B144" s="2">
        <v>9</v>
      </c>
      <c r="C144" s="2">
        <v>7</v>
      </c>
      <c r="D144" s="2" t="s">
        <v>71</v>
      </c>
      <c r="E144" s="2">
        <v>1241</v>
      </c>
      <c r="F144" s="2" t="s">
        <v>38</v>
      </c>
      <c r="G144" s="2" t="s">
        <v>916</v>
      </c>
      <c r="H144" s="2" t="s">
        <v>917</v>
      </c>
      <c r="I144" s="2" t="s">
        <v>918</v>
      </c>
      <c r="J144" s="2" t="s">
        <v>919</v>
      </c>
      <c r="K144" s="3">
        <v>46137</v>
      </c>
      <c r="L144" s="2" t="s">
        <v>920</v>
      </c>
      <c r="M144" s="2" t="s">
        <v>921</v>
      </c>
      <c r="N144" s="2" t="s">
        <v>34</v>
      </c>
      <c r="O144" s="2" t="s">
        <v>34</v>
      </c>
      <c r="P144" s="2" t="s">
        <v>78</v>
      </c>
    </row>
    <row r="145" spans="1:16" x14ac:dyDescent="0.2">
      <c r="A145" s="2" t="s">
        <v>922</v>
      </c>
      <c r="B145" s="2">
        <v>9</v>
      </c>
      <c r="C145" s="2">
        <v>8</v>
      </c>
      <c r="D145" s="2" t="s">
        <v>71</v>
      </c>
      <c r="E145" s="2">
        <v>1224</v>
      </c>
      <c r="F145" s="2" t="s">
        <v>30</v>
      </c>
      <c r="G145" s="2" t="s">
        <v>923</v>
      </c>
      <c r="H145" s="2" t="s">
        <v>924</v>
      </c>
      <c r="I145" s="2" t="s">
        <v>925</v>
      </c>
      <c r="J145" s="2" t="s">
        <v>34</v>
      </c>
      <c r="K145" s="2" t="s">
        <v>34</v>
      </c>
      <c r="L145" s="2" t="s">
        <v>926</v>
      </c>
      <c r="M145" s="2" t="s">
        <v>34</v>
      </c>
      <c r="N145" s="2" t="s">
        <v>34</v>
      </c>
      <c r="O145" s="2" t="s">
        <v>34</v>
      </c>
      <c r="P145" s="2" t="s">
        <v>36</v>
      </c>
    </row>
    <row r="146" spans="1:16" x14ac:dyDescent="0.2">
      <c r="A146" s="2" t="s">
        <v>927</v>
      </c>
      <c r="B146" s="2">
        <v>9</v>
      </c>
      <c r="C146" s="2">
        <v>9</v>
      </c>
      <c r="D146" s="2" t="s">
        <v>71</v>
      </c>
      <c r="E146" s="2">
        <v>1280</v>
      </c>
      <c r="F146" s="2" t="s">
        <v>30</v>
      </c>
      <c r="G146" s="2" t="s">
        <v>928</v>
      </c>
      <c r="H146" s="2" t="s">
        <v>929</v>
      </c>
      <c r="I146" s="2" t="s">
        <v>930</v>
      </c>
      <c r="J146" s="2" t="s">
        <v>34</v>
      </c>
      <c r="K146" s="2" t="s">
        <v>34</v>
      </c>
      <c r="L146" s="2" t="s">
        <v>931</v>
      </c>
      <c r="M146" s="2" t="s">
        <v>932</v>
      </c>
      <c r="N146" s="2" t="s">
        <v>34</v>
      </c>
      <c r="O146" s="2" t="s">
        <v>933</v>
      </c>
      <c r="P146" s="2" t="s">
        <v>78</v>
      </c>
    </row>
    <row r="147" spans="1:16" x14ac:dyDescent="0.2">
      <c r="A147" s="2" t="s">
        <v>934</v>
      </c>
      <c r="B147" s="2">
        <v>9</v>
      </c>
      <c r="C147" s="2">
        <v>10</v>
      </c>
      <c r="D147" s="2" t="s">
        <v>71</v>
      </c>
      <c r="E147" s="2">
        <v>1180</v>
      </c>
      <c r="F147" s="2" t="s">
        <v>30</v>
      </c>
      <c r="G147" s="2" t="s">
        <v>935</v>
      </c>
      <c r="H147" s="2" t="s">
        <v>936</v>
      </c>
      <c r="I147" s="2" t="s">
        <v>937</v>
      </c>
      <c r="J147" s="2" t="s">
        <v>34</v>
      </c>
      <c r="K147" s="2" t="s">
        <v>34</v>
      </c>
      <c r="L147" s="2" t="s">
        <v>938</v>
      </c>
      <c r="M147" s="2" t="s">
        <v>939</v>
      </c>
      <c r="N147" s="2" t="s">
        <v>34</v>
      </c>
      <c r="O147" s="2" t="s">
        <v>34</v>
      </c>
      <c r="P147" s="2" t="s">
        <v>36</v>
      </c>
    </row>
    <row r="148" spans="1:16" x14ac:dyDescent="0.2">
      <c r="A148" s="2" t="s">
        <v>940</v>
      </c>
      <c r="B148" s="2">
        <v>9</v>
      </c>
      <c r="C148" s="2">
        <v>11</v>
      </c>
      <c r="D148" s="2" t="s">
        <v>71</v>
      </c>
      <c r="E148" s="2">
        <v>1227</v>
      </c>
      <c r="F148" s="2" t="s">
        <v>38</v>
      </c>
      <c r="G148" s="2" t="s">
        <v>941</v>
      </c>
      <c r="H148" s="2" t="s">
        <v>942</v>
      </c>
      <c r="I148" s="2" t="s">
        <v>943</v>
      </c>
      <c r="J148" s="2" t="s">
        <v>944</v>
      </c>
      <c r="K148" s="3">
        <v>46289</v>
      </c>
      <c r="L148" s="2" t="s">
        <v>945</v>
      </c>
      <c r="M148" s="2" t="s">
        <v>34</v>
      </c>
      <c r="N148" s="2" t="s">
        <v>946</v>
      </c>
      <c r="O148" s="2" t="s">
        <v>947</v>
      </c>
      <c r="P148" s="2" t="s">
        <v>36</v>
      </c>
    </row>
    <row r="149" spans="1:16" x14ac:dyDescent="0.2">
      <c r="A149" s="2" t="s">
        <v>948</v>
      </c>
      <c r="B149" s="2">
        <v>9</v>
      </c>
      <c r="C149" s="2">
        <v>12</v>
      </c>
      <c r="D149" s="2" t="s">
        <v>71</v>
      </c>
      <c r="E149" s="2">
        <v>1218</v>
      </c>
      <c r="F149" s="2" t="s">
        <v>30</v>
      </c>
      <c r="G149" s="2" t="s">
        <v>949</v>
      </c>
      <c r="H149" s="2" t="s">
        <v>950</v>
      </c>
      <c r="I149" s="2" t="s">
        <v>951</v>
      </c>
      <c r="J149" s="2" t="s">
        <v>34</v>
      </c>
      <c r="K149" s="2" t="s">
        <v>34</v>
      </c>
      <c r="L149" s="2" t="s">
        <v>952</v>
      </c>
      <c r="M149" s="2" t="s">
        <v>953</v>
      </c>
      <c r="N149" s="2" t="s">
        <v>34</v>
      </c>
      <c r="O149" s="2" t="s">
        <v>34</v>
      </c>
      <c r="P149" s="2" t="s">
        <v>36</v>
      </c>
    </row>
    <row r="150" spans="1:16" x14ac:dyDescent="0.2">
      <c r="A150" s="2" t="s">
        <v>954</v>
      </c>
      <c r="B150" s="2">
        <v>9</v>
      </c>
      <c r="C150" s="2">
        <v>13</v>
      </c>
      <c r="D150" s="2" t="s">
        <v>113</v>
      </c>
      <c r="E150" s="2">
        <v>2113</v>
      </c>
      <c r="F150" s="2" t="s">
        <v>30</v>
      </c>
      <c r="G150" s="2" t="s">
        <v>955</v>
      </c>
      <c r="H150" s="2" t="s">
        <v>956</v>
      </c>
      <c r="I150" s="2" t="s">
        <v>957</v>
      </c>
      <c r="J150" s="2" t="s">
        <v>34</v>
      </c>
      <c r="K150" s="2" t="s">
        <v>34</v>
      </c>
      <c r="L150" s="2" t="s">
        <v>958</v>
      </c>
      <c r="M150" s="2" t="s">
        <v>34</v>
      </c>
      <c r="N150" s="2" t="s">
        <v>34</v>
      </c>
      <c r="O150" s="2" t="s">
        <v>34</v>
      </c>
      <c r="P150" s="2" t="s">
        <v>36</v>
      </c>
    </row>
    <row r="151" spans="1:16" x14ac:dyDescent="0.2">
      <c r="A151" s="2" t="s">
        <v>959</v>
      </c>
      <c r="B151" s="2">
        <v>9</v>
      </c>
      <c r="C151" s="2">
        <v>14</v>
      </c>
      <c r="D151" s="2" t="s">
        <v>113</v>
      </c>
      <c r="E151" s="2">
        <v>2066</v>
      </c>
      <c r="F151" s="2" t="s">
        <v>30</v>
      </c>
      <c r="G151" s="2" t="s">
        <v>960</v>
      </c>
      <c r="H151" s="2" t="s">
        <v>961</v>
      </c>
      <c r="I151" s="2" t="s">
        <v>962</v>
      </c>
      <c r="J151" s="2" t="s">
        <v>34</v>
      </c>
      <c r="K151" s="2" t="s">
        <v>34</v>
      </c>
      <c r="L151" s="2" t="s">
        <v>963</v>
      </c>
      <c r="M151" s="2" t="s">
        <v>964</v>
      </c>
      <c r="N151" s="2" t="s">
        <v>34</v>
      </c>
      <c r="O151" s="2" t="s">
        <v>34</v>
      </c>
      <c r="P151" s="2" t="s">
        <v>36</v>
      </c>
    </row>
    <row r="152" spans="1:16" x14ac:dyDescent="0.2">
      <c r="A152" s="2" t="s">
        <v>965</v>
      </c>
      <c r="B152" s="2">
        <v>9</v>
      </c>
      <c r="C152" s="2">
        <v>15</v>
      </c>
      <c r="D152" s="2" t="s">
        <v>113</v>
      </c>
      <c r="E152" s="2">
        <v>1691</v>
      </c>
      <c r="F152" s="2" t="s">
        <v>38</v>
      </c>
      <c r="G152" s="2" t="s">
        <v>966</v>
      </c>
      <c r="H152" s="2" t="s">
        <v>967</v>
      </c>
      <c r="I152" s="2" t="s">
        <v>968</v>
      </c>
      <c r="J152" s="2" t="s">
        <v>227</v>
      </c>
      <c r="K152" s="3">
        <v>46226</v>
      </c>
      <c r="L152" s="2" t="s">
        <v>969</v>
      </c>
      <c r="M152" s="2" t="s">
        <v>970</v>
      </c>
      <c r="N152" s="2" t="s">
        <v>34</v>
      </c>
      <c r="O152" s="2" t="s">
        <v>971</v>
      </c>
      <c r="P152" s="2" t="s">
        <v>78</v>
      </c>
    </row>
    <row r="153" spans="1:16" x14ac:dyDescent="0.2">
      <c r="A153" s="2" t="s">
        <v>972</v>
      </c>
      <c r="B153" s="2">
        <v>9</v>
      </c>
      <c r="C153" s="2">
        <v>16</v>
      </c>
      <c r="D153" s="2" t="s">
        <v>113</v>
      </c>
      <c r="E153" s="2">
        <v>2064</v>
      </c>
      <c r="F153" s="2" t="s">
        <v>30</v>
      </c>
      <c r="G153" s="2" t="s">
        <v>973</v>
      </c>
      <c r="H153" s="2" t="s">
        <v>974</v>
      </c>
      <c r="I153" s="2" t="s">
        <v>975</v>
      </c>
      <c r="J153" s="2" t="s">
        <v>34</v>
      </c>
      <c r="K153" s="2" t="s">
        <v>34</v>
      </c>
      <c r="L153" s="2" t="s">
        <v>976</v>
      </c>
      <c r="M153" s="2" t="s">
        <v>977</v>
      </c>
      <c r="N153" s="2" t="s">
        <v>34</v>
      </c>
      <c r="O153" s="2" t="s">
        <v>978</v>
      </c>
      <c r="P153" s="2" t="s">
        <v>36</v>
      </c>
    </row>
    <row r="154" spans="1:16" x14ac:dyDescent="0.2">
      <c r="A154" s="2" t="s">
        <v>979</v>
      </c>
      <c r="B154" s="2">
        <v>9</v>
      </c>
      <c r="C154" s="2">
        <v>17</v>
      </c>
      <c r="D154" s="2" t="s">
        <v>144</v>
      </c>
      <c r="E154" s="2">
        <v>3205</v>
      </c>
      <c r="F154" s="2" t="s">
        <v>38</v>
      </c>
      <c r="G154" s="2" t="s">
        <v>980</v>
      </c>
      <c r="H154" s="2" t="s">
        <v>981</v>
      </c>
      <c r="I154" s="2" t="s">
        <v>982</v>
      </c>
      <c r="J154" s="2" t="s">
        <v>983</v>
      </c>
      <c r="K154" s="3">
        <v>46173</v>
      </c>
      <c r="L154" s="2" t="s">
        <v>984</v>
      </c>
      <c r="M154" s="2" t="s">
        <v>985</v>
      </c>
      <c r="N154" s="2" t="s">
        <v>34</v>
      </c>
      <c r="O154" s="2" t="s">
        <v>986</v>
      </c>
      <c r="P154" s="2" t="s">
        <v>36</v>
      </c>
    </row>
    <row r="155" spans="1:16" x14ac:dyDescent="0.2">
      <c r="A155" s="2" t="s">
        <v>987</v>
      </c>
      <c r="B155" s="2">
        <v>10</v>
      </c>
      <c r="C155" s="2">
        <v>1</v>
      </c>
      <c r="D155" s="2" t="s">
        <v>29</v>
      </c>
      <c r="E155" s="2">
        <v>933</v>
      </c>
      <c r="F155" s="2" t="s">
        <v>30</v>
      </c>
      <c r="G155" s="2" t="s">
        <v>988</v>
      </c>
      <c r="H155" s="2" t="s">
        <v>989</v>
      </c>
      <c r="I155" s="2" t="s">
        <v>990</v>
      </c>
      <c r="J155" s="2" t="s">
        <v>34</v>
      </c>
      <c r="K155" s="2" t="s">
        <v>34</v>
      </c>
      <c r="L155" s="2" t="s">
        <v>991</v>
      </c>
      <c r="M155" s="2" t="s">
        <v>34</v>
      </c>
      <c r="N155" s="2" t="s">
        <v>34</v>
      </c>
      <c r="O155" s="2" t="s">
        <v>992</v>
      </c>
      <c r="P155" s="2" t="s">
        <v>78</v>
      </c>
    </row>
    <row r="156" spans="1:16" x14ac:dyDescent="0.2">
      <c r="A156" s="2" t="s">
        <v>993</v>
      </c>
      <c r="B156" s="2">
        <v>10</v>
      </c>
      <c r="C156" s="2">
        <v>2</v>
      </c>
      <c r="D156" s="2" t="s">
        <v>29</v>
      </c>
      <c r="E156" s="2">
        <v>921</v>
      </c>
      <c r="F156" s="2" t="s">
        <v>38</v>
      </c>
      <c r="G156" s="2" t="s">
        <v>994</v>
      </c>
      <c r="H156" s="2" t="s">
        <v>995</v>
      </c>
      <c r="I156" s="2" t="s">
        <v>996</v>
      </c>
      <c r="J156" s="2" t="s">
        <v>437</v>
      </c>
      <c r="K156" s="3">
        <v>46193</v>
      </c>
      <c r="L156" s="2" t="s">
        <v>997</v>
      </c>
      <c r="M156" s="2" t="s">
        <v>34</v>
      </c>
      <c r="N156" s="2" t="s">
        <v>34</v>
      </c>
      <c r="O156" s="2" t="s">
        <v>998</v>
      </c>
      <c r="P156" s="2" t="s">
        <v>36</v>
      </c>
    </row>
    <row r="157" spans="1:16" x14ac:dyDescent="0.2">
      <c r="A157" s="2" t="s">
        <v>999</v>
      </c>
      <c r="B157" s="2">
        <v>10</v>
      </c>
      <c r="C157" s="2">
        <v>3</v>
      </c>
      <c r="D157" s="2" t="s">
        <v>29</v>
      </c>
      <c r="E157" s="2">
        <v>978</v>
      </c>
      <c r="F157" s="2" t="s">
        <v>30</v>
      </c>
      <c r="G157" s="2" t="s">
        <v>1000</v>
      </c>
      <c r="H157" s="2" t="s">
        <v>1001</v>
      </c>
      <c r="I157" s="2" t="s">
        <v>1002</v>
      </c>
      <c r="J157" s="2" t="s">
        <v>34</v>
      </c>
      <c r="K157" s="2" t="s">
        <v>34</v>
      </c>
      <c r="L157" s="2" t="s">
        <v>1003</v>
      </c>
      <c r="M157" s="2" t="s">
        <v>34</v>
      </c>
      <c r="N157" s="2" t="s">
        <v>1004</v>
      </c>
      <c r="O157" s="2" t="s">
        <v>34</v>
      </c>
      <c r="P157" s="2" t="s">
        <v>36</v>
      </c>
    </row>
    <row r="158" spans="1:16" x14ac:dyDescent="0.2">
      <c r="A158" s="2" t="s">
        <v>1005</v>
      </c>
      <c r="B158" s="2">
        <v>10</v>
      </c>
      <c r="C158" s="2">
        <v>4</v>
      </c>
      <c r="D158" s="2" t="s">
        <v>29</v>
      </c>
      <c r="E158" s="2">
        <v>855</v>
      </c>
      <c r="F158" s="2" t="s">
        <v>38</v>
      </c>
      <c r="G158" s="2" t="s">
        <v>935</v>
      </c>
      <c r="H158" s="2" t="s">
        <v>1006</v>
      </c>
      <c r="I158" s="2" t="s">
        <v>1007</v>
      </c>
      <c r="J158" s="2" t="s">
        <v>314</v>
      </c>
      <c r="K158" s="3">
        <v>46365</v>
      </c>
      <c r="L158" s="2" t="s">
        <v>1008</v>
      </c>
      <c r="M158" s="2" t="s">
        <v>34</v>
      </c>
      <c r="N158" s="2" t="s">
        <v>34</v>
      </c>
      <c r="O158" s="2" t="s">
        <v>34</v>
      </c>
      <c r="P158" s="2" t="s">
        <v>36</v>
      </c>
    </row>
    <row r="159" spans="1:16" x14ac:dyDescent="0.2">
      <c r="A159" s="2" t="s">
        <v>1009</v>
      </c>
      <c r="B159" s="2">
        <v>10</v>
      </c>
      <c r="C159" s="2">
        <v>5</v>
      </c>
      <c r="D159" s="2" t="s">
        <v>29</v>
      </c>
      <c r="E159" s="2">
        <v>959</v>
      </c>
      <c r="F159" s="2" t="s">
        <v>30</v>
      </c>
      <c r="G159" s="2" t="s">
        <v>1010</v>
      </c>
      <c r="H159" s="2" t="s">
        <v>1011</v>
      </c>
      <c r="I159" s="2" t="s">
        <v>1012</v>
      </c>
      <c r="J159" s="2" t="s">
        <v>34</v>
      </c>
      <c r="K159" s="2" t="s">
        <v>34</v>
      </c>
      <c r="L159" s="2" t="s">
        <v>1013</v>
      </c>
      <c r="M159" s="2" t="s">
        <v>34</v>
      </c>
      <c r="N159" s="2" t="s">
        <v>34</v>
      </c>
      <c r="O159" s="2" t="s">
        <v>1014</v>
      </c>
      <c r="P159" s="2" t="s">
        <v>36</v>
      </c>
    </row>
    <row r="160" spans="1:16" x14ac:dyDescent="0.2">
      <c r="A160" s="2" t="s">
        <v>1015</v>
      </c>
      <c r="B160" s="2">
        <v>10</v>
      </c>
      <c r="C160" s="2">
        <v>6</v>
      </c>
      <c r="D160" s="2" t="s">
        <v>29</v>
      </c>
      <c r="E160" s="2">
        <v>891</v>
      </c>
      <c r="F160" s="2" t="s">
        <v>30</v>
      </c>
      <c r="G160" s="2" t="s">
        <v>80</v>
      </c>
      <c r="H160" s="2" t="s">
        <v>1016</v>
      </c>
      <c r="I160" s="2" t="s">
        <v>1017</v>
      </c>
      <c r="J160" s="2" t="s">
        <v>34</v>
      </c>
      <c r="K160" s="2" t="s">
        <v>34</v>
      </c>
      <c r="L160" s="2" t="s">
        <v>1018</v>
      </c>
      <c r="M160" s="2" t="s">
        <v>34</v>
      </c>
      <c r="N160" s="2" t="s">
        <v>1019</v>
      </c>
      <c r="O160" s="2" t="s">
        <v>34</v>
      </c>
      <c r="P160" s="2" t="s">
        <v>36</v>
      </c>
    </row>
    <row r="161" spans="1:16" x14ac:dyDescent="0.2">
      <c r="A161" s="2" t="s">
        <v>1020</v>
      </c>
      <c r="B161" s="2">
        <v>10</v>
      </c>
      <c r="C161" s="2">
        <v>7</v>
      </c>
      <c r="D161" s="2" t="s">
        <v>71</v>
      </c>
      <c r="E161" s="2">
        <v>1453</v>
      </c>
      <c r="F161" s="2" t="s">
        <v>30</v>
      </c>
      <c r="G161" s="2" t="s">
        <v>1021</v>
      </c>
      <c r="H161" s="2" t="s">
        <v>1022</v>
      </c>
      <c r="I161" s="2" t="s">
        <v>1023</v>
      </c>
      <c r="J161" s="2" t="s">
        <v>34</v>
      </c>
      <c r="K161" s="2" t="s">
        <v>34</v>
      </c>
      <c r="L161" s="2" t="s">
        <v>1024</v>
      </c>
      <c r="M161" s="2" t="s">
        <v>1025</v>
      </c>
      <c r="N161" s="2" t="s">
        <v>34</v>
      </c>
      <c r="O161" s="2" t="s">
        <v>34</v>
      </c>
      <c r="P161" s="2" t="s">
        <v>36</v>
      </c>
    </row>
    <row r="162" spans="1:16" x14ac:dyDescent="0.2">
      <c r="A162" s="2" t="s">
        <v>1026</v>
      </c>
      <c r="B162" s="2">
        <v>10</v>
      </c>
      <c r="C162" s="2">
        <v>8</v>
      </c>
      <c r="D162" s="2" t="s">
        <v>71</v>
      </c>
      <c r="E162" s="2">
        <v>1342</v>
      </c>
      <c r="F162" s="2" t="s">
        <v>30</v>
      </c>
      <c r="G162" s="2" t="s">
        <v>1027</v>
      </c>
      <c r="H162" s="2" t="s">
        <v>1028</v>
      </c>
      <c r="I162" s="2" t="s">
        <v>1029</v>
      </c>
      <c r="J162" s="2" t="s">
        <v>34</v>
      </c>
      <c r="K162" s="2" t="s">
        <v>34</v>
      </c>
      <c r="L162" s="2" t="s">
        <v>1030</v>
      </c>
      <c r="M162" s="2" t="s">
        <v>34</v>
      </c>
      <c r="N162" s="2" t="s">
        <v>34</v>
      </c>
      <c r="O162" s="2" t="s">
        <v>34</v>
      </c>
      <c r="P162" s="2" t="s">
        <v>36</v>
      </c>
    </row>
    <row r="163" spans="1:16" x14ac:dyDescent="0.2">
      <c r="A163" s="2" t="s">
        <v>1031</v>
      </c>
      <c r="B163" s="2">
        <v>10</v>
      </c>
      <c r="C163" s="2">
        <v>9</v>
      </c>
      <c r="D163" s="2" t="s">
        <v>71</v>
      </c>
      <c r="E163" s="2">
        <v>1457</v>
      </c>
      <c r="F163" s="2" t="s">
        <v>30</v>
      </c>
      <c r="G163" s="2" t="s">
        <v>1032</v>
      </c>
      <c r="H163" s="2" t="s">
        <v>1033</v>
      </c>
      <c r="I163" s="2" t="s">
        <v>1034</v>
      </c>
      <c r="J163" s="2" t="s">
        <v>34</v>
      </c>
      <c r="K163" s="2" t="s">
        <v>34</v>
      </c>
      <c r="L163" s="2" t="s">
        <v>1035</v>
      </c>
      <c r="M163" s="2" t="s">
        <v>1036</v>
      </c>
      <c r="N163" s="2" t="s">
        <v>34</v>
      </c>
      <c r="O163" s="2" t="s">
        <v>1037</v>
      </c>
      <c r="P163" s="2" t="s">
        <v>36</v>
      </c>
    </row>
    <row r="164" spans="1:16" x14ac:dyDescent="0.2">
      <c r="A164" s="2" t="s">
        <v>1038</v>
      </c>
      <c r="B164" s="2">
        <v>10</v>
      </c>
      <c r="C164" s="2">
        <v>10</v>
      </c>
      <c r="D164" s="2" t="s">
        <v>71</v>
      </c>
      <c r="E164" s="2">
        <v>1283</v>
      </c>
      <c r="F164" s="2" t="s">
        <v>38</v>
      </c>
      <c r="G164" s="2" t="s">
        <v>1039</v>
      </c>
      <c r="H164" s="2" t="s">
        <v>1040</v>
      </c>
      <c r="I164" s="2" t="s">
        <v>1041</v>
      </c>
      <c r="J164" s="2" t="s">
        <v>907</v>
      </c>
      <c r="K164" s="3">
        <v>46276</v>
      </c>
      <c r="L164" s="2" t="s">
        <v>1042</v>
      </c>
      <c r="M164" s="2" t="s">
        <v>1043</v>
      </c>
      <c r="N164" s="2" t="s">
        <v>34</v>
      </c>
      <c r="O164" s="2" t="s">
        <v>34</v>
      </c>
      <c r="P164" s="2" t="s">
        <v>36</v>
      </c>
    </row>
    <row r="165" spans="1:16" x14ac:dyDescent="0.2">
      <c r="A165" s="2" t="s">
        <v>1044</v>
      </c>
      <c r="B165" s="2">
        <v>10</v>
      </c>
      <c r="C165" s="2">
        <v>11</v>
      </c>
      <c r="D165" s="2" t="s">
        <v>71</v>
      </c>
      <c r="E165" s="2">
        <v>1366</v>
      </c>
      <c r="F165" s="2" t="s">
        <v>38</v>
      </c>
      <c r="G165" s="2" t="s">
        <v>1045</v>
      </c>
      <c r="H165" s="2" t="s">
        <v>1046</v>
      </c>
      <c r="I165" s="2" t="s">
        <v>1047</v>
      </c>
      <c r="J165" s="2" t="s">
        <v>1048</v>
      </c>
      <c r="K165" s="3">
        <v>46284</v>
      </c>
      <c r="L165" s="2" t="s">
        <v>1049</v>
      </c>
      <c r="M165" s="2" t="s">
        <v>1050</v>
      </c>
      <c r="N165" s="2" t="s">
        <v>34</v>
      </c>
      <c r="O165" s="2" t="s">
        <v>34</v>
      </c>
      <c r="P165" s="2" t="s">
        <v>36</v>
      </c>
    </row>
    <row r="166" spans="1:16" x14ac:dyDescent="0.2">
      <c r="A166" s="2" t="s">
        <v>1051</v>
      </c>
      <c r="B166" s="2">
        <v>10</v>
      </c>
      <c r="C166" s="2">
        <v>12</v>
      </c>
      <c r="D166" s="2" t="s">
        <v>71</v>
      </c>
      <c r="E166" s="2">
        <v>1512</v>
      </c>
      <c r="F166" s="2" t="s">
        <v>38</v>
      </c>
      <c r="G166" s="2" t="s">
        <v>1052</v>
      </c>
      <c r="H166" s="2" t="s">
        <v>1053</v>
      </c>
      <c r="I166" s="2" t="s">
        <v>1054</v>
      </c>
      <c r="J166" s="2" t="s">
        <v>1055</v>
      </c>
      <c r="K166" s="3">
        <v>46406</v>
      </c>
      <c r="L166" s="2" t="s">
        <v>1056</v>
      </c>
      <c r="M166" s="2" t="s">
        <v>1057</v>
      </c>
      <c r="N166" s="2" t="s">
        <v>34</v>
      </c>
      <c r="O166" s="2" t="s">
        <v>34</v>
      </c>
      <c r="P166" s="2" t="s">
        <v>36</v>
      </c>
    </row>
    <row r="167" spans="1:16" x14ac:dyDescent="0.2">
      <c r="A167" s="2" t="s">
        <v>1058</v>
      </c>
      <c r="B167" s="2">
        <v>10</v>
      </c>
      <c r="C167" s="2">
        <v>13</v>
      </c>
      <c r="D167" s="2" t="s">
        <v>113</v>
      </c>
      <c r="E167" s="2">
        <v>1831</v>
      </c>
      <c r="F167" s="2" t="s">
        <v>38</v>
      </c>
      <c r="G167" s="2" t="s">
        <v>1059</v>
      </c>
      <c r="H167" s="2" t="s">
        <v>1060</v>
      </c>
      <c r="I167" s="2" t="s">
        <v>1061</v>
      </c>
      <c r="J167" s="2" t="s">
        <v>1062</v>
      </c>
      <c r="K167" s="3">
        <v>46396</v>
      </c>
      <c r="L167" s="2" t="s">
        <v>1063</v>
      </c>
      <c r="M167" s="2" t="s">
        <v>1064</v>
      </c>
      <c r="N167" s="2" t="s">
        <v>34</v>
      </c>
      <c r="O167" s="2" t="s">
        <v>1065</v>
      </c>
      <c r="P167" s="2" t="s">
        <v>36</v>
      </c>
    </row>
    <row r="168" spans="1:16" x14ac:dyDescent="0.2">
      <c r="A168" s="2" t="s">
        <v>1066</v>
      </c>
      <c r="B168" s="2">
        <v>10</v>
      </c>
      <c r="C168" s="2">
        <v>14</v>
      </c>
      <c r="D168" s="2" t="s">
        <v>113</v>
      </c>
      <c r="E168" s="2">
        <v>2158</v>
      </c>
      <c r="F168" s="2" t="s">
        <v>30</v>
      </c>
      <c r="G168" s="2" t="s">
        <v>1067</v>
      </c>
      <c r="H168" s="2" t="s">
        <v>1068</v>
      </c>
      <c r="I168" s="2" t="s">
        <v>1069</v>
      </c>
      <c r="J168" s="2" t="s">
        <v>34</v>
      </c>
      <c r="K168" s="2" t="s">
        <v>34</v>
      </c>
      <c r="L168" s="2" t="s">
        <v>1070</v>
      </c>
      <c r="M168" s="2" t="s">
        <v>1071</v>
      </c>
      <c r="N168" s="2" t="s">
        <v>34</v>
      </c>
      <c r="O168" s="2" t="s">
        <v>1072</v>
      </c>
      <c r="P168" s="2" t="s">
        <v>78</v>
      </c>
    </row>
    <row r="169" spans="1:16" x14ac:dyDescent="0.2">
      <c r="A169" s="2" t="s">
        <v>1073</v>
      </c>
      <c r="B169" s="2">
        <v>10</v>
      </c>
      <c r="C169" s="2">
        <v>15</v>
      </c>
      <c r="D169" s="2" t="s">
        <v>113</v>
      </c>
      <c r="E169" s="2">
        <v>1661</v>
      </c>
      <c r="F169" s="2" t="s">
        <v>30</v>
      </c>
      <c r="G169" s="2" t="s">
        <v>325</v>
      </c>
      <c r="H169" s="2" t="s">
        <v>1074</v>
      </c>
      <c r="I169" s="2" t="s">
        <v>1075</v>
      </c>
      <c r="J169" s="2" t="s">
        <v>34</v>
      </c>
      <c r="K169" s="2" t="s">
        <v>34</v>
      </c>
      <c r="L169" s="2" t="s">
        <v>1076</v>
      </c>
      <c r="M169" s="2" t="s">
        <v>1077</v>
      </c>
      <c r="N169" s="2" t="s">
        <v>34</v>
      </c>
      <c r="O169" s="2" t="s">
        <v>34</v>
      </c>
      <c r="P169" s="2" t="s">
        <v>36</v>
      </c>
    </row>
    <row r="170" spans="1:16" x14ac:dyDescent="0.2">
      <c r="A170" s="2" t="s">
        <v>1078</v>
      </c>
      <c r="B170" s="2">
        <v>10</v>
      </c>
      <c r="C170" s="2">
        <v>16</v>
      </c>
      <c r="D170" s="2" t="s">
        <v>113</v>
      </c>
      <c r="E170" s="2">
        <v>1820</v>
      </c>
      <c r="F170" s="2" t="s">
        <v>30</v>
      </c>
      <c r="G170" s="2" t="s">
        <v>93</v>
      </c>
      <c r="H170" s="2" t="s">
        <v>1079</v>
      </c>
      <c r="I170" s="2" t="s">
        <v>1080</v>
      </c>
      <c r="J170" s="2" t="s">
        <v>34</v>
      </c>
      <c r="K170" s="2" t="s">
        <v>34</v>
      </c>
      <c r="L170" s="2" t="s">
        <v>1081</v>
      </c>
      <c r="M170" s="2" t="s">
        <v>1082</v>
      </c>
      <c r="N170" s="2" t="s">
        <v>34</v>
      </c>
      <c r="O170" s="2" t="s">
        <v>1083</v>
      </c>
      <c r="P170" s="2" t="s">
        <v>78</v>
      </c>
    </row>
    <row r="171" spans="1:16" x14ac:dyDescent="0.2">
      <c r="A171" s="2" t="s">
        <v>1084</v>
      </c>
      <c r="B171" s="2">
        <v>10</v>
      </c>
      <c r="C171" s="2">
        <v>17</v>
      </c>
      <c r="D171" s="2" t="s">
        <v>144</v>
      </c>
      <c r="E171" s="2">
        <v>2950</v>
      </c>
      <c r="F171" s="2" t="s">
        <v>38</v>
      </c>
      <c r="G171" s="2" t="s">
        <v>1085</v>
      </c>
      <c r="H171" s="2" t="s">
        <v>1086</v>
      </c>
      <c r="I171" s="2" t="s">
        <v>1087</v>
      </c>
      <c r="J171" s="2" t="s">
        <v>893</v>
      </c>
      <c r="K171" s="3">
        <v>46248</v>
      </c>
      <c r="L171" s="2" t="s">
        <v>1088</v>
      </c>
      <c r="M171" s="2" t="s">
        <v>1089</v>
      </c>
      <c r="N171" s="2" t="s">
        <v>34</v>
      </c>
      <c r="O171" s="2" t="s">
        <v>1090</v>
      </c>
      <c r="P171" s="2" t="s">
        <v>36</v>
      </c>
    </row>
    <row r="172" spans="1:16" x14ac:dyDescent="0.2">
      <c r="A172" s="2" t="s">
        <v>1091</v>
      </c>
      <c r="B172" s="2">
        <v>11</v>
      </c>
      <c r="C172" s="2">
        <v>1</v>
      </c>
      <c r="D172" s="2" t="s">
        <v>29</v>
      </c>
      <c r="E172" s="2">
        <v>843</v>
      </c>
      <c r="F172" s="2" t="s">
        <v>30</v>
      </c>
      <c r="G172" s="2" t="s">
        <v>1092</v>
      </c>
      <c r="H172" s="2" t="s">
        <v>1093</v>
      </c>
      <c r="I172" s="2" t="s">
        <v>1094</v>
      </c>
      <c r="J172" s="2" t="s">
        <v>34</v>
      </c>
      <c r="K172" s="2" t="s">
        <v>34</v>
      </c>
      <c r="L172" s="2" t="s">
        <v>1095</v>
      </c>
      <c r="M172" s="2" t="s">
        <v>34</v>
      </c>
      <c r="N172" s="2" t="s">
        <v>34</v>
      </c>
      <c r="O172" s="2" t="s">
        <v>34</v>
      </c>
      <c r="P172" s="2" t="s">
        <v>36</v>
      </c>
    </row>
    <row r="173" spans="1:16" x14ac:dyDescent="0.2">
      <c r="A173" s="2" t="s">
        <v>1096</v>
      </c>
      <c r="B173" s="2">
        <v>11</v>
      </c>
      <c r="C173" s="2">
        <v>2</v>
      </c>
      <c r="D173" s="2" t="s">
        <v>29</v>
      </c>
      <c r="E173" s="2">
        <v>904</v>
      </c>
      <c r="F173" s="2" t="s">
        <v>38</v>
      </c>
      <c r="G173" s="2" t="s">
        <v>1097</v>
      </c>
      <c r="H173" s="2" t="s">
        <v>1098</v>
      </c>
      <c r="I173" s="2" t="s">
        <v>1099</v>
      </c>
      <c r="J173" s="2" t="s">
        <v>1100</v>
      </c>
      <c r="K173" s="3">
        <v>46254</v>
      </c>
      <c r="L173" s="2" t="s">
        <v>1101</v>
      </c>
      <c r="M173" s="2" t="s">
        <v>34</v>
      </c>
      <c r="N173" s="2" t="s">
        <v>1102</v>
      </c>
      <c r="O173" s="2" t="s">
        <v>1103</v>
      </c>
      <c r="P173" s="2" t="s">
        <v>36</v>
      </c>
    </row>
    <row r="174" spans="1:16" x14ac:dyDescent="0.2">
      <c r="A174" s="2" t="s">
        <v>1104</v>
      </c>
      <c r="B174" s="2">
        <v>11</v>
      </c>
      <c r="C174" s="2">
        <v>3</v>
      </c>
      <c r="D174" s="2" t="s">
        <v>29</v>
      </c>
      <c r="E174" s="2">
        <v>960</v>
      </c>
      <c r="F174" s="2" t="s">
        <v>30</v>
      </c>
      <c r="G174" s="2" t="s">
        <v>1105</v>
      </c>
      <c r="H174" s="2" t="s">
        <v>1106</v>
      </c>
      <c r="I174" s="2" t="s">
        <v>1107</v>
      </c>
      <c r="J174" s="2" t="s">
        <v>34</v>
      </c>
      <c r="K174" s="2" t="s">
        <v>34</v>
      </c>
      <c r="L174" s="2" t="s">
        <v>1108</v>
      </c>
      <c r="M174" s="2" t="s">
        <v>34</v>
      </c>
      <c r="N174" s="2" t="s">
        <v>34</v>
      </c>
      <c r="O174" s="2" t="s">
        <v>1109</v>
      </c>
      <c r="P174" s="2" t="s">
        <v>36</v>
      </c>
    </row>
    <row r="175" spans="1:16" x14ac:dyDescent="0.2">
      <c r="A175" s="2" t="s">
        <v>1110</v>
      </c>
      <c r="B175" s="2">
        <v>11</v>
      </c>
      <c r="C175" s="2">
        <v>4</v>
      </c>
      <c r="D175" s="2" t="s">
        <v>29</v>
      </c>
      <c r="E175" s="2">
        <v>871</v>
      </c>
      <c r="F175" s="2" t="s">
        <v>30</v>
      </c>
      <c r="G175" s="2" t="s">
        <v>46</v>
      </c>
      <c r="H175" s="2" t="s">
        <v>1111</v>
      </c>
      <c r="I175" s="2" t="s">
        <v>1112</v>
      </c>
      <c r="J175" s="2" t="s">
        <v>34</v>
      </c>
      <c r="K175" s="2" t="s">
        <v>34</v>
      </c>
      <c r="L175" s="2" t="s">
        <v>1113</v>
      </c>
      <c r="M175" s="2" t="s">
        <v>34</v>
      </c>
      <c r="N175" s="2" t="s">
        <v>1114</v>
      </c>
      <c r="O175" s="2" t="s">
        <v>34</v>
      </c>
      <c r="P175" s="2" t="s">
        <v>78</v>
      </c>
    </row>
    <row r="176" spans="1:16" x14ac:dyDescent="0.2">
      <c r="A176" s="2" t="s">
        <v>1115</v>
      </c>
      <c r="B176" s="2">
        <v>11</v>
      </c>
      <c r="C176" s="2">
        <v>5</v>
      </c>
      <c r="D176" s="2" t="s">
        <v>29</v>
      </c>
      <c r="E176" s="2">
        <v>940</v>
      </c>
      <c r="F176" s="2" t="s">
        <v>30</v>
      </c>
      <c r="G176" s="2" t="s">
        <v>1116</v>
      </c>
      <c r="H176" s="2" t="s">
        <v>1117</v>
      </c>
      <c r="I176" s="2" t="s">
        <v>1118</v>
      </c>
      <c r="J176" s="2" t="s">
        <v>34</v>
      </c>
      <c r="K176" s="2" t="s">
        <v>34</v>
      </c>
      <c r="L176" s="2" t="s">
        <v>1119</v>
      </c>
      <c r="M176" s="2" t="s">
        <v>34</v>
      </c>
      <c r="N176" s="2" t="s">
        <v>34</v>
      </c>
      <c r="O176" s="2" t="s">
        <v>1120</v>
      </c>
      <c r="P176" s="2" t="s">
        <v>36</v>
      </c>
    </row>
    <row r="177" spans="1:16" x14ac:dyDescent="0.2">
      <c r="A177" s="2" t="s">
        <v>1121</v>
      </c>
      <c r="B177" s="2">
        <v>11</v>
      </c>
      <c r="C177" s="2">
        <v>6</v>
      </c>
      <c r="D177" s="2" t="s">
        <v>29</v>
      </c>
      <c r="E177" s="2">
        <v>831</v>
      </c>
      <c r="F177" s="2" t="s">
        <v>30</v>
      </c>
      <c r="G177" s="2" t="s">
        <v>1122</v>
      </c>
      <c r="H177" s="2" t="s">
        <v>1123</v>
      </c>
      <c r="I177" s="2" t="s">
        <v>1124</v>
      </c>
      <c r="J177" s="2" t="s">
        <v>34</v>
      </c>
      <c r="K177" s="2" t="s">
        <v>34</v>
      </c>
      <c r="L177" s="2" t="s">
        <v>1125</v>
      </c>
      <c r="M177" s="2" t="s">
        <v>34</v>
      </c>
      <c r="N177" s="2" t="s">
        <v>34</v>
      </c>
      <c r="O177" s="2" t="s">
        <v>34</v>
      </c>
      <c r="P177" s="2" t="s">
        <v>36</v>
      </c>
    </row>
    <row r="178" spans="1:16" x14ac:dyDescent="0.2">
      <c r="A178" s="2" t="s">
        <v>1126</v>
      </c>
      <c r="B178" s="2">
        <v>11</v>
      </c>
      <c r="C178" s="2">
        <v>7</v>
      </c>
      <c r="D178" s="2" t="s">
        <v>71</v>
      </c>
      <c r="E178" s="2">
        <v>1223</v>
      </c>
      <c r="F178" s="2" t="s">
        <v>30</v>
      </c>
      <c r="G178" s="2" t="s">
        <v>1127</v>
      </c>
      <c r="H178" s="2" t="s">
        <v>1128</v>
      </c>
      <c r="I178" s="2" t="s">
        <v>1129</v>
      </c>
      <c r="J178" s="2" t="s">
        <v>34</v>
      </c>
      <c r="K178" s="2" t="s">
        <v>34</v>
      </c>
      <c r="L178" s="2" t="s">
        <v>1130</v>
      </c>
      <c r="M178" s="2" t="s">
        <v>1131</v>
      </c>
      <c r="N178" s="2" t="s">
        <v>34</v>
      </c>
      <c r="O178" s="2" t="s">
        <v>1132</v>
      </c>
      <c r="P178" s="2" t="s">
        <v>36</v>
      </c>
    </row>
    <row r="179" spans="1:16" x14ac:dyDescent="0.2">
      <c r="A179" s="2" t="s">
        <v>1133</v>
      </c>
      <c r="B179" s="2">
        <v>11</v>
      </c>
      <c r="C179" s="2">
        <v>8</v>
      </c>
      <c r="D179" s="2" t="s">
        <v>71</v>
      </c>
      <c r="E179" s="2">
        <v>1423</v>
      </c>
      <c r="F179" s="2" t="s">
        <v>30</v>
      </c>
      <c r="G179" s="2" t="s">
        <v>1134</v>
      </c>
      <c r="H179" s="2" t="s">
        <v>1135</v>
      </c>
      <c r="I179" s="2" t="s">
        <v>1136</v>
      </c>
      <c r="J179" s="2" t="s">
        <v>34</v>
      </c>
      <c r="K179" s="2" t="s">
        <v>34</v>
      </c>
      <c r="L179" s="2" t="s">
        <v>1137</v>
      </c>
      <c r="M179" s="2" t="s">
        <v>34</v>
      </c>
      <c r="N179" s="2" t="s">
        <v>34</v>
      </c>
      <c r="O179" s="2" t="s">
        <v>1138</v>
      </c>
      <c r="P179" s="2" t="s">
        <v>36</v>
      </c>
    </row>
    <row r="180" spans="1:16" x14ac:dyDescent="0.2">
      <c r="A180" s="2" t="s">
        <v>1139</v>
      </c>
      <c r="B180" s="2">
        <v>11</v>
      </c>
      <c r="C180" s="2">
        <v>9</v>
      </c>
      <c r="D180" s="2" t="s">
        <v>71</v>
      </c>
      <c r="E180" s="2">
        <v>1497</v>
      </c>
      <c r="F180" s="2" t="s">
        <v>38</v>
      </c>
      <c r="G180" s="2" t="s">
        <v>518</v>
      </c>
      <c r="H180" s="2" t="s">
        <v>1140</v>
      </c>
      <c r="I180" s="2" t="s">
        <v>1141</v>
      </c>
      <c r="J180" s="2" t="s">
        <v>1142</v>
      </c>
      <c r="K180" s="3">
        <v>46491</v>
      </c>
      <c r="L180" s="2" t="s">
        <v>1143</v>
      </c>
      <c r="M180" s="2" t="s">
        <v>1144</v>
      </c>
      <c r="N180" s="2" t="s">
        <v>34</v>
      </c>
      <c r="O180" s="2" t="s">
        <v>34</v>
      </c>
      <c r="P180" s="2" t="s">
        <v>36</v>
      </c>
    </row>
    <row r="181" spans="1:16" x14ac:dyDescent="0.2">
      <c r="A181" s="2" t="s">
        <v>1145</v>
      </c>
      <c r="B181" s="2">
        <v>11</v>
      </c>
      <c r="C181" s="2">
        <v>10</v>
      </c>
      <c r="D181" s="2" t="s">
        <v>71</v>
      </c>
      <c r="E181" s="2">
        <v>1255</v>
      </c>
      <c r="F181" s="2" t="s">
        <v>38</v>
      </c>
      <c r="G181" s="2" t="s">
        <v>1039</v>
      </c>
      <c r="H181" s="2" t="s">
        <v>1146</v>
      </c>
      <c r="I181" s="2" t="s">
        <v>1147</v>
      </c>
      <c r="J181" s="2" t="s">
        <v>1148</v>
      </c>
      <c r="K181" s="3">
        <v>46322</v>
      </c>
      <c r="L181" s="2" t="s">
        <v>1149</v>
      </c>
      <c r="M181" s="2" t="s">
        <v>1150</v>
      </c>
      <c r="N181" s="2" t="s">
        <v>34</v>
      </c>
      <c r="O181" s="2" t="s">
        <v>1151</v>
      </c>
      <c r="P181" s="2" t="s">
        <v>36</v>
      </c>
    </row>
    <row r="182" spans="1:16" x14ac:dyDescent="0.2">
      <c r="A182" s="2" t="s">
        <v>1152</v>
      </c>
      <c r="B182" s="2">
        <v>11</v>
      </c>
      <c r="C182" s="2">
        <v>11</v>
      </c>
      <c r="D182" s="2" t="s">
        <v>71</v>
      </c>
      <c r="E182" s="2">
        <v>1499</v>
      </c>
      <c r="F182" s="2" t="s">
        <v>30</v>
      </c>
      <c r="G182" s="2" t="s">
        <v>1153</v>
      </c>
      <c r="H182" s="2" t="s">
        <v>1154</v>
      </c>
      <c r="I182" s="2" t="s">
        <v>1155</v>
      </c>
      <c r="J182" s="2" t="s">
        <v>34</v>
      </c>
      <c r="K182" s="2" t="s">
        <v>34</v>
      </c>
      <c r="L182" s="2" t="s">
        <v>1156</v>
      </c>
      <c r="M182" s="2" t="s">
        <v>1157</v>
      </c>
      <c r="N182" s="2" t="s">
        <v>34</v>
      </c>
      <c r="O182" s="2" t="s">
        <v>34</v>
      </c>
      <c r="P182" s="2" t="s">
        <v>36</v>
      </c>
    </row>
    <row r="183" spans="1:16" x14ac:dyDescent="0.2">
      <c r="A183" s="2" t="s">
        <v>1158</v>
      </c>
      <c r="B183" s="2">
        <v>11</v>
      </c>
      <c r="C183" s="2">
        <v>12</v>
      </c>
      <c r="D183" s="2" t="s">
        <v>71</v>
      </c>
      <c r="E183" s="2">
        <v>1468</v>
      </c>
      <c r="F183" s="2" t="s">
        <v>38</v>
      </c>
      <c r="G183" s="2" t="s">
        <v>1159</v>
      </c>
      <c r="H183" s="2" t="s">
        <v>1160</v>
      </c>
      <c r="I183" s="2" t="s">
        <v>1161</v>
      </c>
      <c r="J183" s="2" t="s">
        <v>1162</v>
      </c>
      <c r="K183" s="3">
        <v>46257</v>
      </c>
      <c r="L183" s="2" t="s">
        <v>1163</v>
      </c>
      <c r="M183" s="2" t="s">
        <v>34</v>
      </c>
      <c r="N183" s="2" t="s">
        <v>34</v>
      </c>
      <c r="O183" s="2" t="s">
        <v>34</v>
      </c>
      <c r="P183" s="2" t="s">
        <v>36</v>
      </c>
    </row>
    <row r="184" spans="1:16" x14ac:dyDescent="0.2">
      <c r="A184" s="2" t="s">
        <v>1164</v>
      </c>
      <c r="B184" s="2">
        <v>11</v>
      </c>
      <c r="C184" s="2">
        <v>13</v>
      </c>
      <c r="D184" s="2" t="s">
        <v>113</v>
      </c>
      <c r="E184" s="2">
        <v>2061</v>
      </c>
      <c r="F184" s="2" t="s">
        <v>30</v>
      </c>
      <c r="G184" s="2" t="s">
        <v>1165</v>
      </c>
      <c r="H184" s="2" t="s">
        <v>1166</v>
      </c>
      <c r="I184" s="2" t="s">
        <v>1167</v>
      </c>
      <c r="J184" s="2" t="s">
        <v>34</v>
      </c>
      <c r="K184" s="2" t="s">
        <v>34</v>
      </c>
      <c r="L184" s="2" t="s">
        <v>1168</v>
      </c>
      <c r="M184" s="2" t="s">
        <v>34</v>
      </c>
      <c r="N184" s="2" t="s">
        <v>34</v>
      </c>
      <c r="O184" s="2" t="s">
        <v>1169</v>
      </c>
      <c r="P184" s="2" t="s">
        <v>36</v>
      </c>
    </row>
    <row r="185" spans="1:16" x14ac:dyDescent="0.2">
      <c r="A185" s="2" t="s">
        <v>1170</v>
      </c>
      <c r="B185" s="2">
        <v>11</v>
      </c>
      <c r="C185" s="2">
        <v>14</v>
      </c>
      <c r="D185" s="2" t="s">
        <v>113</v>
      </c>
      <c r="E185" s="2">
        <v>1995</v>
      </c>
      <c r="F185" s="2" t="s">
        <v>30</v>
      </c>
      <c r="G185" s="2" t="s">
        <v>1171</v>
      </c>
      <c r="H185" s="2" t="s">
        <v>1172</v>
      </c>
      <c r="I185" s="2" t="s">
        <v>1173</v>
      </c>
      <c r="J185" s="2" t="s">
        <v>34</v>
      </c>
      <c r="K185" s="2" t="s">
        <v>34</v>
      </c>
      <c r="L185" s="2" t="s">
        <v>1174</v>
      </c>
      <c r="M185" s="2" t="s">
        <v>34</v>
      </c>
      <c r="N185" s="2" t="s">
        <v>34</v>
      </c>
      <c r="O185" s="2" t="s">
        <v>34</v>
      </c>
      <c r="P185" s="2" t="s">
        <v>36</v>
      </c>
    </row>
    <row r="186" spans="1:16" x14ac:dyDescent="0.2">
      <c r="A186" s="2" t="s">
        <v>1175</v>
      </c>
      <c r="B186" s="2">
        <v>11</v>
      </c>
      <c r="C186" s="2">
        <v>15</v>
      </c>
      <c r="D186" s="2" t="s">
        <v>113</v>
      </c>
      <c r="E186" s="2">
        <v>1978</v>
      </c>
      <c r="F186" s="2" t="s">
        <v>38</v>
      </c>
      <c r="G186" s="2" t="s">
        <v>1176</v>
      </c>
      <c r="H186" s="2" t="s">
        <v>1177</v>
      </c>
      <c r="I186" s="2" t="s">
        <v>1178</v>
      </c>
      <c r="J186" s="2" t="s">
        <v>1179</v>
      </c>
      <c r="K186" s="3">
        <v>46341</v>
      </c>
      <c r="L186" s="2" t="s">
        <v>1180</v>
      </c>
      <c r="M186" s="2" t="s">
        <v>34</v>
      </c>
      <c r="N186" s="2" t="s">
        <v>34</v>
      </c>
      <c r="O186" s="2" t="s">
        <v>1181</v>
      </c>
      <c r="P186" s="2" t="s">
        <v>36</v>
      </c>
    </row>
    <row r="187" spans="1:16" x14ac:dyDescent="0.2">
      <c r="A187" s="2" t="s">
        <v>1182</v>
      </c>
      <c r="B187" s="2">
        <v>11</v>
      </c>
      <c r="C187" s="2">
        <v>16</v>
      </c>
      <c r="D187" s="2" t="s">
        <v>113</v>
      </c>
      <c r="E187" s="2">
        <v>2177</v>
      </c>
      <c r="F187" s="2" t="s">
        <v>30</v>
      </c>
      <c r="G187" s="2" t="s">
        <v>1183</v>
      </c>
      <c r="H187" s="2" t="s">
        <v>1184</v>
      </c>
      <c r="I187" s="2" t="s">
        <v>1185</v>
      </c>
      <c r="J187" s="2" t="s">
        <v>34</v>
      </c>
      <c r="K187" s="2" t="s">
        <v>34</v>
      </c>
      <c r="L187" s="2" t="s">
        <v>1186</v>
      </c>
      <c r="M187" s="2" t="s">
        <v>1187</v>
      </c>
      <c r="N187" s="2" t="s">
        <v>34</v>
      </c>
      <c r="O187" s="2" t="s">
        <v>34</v>
      </c>
      <c r="P187" s="2" t="s">
        <v>36</v>
      </c>
    </row>
    <row r="188" spans="1:16" x14ac:dyDescent="0.2">
      <c r="A188" s="2" t="s">
        <v>1188</v>
      </c>
      <c r="B188" s="2">
        <v>11</v>
      </c>
      <c r="C188" s="2">
        <v>17</v>
      </c>
      <c r="D188" s="2" t="s">
        <v>144</v>
      </c>
      <c r="E188" s="2">
        <v>2918</v>
      </c>
      <c r="F188" s="2" t="s">
        <v>30</v>
      </c>
      <c r="G188" s="2" t="s">
        <v>988</v>
      </c>
      <c r="H188" s="2" t="s">
        <v>1189</v>
      </c>
      <c r="I188" s="2" t="s">
        <v>1190</v>
      </c>
      <c r="J188" s="2" t="s">
        <v>34</v>
      </c>
      <c r="K188" s="2" t="s">
        <v>34</v>
      </c>
      <c r="L188" s="2" t="s">
        <v>1191</v>
      </c>
      <c r="M188" s="2" t="s">
        <v>1192</v>
      </c>
      <c r="N188" s="2" t="s">
        <v>34</v>
      </c>
      <c r="O188" s="2" t="s">
        <v>1193</v>
      </c>
      <c r="P188" s="2" t="s">
        <v>36</v>
      </c>
    </row>
    <row r="189" spans="1:16" x14ac:dyDescent="0.2">
      <c r="A189" s="2" t="s">
        <v>1194</v>
      </c>
      <c r="B189" s="2">
        <v>12</v>
      </c>
      <c r="C189" s="2">
        <v>1</v>
      </c>
      <c r="D189" s="2" t="s">
        <v>29</v>
      </c>
      <c r="E189" s="2">
        <v>851</v>
      </c>
      <c r="F189" s="2" t="s">
        <v>30</v>
      </c>
      <c r="G189" s="2" t="s">
        <v>518</v>
      </c>
      <c r="H189" s="2" t="s">
        <v>1195</v>
      </c>
      <c r="I189" s="2" t="s">
        <v>1196</v>
      </c>
      <c r="J189" s="2" t="s">
        <v>34</v>
      </c>
      <c r="K189" s="2" t="s">
        <v>34</v>
      </c>
      <c r="L189" s="2" t="s">
        <v>1197</v>
      </c>
      <c r="M189" s="2" t="s">
        <v>34</v>
      </c>
      <c r="N189" s="2" t="s">
        <v>34</v>
      </c>
      <c r="O189" s="2" t="s">
        <v>34</v>
      </c>
      <c r="P189" s="2" t="s">
        <v>36</v>
      </c>
    </row>
    <row r="190" spans="1:16" x14ac:dyDescent="0.2">
      <c r="A190" s="2" t="s">
        <v>1198</v>
      </c>
      <c r="B190" s="2">
        <v>12</v>
      </c>
      <c r="C190" s="2">
        <v>2</v>
      </c>
      <c r="D190" s="2" t="s">
        <v>29</v>
      </c>
      <c r="E190" s="2">
        <v>908</v>
      </c>
      <c r="F190" s="2" t="s">
        <v>30</v>
      </c>
      <c r="G190" s="2" t="s">
        <v>263</v>
      </c>
      <c r="H190" s="2" t="s">
        <v>1199</v>
      </c>
      <c r="I190" s="2" t="s">
        <v>1200</v>
      </c>
      <c r="J190" s="2" t="s">
        <v>34</v>
      </c>
      <c r="K190" s="2" t="s">
        <v>34</v>
      </c>
      <c r="L190" s="2" t="s">
        <v>1201</v>
      </c>
      <c r="M190" s="2" t="s">
        <v>34</v>
      </c>
      <c r="N190" s="2" t="s">
        <v>34</v>
      </c>
      <c r="O190" s="2" t="s">
        <v>1202</v>
      </c>
      <c r="P190" s="2" t="s">
        <v>78</v>
      </c>
    </row>
    <row r="191" spans="1:16" x14ac:dyDescent="0.2">
      <c r="A191" s="2" t="s">
        <v>1203</v>
      </c>
      <c r="B191" s="2">
        <v>12</v>
      </c>
      <c r="C191" s="2">
        <v>3</v>
      </c>
      <c r="D191" s="2" t="s">
        <v>29</v>
      </c>
      <c r="E191" s="2">
        <v>876</v>
      </c>
      <c r="F191" s="2" t="s">
        <v>30</v>
      </c>
      <c r="G191" s="2" t="s">
        <v>1204</v>
      </c>
      <c r="H191" s="2" t="s">
        <v>1205</v>
      </c>
      <c r="I191" s="2" t="s">
        <v>1206</v>
      </c>
      <c r="J191" s="2" t="s">
        <v>34</v>
      </c>
      <c r="K191" s="2" t="s">
        <v>34</v>
      </c>
      <c r="L191" s="2" t="s">
        <v>1207</v>
      </c>
      <c r="M191" s="2" t="s">
        <v>34</v>
      </c>
      <c r="N191" s="2" t="s">
        <v>34</v>
      </c>
      <c r="O191" s="2" t="s">
        <v>34</v>
      </c>
      <c r="P191" s="2" t="s">
        <v>78</v>
      </c>
    </row>
    <row r="192" spans="1:16" x14ac:dyDescent="0.2">
      <c r="A192" s="2" t="s">
        <v>1208</v>
      </c>
      <c r="B192" s="2">
        <v>12</v>
      </c>
      <c r="C192" s="2">
        <v>4</v>
      </c>
      <c r="D192" s="2" t="s">
        <v>29</v>
      </c>
      <c r="E192" s="2">
        <v>822</v>
      </c>
      <c r="F192" s="2" t="s">
        <v>30</v>
      </c>
      <c r="G192" s="2" t="s">
        <v>1209</v>
      </c>
      <c r="H192" s="2" t="s">
        <v>1210</v>
      </c>
      <c r="I192" s="2" t="s">
        <v>1211</v>
      </c>
      <c r="J192" s="2" t="s">
        <v>34</v>
      </c>
      <c r="K192" s="2" t="s">
        <v>34</v>
      </c>
      <c r="L192" s="2" t="s">
        <v>1212</v>
      </c>
      <c r="M192" s="2" t="s">
        <v>34</v>
      </c>
      <c r="N192" s="2" t="s">
        <v>34</v>
      </c>
      <c r="O192" s="2" t="s">
        <v>1213</v>
      </c>
      <c r="P192" s="2" t="s">
        <v>78</v>
      </c>
    </row>
    <row r="193" spans="1:16" x14ac:dyDescent="0.2">
      <c r="A193" s="2" t="s">
        <v>1214</v>
      </c>
      <c r="B193" s="2">
        <v>12</v>
      </c>
      <c r="C193" s="2">
        <v>5</v>
      </c>
      <c r="D193" s="2" t="s">
        <v>29</v>
      </c>
      <c r="E193" s="2">
        <v>890</v>
      </c>
      <c r="F193" s="2" t="s">
        <v>30</v>
      </c>
      <c r="G193" s="2" t="s">
        <v>1215</v>
      </c>
      <c r="H193" s="2" t="s">
        <v>1216</v>
      </c>
      <c r="I193" s="2" t="s">
        <v>1217</v>
      </c>
      <c r="J193" s="2" t="s">
        <v>34</v>
      </c>
      <c r="K193" s="2" t="s">
        <v>34</v>
      </c>
      <c r="L193" s="2" t="s">
        <v>1218</v>
      </c>
      <c r="M193" s="2" t="s">
        <v>34</v>
      </c>
      <c r="N193" s="2" t="s">
        <v>34</v>
      </c>
      <c r="O193" s="2" t="s">
        <v>1219</v>
      </c>
      <c r="P193" s="2" t="s">
        <v>36</v>
      </c>
    </row>
    <row r="194" spans="1:16" x14ac:dyDescent="0.2">
      <c r="A194" s="2" t="s">
        <v>1220</v>
      </c>
      <c r="B194" s="2">
        <v>12</v>
      </c>
      <c r="C194" s="2">
        <v>6</v>
      </c>
      <c r="D194" s="2" t="s">
        <v>29</v>
      </c>
      <c r="E194" s="2">
        <v>969</v>
      </c>
      <c r="F194" s="2" t="s">
        <v>38</v>
      </c>
      <c r="G194" s="2" t="s">
        <v>1221</v>
      </c>
      <c r="H194" s="2" t="s">
        <v>1222</v>
      </c>
      <c r="I194" s="2" t="s">
        <v>1223</v>
      </c>
      <c r="J194" s="2" t="s">
        <v>606</v>
      </c>
      <c r="K194" s="3">
        <v>46444</v>
      </c>
      <c r="L194" s="2" t="s">
        <v>1224</v>
      </c>
      <c r="M194" s="2" t="s">
        <v>34</v>
      </c>
      <c r="N194" s="2" t="s">
        <v>34</v>
      </c>
      <c r="O194" s="2" t="s">
        <v>34</v>
      </c>
      <c r="P194" s="2" t="s">
        <v>36</v>
      </c>
    </row>
    <row r="195" spans="1:16" x14ac:dyDescent="0.2">
      <c r="A195" s="2" t="s">
        <v>1225</v>
      </c>
      <c r="B195" s="2">
        <v>12</v>
      </c>
      <c r="C195" s="2">
        <v>7</v>
      </c>
      <c r="D195" s="2" t="s">
        <v>71</v>
      </c>
      <c r="E195" s="2">
        <v>1352</v>
      </c>
      <c r="F195" s="2" t="s">
        <v>30</v>
      </c>
      <c r="G195" s="2" t="s">
        <v>1226</v>
      </c>
      <c r="H195" s="2" t="s">
        <v>1227</v>
      </c>
      <c r="I195" s="2" t="s">
        <v>1228</v>
      </c>
      <c r="J195" s="2" t="s">
        <v>34</v>
      </c>
      <c r="K195" s="2" t="s">
        <v>34</v>
      </c>
      <c r="L195" s="2" t="s">
        <v>1229</v>
      </c>
      <c r="M195" s="2" t="s">
        <v>34</v>
      </c>
      <c r="N195" s="2" t="s">
        <v>34</v>
      </c>
      <c r="O195" s="2" t="s">
        <v>34</v>
      </c>
      <c r="P195" s="2" t="s">
        <v>36</v>
      </c>
    </row>
    <row r="196" spans="1:16" x14ac:dyDescent="0.2">
      <c r="A196" s="2" t="s">
        <v>1230</v>
      </c>
      <c r="B196" s="2">
        <v>12</v>
      </c>
      <c r="C196" s="2">
        <v>8</v>
      </c>
      <c r="D196" s="2" t="s">
        <v>71</v>
      </c>
      <c r="E196" s="2">
        <v>1303</v>
      </c>
      <c r="F196" s="2" t="s">
        <v>30</v>
      </c>
      <c r="G196" s="2" t="s">
        <v>305</v>
      </c>
      <c r="H196" s="2" t="s">
        <v>1231</v>
      </c>
      <c r="I196" s="2" t="s">
        <v>1232</v>
      </c>
      <c r="J196" s="2" t="s">
        <v>34</v>
      </c>
      <c r="K196" s="2" t="s">
        <v>34</v>
      </c>
      <c r="L196" s="2" t="s">
        <v>1233</v>
      </c>
      <c r="M196" s="2" t="s">
        <v>1234</v>
      </c>
      <c r="N196" s="2" t="s">
        <v>34</v>
      </c>
      <c r="O196" s="2" t="s">
        <v>1235</v>
      </c>
      <c r="P196" s="2" t="s">
        <v>36</v>
      </c>
    </row>
    <row r="197" spans="1:16" x14ac:dyDescent="0.2">
      <c r="A197" s="2" t="s">
        <v>1236</v>
      </c>
      <c r="B197" s="2">
        <v>12</v>
      </c>
      <c r="C197" s="2">
        <v>9</v>
      </c>
      <c r="D197" s="2" t="s">
        <v>71</v>
      </c>
      <c r="E197" s="2">
        <v>1387</v>
      </c>
      <c r="F197" s="2" t="s">
        <v>30</v>
      </c>
      <c r="G197" s="2" t="s">
        <v>1237</v>
      </c>
      <c r="H197" s="2" t="s">
        <v>1238</v>
      </c>
      <c r="I197" s="2" t="s">
        <v>1239</v>
      </c>
      <c r="J197" s="2" t="s">
        <v>34</v>
      </c>
      <c r="K197" s="2" t="s">
        <v>34</v>
      </c>
      <c r="L197" s="2" t="s">
        <v>1240</v>
      </c>
      <c r="M197" s="2" t="s">
        <v>1241</v>
      </c>
      <c r="N197" s="2" t="s">
        <v>34</v>
      </c>
      <c r="O197" s="2" t="s">
        <v>34</v>
      </c>
      <c r="P197" s="2" t="s">
        <v>36</v>
      </c>
    </row>
    <row r="198" spans="1:16" x14ac:dyDescent="0.2">
      <c r="A198" s="2" t="s">
        <v>1242</v>
      </c>
      <c r="B198" s="2">
        <v>12</v>
      </c>
      <c r="C198" s="2">
        <v>10</v>
      </c>
      <c r="D198" s="2" t="s">
        <v>71</v>
      </c>
      <c r="E198" s="2">
        <v>1363</v>
      </c>
      <c r="F198" s="2" t="s">
        <v>38</v>
      </c>
      <c r="G198" s="2" t="s">
        <v>1243</v>
      </c>
      <c r="H198" s="2" t="s">
        <v>1244</v>
      </c>
      <c r="I198" s="2" t="s">
        <v>1245</v>
      </c>
      <c r="J198" s="2" t="s">
        <v>1246</v>
      </c>
      <c r="K198" s="3">
        <v>46194</v>
      </c>
      <c r="L198" s="2" t="s">
        <v>1247</v>
      </c>
      <c r="M198" s="2" t="s">
        <v>1248</v>
      </c>
      <c r="N198" s="2" t="s">
        <v>34</v>
      </c>
      <c r="O198" s="2" t="s">
        <v>1249</v>
      </c>
      <c r="P198" s="2" t="s">
        <v>78</v>
      </c>
    </row>
    <row r="199" spans="1:16" x14ac:dyDescent="0.2">
      <c r="A199" s="2" t="s">
        <v>1250</v>
      </c>
      <c r="B199" s="2">
        <v>12</v>
      </c>
      <c r="C199" s="2">
        <v>11</v>
      </c>
      <c r="D199" s="2" t="s">
        <v>71</v>
      </c>
      <c r="E199" s="2">
        <v>1351</v>
      </c>
      <c r="F199" s="2" t="s">
        <v>30</v>
      </c>
      <c r="G199" s="2" t="s">
        <v>1251</v>
      </c>
      <c r="H199" s="2" t="s">
        <v>1252</v>
      </c>
      <c r="I199" s="2" t="s">
        <v>1253</v>
      </c>
      <c r="J199" s="2" t="s">
        <v>34</v>
      </c>
      <c r="K199" s="2" t="s">
        <v>34</v>
      </c>
      <c r="L199" s="2" t="s">
        <v>1254</v>
      </c>
      <c r="M199" s="2" t="s">
        <v>1255</v>
      </c>
      <c r="N199" s="2" t="s">
        <v>34</v>
      </c>
      <c r="O199" s="2" t="s">
        <v>34</v>
      </c>
      <c r="P199" s="2" t="s">
        <v>36</v>
      </c>
    </row>
    <row r="200" spans="1:16" x14ac:dyDescent="0.2">
      <c r="A200" s="2" t="s">
        <v>1256</v>
      </c>
      <c r="B200" s="2">
        <v>12</v>
      </c>
      <c r="C200" s="2">
        <v>12</v>
      </c>
      <c r="D200" s="2" t="s">
        <v>71</v>
      </c>
      <c r="E200" s="2">
        <v>1417</v>
      </c>
      <c r="F200" s="2" t="s">
        <v>30</v>
      </c>
      <c r="G200" s="2" t="s">
        <v>1257</v>
      </c>
      <c r="H200" s="2" t="s">
        <v>1258</v>
      </c>
      <c r="I200" s="2" t="s">
        <v>1259</v>
      </c>
      <c r="J200" s="2" t="s">
        <v>34</v>
      </c>
      <c r="K200" s="2" t="s">
        <v>34</v>
      </c>
      <c r="L200" s="2" t="s">
        <v>1260</v>
      </c>
      <c r="M200" s="2" t="s">
        <v>1261</v>
      </c>
      <c r="N200" s="2" t="s">
        <v>34</v>
      </c>
      <c r="O200" s="2" t="s">
        <v>34</v>
      </c>
      <c r="P200" s="2" t="s">
        <v>36</v>
      </c>
    </row>
    <row r="201" spans="1:16" x14ac:dyDescent="0.2">
      <c r="A201" s="2" t="s">
        <v>1262</v>
      </c>
      <c r="B201" s="2">
        <v>12</v>
      </c>
      <c r="C201" s="2">
        <v>13</v>
      </c>
      <c r="D201" s="2" t="s">
        <v>113</v>
      </c>
      <c r="E201" s="2">
        <v>2192</v>
      </c>
      <c r="F201" s="2" t="s">
        <v>30</v>
      </c>
      <c r="G201" s="2" t="s">
        <v>907</v>
      </c>
      <c r="H201" s="2" t="s">
        <v>1263</v>
      </c>
      <c r="I201" s="2" t="s">
        <v>1264</v>
      </c>
      <c r="J201" s="2" t="s">
        <v>34</v>
      </c>
      <c r="K201" s="2" t="s">
        <v>34</v>
      </c>
      <c r="L201" s="2" t="s">
        <v>1265</v>
      </c>
      <c r="M201" s="2" t="s">
        <v>1266</v>
      </c>
      <c r="N201" s="2" t="s">
        <v>34</v>
      </c>
      <c r="O201" s="2" t="s">
        <v>34</v>
      </c>
      <c r="P201" s="2" t="s">
        <v>78</v>
      </c>
    </row>
    <row r="202" spans="1:16" x14ac:dyDescent="0.2">
      <c r="A202" s="2" t="s">
        <v>1267</v>
      </c>
      <c r="B202" s="2">
        <v>12</v>
      </c>
      <c r="C202" s="2">
        <v>14</v>
      </c>
      <c r="D202" s="2" t="s">
        <v>113</v>
      </c>
      <c r="E202" s="2">
        <v>1973</v>
      </c>
      <c r="F202" s="2" t="s">
        <v>38</v>
      </c>
      <c r="G202" s="2" t="s">
        <v>318</v>
      </c>
      <c r="H202" s="2" t="s">
        <v>1268</v>
      </c>
      <c r="I202" s="2" t="s">
        <v>1269</v>
      </c>
      <c r="J202" s="2" t="s">
        <v>1092</v>
      </c>
      <c r="K202" s="3">
        <v>46295</v>
      </c>
      <c r="L202" s="2" t="s">
        <v>1270</v>
      </c>
      <c r="M202" s="2" t="s">
        <v>1271</v>
      </c>
      <c r="N202" s="2" t="s">
        <v>34</v>
      </c>
      <c r="O202" s="2" t="s">
        <v>34</v>
      </c>
      <c r="P202" s="2" t="s">
        <v>36</v>
      </c>
    </row>
    <row r="203" spans="1:16" x14ac:dyDescent="0.2">
      <c r="A203" s="2" t="s">
        <v>1272</v>
      </c>
      <c r="B203" s="2">
        <v>12</v>
      </c>
      <c r="C203" s="2">
        <v>15</v>
      </c>
      <c r="D203" s="2" t="s">
        <v>113</v>
      </c>
      <c r="E203" s="2">
        <v>2151</v>
      </c>
      <c r="F203" s="2" t="s">
        <v>30</v>
      </c>
      <c r="G203" s="2" t="s">
        <v>1273</v>
      </c>
      <c r="H203" s="2" t="s">
        <v>1274</v>
      </c>
      <c r="I203" s="2" t="s">
        <v>1275</v>
      </c>
      <c r="J203" s="2" t="s">
        <v>34</v>
      </c>
      <c r="K203" s="2" t="s">
        <v>34</v>
      </c>
      <c r="L203" s="2" t="s">
        <v>1276</v>
      </c>
      <c r="M203" s="2" t="s">
        <v>1277</v>
      </c>
      <c r="N203" s="2" t="s">
        <v>34</v>
      </c>
      <c r="O203" s="2" t="s">
        <v>34</v>
      </c>
      <c r="P203" s="2" t="s">
        <v>36</v>
      </c>
    </row>
    <row r="204" spans="1:16" x14ac:dyDescent="0.2">
      <c r="A204" s="2" t="s">
        <v>1278</v>
      </c>
      <c r="B204" s="2">
        <v>12</v>
      </c>
      <c r="C204" s="2">
        <v>16</v>
      </c>
      <c r="D204" s="2" t="s">
        <v>113</v>
      </c>
      <c r="E204" s="2">
        <v>2032</v>
      </c>
      <c r="F204" s="2" t="s">
        <v>38</v>
      </c>
      <c r="G204" s="2" t="s">
        <v>875</v>
      </c>
      <c r="H204" s="2" t="s">
        <v>1279</v>
      </c>
      <c r="I204" s="2" t="s">
        <v>1280</v>
      </c>
      <c r="J204" s="2" t="s">
        <v>842</v>
      </c>
      <c r="K204" s="3">
        <v>46125</v>
      </c>
      <c r="L204" s="2" t="s">
        <v>1281</v>
      </c>
      <c r="M204" s="2" t="s">
        <v>34</v>
      </c>
      <c r="N204" s="2" t="s">
        <v>34</v>
      </c>
      <c r="O204" s="2" t="s">
        <v>1282</v>
      </c>
      <c r="P204" s="2" t="s">
        <v>36</v>
      </c>
    </row>
    <row r="205" spans="1:16" x14ac:dyDescent="0.2">
      <c r="A205" s="2" t="s">
        <v>1283</v>
      </c>
      <c r="B205" s="2">
        <v>12</v>
      </c>
      <c r="C205" s="2">
        <v>17</v>
      </c>
      <c r="D205" s="2" t="s">
        <v>144</v>
      </c>
      <c r="E205" s="2">
        <v>3830</v>
      </c>
      <c r="F205" s="2" t="s">
        <v>30</v>
      </c>
      <c r="G205" s="2" t="s">
        <v>1284</v>
      </c>
      <c r="H205" s="2" t="s">
        <v>1285</v>
      </c>
      <c r="I205" s="2" t="s">
        <v>1286</v>
      </c>
      <c r="J205" s="2" t="s">
        <v>34</v>
      </c>
      <c r="K205" s="2" t="s">
        <v>34</v>
      </c>
      <c r="L205" s="2" t="s">
        <v>1287</v>
      </c>
      <c r="M205" s="2" t="s">
        <v>1288</v>
      </c>
      <c r="N205" s="2" t="s">
        <v>34</v>
      </c>
      <c r="O205" s="2" t="s">
        <v>1289</v>
      </c>
      <c r="P205" s="2" t="s">
        <v>36</v>
      </c>
    </row>
    <row r="206" spans="1:16" x14ac:dyDescent="0.2">
      <c r="A206" s="2" t="s">
        <v>1290</v>
      </c>
      <c r="B206" s="2">
        <v>13</v>
      </c>
      <c r="C206" s="2">
        <v>1</v>
      </c>
      <c r="D206" s="2" t="s">
        <v>29</v>
      </c>
      <c r="E206" s="2">
        <v>906</v>
      </c>
      <c r="F206" s="2" t="s">
        <v>38</v>
      </c>
      <c r="G206" s="2" t="s">
        <v>321</v>
      </c>
      <c r="H206" s="2" t="s">
        <v>1291</v>
      </c>
      <c r="I206" s="2" t="s">
        <v>1292</v>
      </c>
      <c r="J206" s="2" t="s">
        <v>960</v>
      </c>
      <c r="K206" s="3">
        <v>46197</v>
      </c>
      <c r="L206" s="2" t="s">
        <v>1293</v>
      </c>
      <c r="M206" s="2" t="s">
        <v>34</v>
      </c>
      <c r="N206" s="2" t="s">
        <v>34</v>
      </c>
      <c r="O206" s="2" t="s">
        <v>1294</v>
      </c>
      <c r="P206" s="2" t="s">
        <v>78</v>
      </c>
    </row>
    <row r="207" spans="1:16" x14ac:dyDescent="0.2">
      <c r="A207" s="2" t="s">
        <v>1295</v>
      </c>
      <c r="B207" s="2">
        <v>13</v>
      </c>
      <c r="C207" s="2">
        <v>2</v>
      </c>
      <c r="D207" s="2" t="s">
        <v>29</v>
      </c>
      <c r="E207" s="2">
        <v>874</v>
      </c>
      <c r="F207" s="2" t="s">
        <v>30</v>
      </c>
      <c r="G207" s="2" t="s">
        <v>1296</v>
      </c>
      <c r="H207" s="2" t="s">
        <v>1297</v>
      </c>
      <c r="I207" s="2" t="s">
        <v>1298</v>
      </c>
      <c r="J207" s="2" t="s">
        <v>34</v>
      </c>
      <c r="K207" s="2" t="s">
        <v>34</v>
      </c>
      <c r="L207" s="2" t="s">
        <v>1299</v>
      </c>
      <c r="M207" s="2" t="s">
        <v>34</v>
      </c>
      <c r="N207" s="2" t="s">
        <v>34</v>
      </c>
      <c r="O207" s="2" t="s">
        <v>34</v>
      </c>
      <c r="P207" s="2" t="s">
        <v>36</v>
      </c>
    </row>
    <row r="208" spans="1:16" x14ac:dyDescent="0.2">
      <c r="A208" s="2" t="s">
        <v>1300</v>
      </c>
      <c r="B208" s="2">
        <v>13</v>
      </c>
      <c r="C208" s="2">
        <v>3</v>
      </c>
      <c r="D208" s="2" t="s">
        <v>29</v>
      </c>
      <c r="E208" s="2">
        <v>956</v>
      </c>
      <c r="F208" s="2" t="s">
        <v>38</v>
      </c>
      <c r="G208" s="2" t="s">
        <v>1301</v>
      </c>
      <c r="H208" s="2" t="s">
        <v>1302</v>
      </c>
      <c r="I208" s="2" t="s">
        <v>1303</v>
      </c>
      <c r="J208" s="2" t="s">
        <v>1304</v>
      </c>
      <c r="K208" s="3">
        <v>46126</v>
      </c>
      <c r="L208" s="2" t="s">
        <v>1305</v>
      </c>
      <c r="M208" s="2" t="s">
        <v>34</v>
      </c>
      <c r="N208" s="2" t="s">
        <v>34</v>
      </c>
      <c r="O208" s="2" t="s">
        <v>34</v>
      </c>
      <c r="P208" s="2" t="s">
        <v>36</v>
      </c>
    </row>
    <row r="209" spans="1:16" x14ac:dyDescent="0.2">
      <c r="A209" s="2" t="s">
        <v>1306</v>
      </c>
      <c r="B209" s="2">
        <v>13</v>
      </c>
      <c r="C209" s="2">
        <v>4</v>
      </c>
      <c r="D209" s="2" t="s">
        <v>29</v>
      </c>
      <c r="E209" s="2">
        <v>960</v>
      </c>
      <c r="F209" s="2" t="s">
        <v>30</v>
      </c>
      <c r="G209" s="2" t="s">
        <v>1307</v>
      </c>
      <c r="H209" s="2" t="s">
        <v>1308</v>
      </c>
      <c r="I209" s="2" t="s">
        <v>1309</v>
      </c>
      <c r="J209" s="2" t="s">
        <v>34</v>
      </c>
      <c r="K209" s="2" t="s">
        <v>34</v>
      </c>
      <c r="L209" s="2" t="s">
        <v>1310</v>
      </c>
      <c r="M209" s="2" t="s">
        <v>34</v>
      </c>
      <c r="N209" s="2" t="s">
        <v>34</v>
      </c>
      <c r="O209" s="2" t="s">
        <v>1311</v>
      </c>
      <c r="P209" s="2" t="s">
        <v>36</v>
      </c>
    </row>
    <row r="210" spans="1:16" x14ac:dyDescent="0.2">
      <c r="A210" s="2" t="s">
        <v>1312</v>
      </c>
      <c r="B210" s="2">
        <v>13</v>
      </c>
      <c r="C210" s="2">
        <v>5</v>
      </c>
      <c r="D210" s="2" t="s">
        <v>29</v>
      </c>
      <c r="E210" s="2">
        <v>953</v>
      </c>
      <c r="F210" s="2" t="s">
        <v>38</v>
      </c>
      <c r="G210" s="2" t="s">
        <v>203</v>
      </c>
      <c r="H210" s="2" t="s">
        <v>1313</v>
      </c>
      <c r="I210" s="2" t="s">
        <v>1314</v>
      </c>
      <c r="J210" s="2" t="s">
        <v>1315</v>
      </c>
      <c r="K210" s="3">
        <v>46164</v>
      </c>
      <c r="L210" s="2" t="s">
        <v>1316</v>
      </c>
      <c r="M210" s="2" t="s">
        <v>34</v>
      </c>
      <c r="N210" s="2" t="s">
        <v>1317</v>
      </c>
      <c r="O210" s="2" t="s">
        <v>1318</v>
      </c>
      <c r="P210" s="2" t="s">
        <v>36</v>
      </c>
    </row>
    <row r="211" spans="1:16" x14ac:dyDescent="0.2">
      <c r="A211" s="2" t="s">
        <v>1319</v>
      </c>
      <c r="B211" s="2">
        <v>13</v>
      </c>
      <c r="C211" s="2">
        <v>6</v>
      </c>
      <c r="D211" s="2" t="s">
        <v>29</v>
      </c>
      <c r="E211" s="2">
        <v>871</v>
      </c>
      <c r="F211" s="2" t="s">
        <v>30</v>
      </c>
      <c r="G211" s="2" t="s">
        <v>1320</v>
      </c>
      <c r="H211" s="2" t="s">
        <v>1321</v>
      </c>
      <c r="I211" s="2" t="s">
        <v>1322</v>
      </c>
      <c r="J211" s="2" t="s">
        <v>34</v>
      </c>
      <c r="K211" s="2" t="s">
        <v>34</v>
      </c>
      <c r="L211" s="2" t="s">
        <v>1323</v>
      </c>
      <c r="M211" s="2" t="s">
        <v>34</v>
      </c>
      <c r="N211" s="2" t="s">
        <v>34</v>
      </c>
      <c r="O211" s="2" t="s">
        <v>1324</v>
      </c>
      <c r="P211" s="2" t="s">
        <v>78</v>
      </c>
    </row>
    <row r="212" spans="1:16" x14ac:dyDescent="0.2">
      <c r="A212" s="2" t="s">
        <v>1325</v>
      </c>
      <c r="B212" s="2">
        <v>13</v>
      </c>
      <c r="C212" s="2">
        <v>7</v>
      </c>
      <c r="D212" s="2" t="s">
        <v>71</v>
      </c>
      <c r="E212" s="2">
        <v>1349</v>
      </c>
      <c r="F212" s="2" t="s">
        <v>30</v>
      </c>
      <c r="G212" s="2" t="s">
        <v>1326</v>
      </c>
      <c r="H212" s="2" t="s">
        <v>1327</v>
      </c>
      <c r="I212" s="2" t="s">
        <v>1328</v>
      </c>
      <c r="J212" s="2" t="s">
        <v>34</v>
      </c>
      <c r="K212" s="2" t="s">
        <v>34</v>
      </c>
      <c r="L212" s="2" t="s">
        <v>1329</v>
      </c>
      <c r="M212" s="2" t="s">
        <v>1330</v>
      </c>
      <c r="N212" s="2" t="s">
        <v>34</v>
      </c>
      <c r="O212" s="2" t="s">
        <v>34</v>
      </c>
      <c r="P212" s="2" t="s">
        <v>78</v>
      </c>
    </row>
    <row r="213" spans="1:16" x14ac:dyDescent="0.2">
      <c r="A213" s="2" t="s">
        <v>1331</v>
      </c>
      <c r="B213" s="2">
        <v>13</v>
      </c>
      <c r="C213" s="2">
        <v>8</v>
      </c>
      <c r="D213" s="2" t="s">
        <v>71</v>
      </c>
      <c r="E213" s="2">
        <v>1218</v>
      </c>
      <c r="F213" s="2" t="s">
        <v>30</v>
      </c>
      <c r="G213" s="2" t="s">
        <v>1332</v>
      </c>
      <c r="H213" s="2" t="s">
        <v>1333</v>
      </c>
      <c r="I213" s="2" t="s">
        <v>1334</v>
      </c>
      <c r="J213" s="2" t="s">
        <v>34</v>
      </c>
      <c r="K213" s="2" t="s">
        <v>34</v>
      </c>
      <c r="L213" s="2" t="s">
        <v>1335</v>
      </c>
      <c r="M213" s="2" t="s">
        <v>1336</v>
      </c>
      <c r="N213" s="2" t="s">
        <v>34</v>
      </c>
      <c r="O213" s="2" t="s">
        <v>1337</v>
      </c>
      <c r="P213" s="2" t="s">
        <v>78</v>
      </c>
    </row>
    <row r="214" spans="1:16" x14ac:dyDescent="0.2">
      <c r="A214" s="2" t="s">
        <v>1338</v>
      </c>
      <c r="B214" s="2">
        <v>13</v>
      </c>
      <c r="C214" s="2">
        <v>9</v>
      </c>
      <c r="D214" s="2" t="s">
        <v>71</v>
      </c>
      <c r="E214" s="2">
        <v>1364</v>
      </c>
      <c r="F214" s="2" t="s">
        <v>38</v>
      </c>
      <c r="G214" s="2" t="s">
        <v>1339</v>
      </c>
      <c r="H214" s="2" t="s">
        <v>1340</v>
      </c>
      <c r="I214" s="2" t="s">
        <v>1341</v>
      </c>
      <c r="J214" s="2" t="s">
        <v>1342</v>
      </c>
      <c r="K214" s="3">
        <v>46125</v>
      </c>
      <c r="L214" s="2" t="s">
        <v>1343</v>
      </c>
      <c r="M214" s="2" t="s">
        <v>34</v>
      </c>
      <c r="N214" s="2" t="s">
        <v>34</v>
      </c>
      <c r="O214" s="2" t="s">
        <v>34</v>
      </c>
      <c r="P214" s="2" t="s">
        <v>36</v>
      </c>
    </row>
    <row r="215" spans="1:16" x14ac:dyDescent="0.2">
      <c r="A215" s="2" t="s">
        <v>1344</v>
      </c>
      <c r="B215" s="2">
        <v>13</v>
      </c>
      <c r="C215" s="2">
        <v>10</v>
      </c>
      <c r="D215" s="2" t="s">
        <v>71</v>
      </c>
      <c r="E215" s="2">
        <v>1498</v>
      </c>
      <c r="F215" s="2" t="s">
        <v>30</v>
      </c>
      <c r="G215" s="2" t="s">
        <v>1345</v>
      </c>
      <c r="H215" s="2" t="s">
        <v>1346</v>
      </c>
      <c r="I215" s="2" t="s">
        <v>1347</v>
      </c>
      <c r="J215" s="2" t="s">
        <v>34</v>
      </c>
      <c r="K215" s="2" t="s">
        <v>34</v>
      </c>
      <c r="L215" s="2" t="s">
        <v>1348</v>
      </c>
      <c r="M215" s="2" t="s">
        <v>1349</v>
      </c>
      <c r="N215" s="2" t="s">
        <v>34</v>
      </c>
      <c r="O215" s="2" t="s">
        <v>1350</v>
      </c>
      <c r="P215" s="2" t="s">
        <v>78</v>
      </c>
    </row>
    <row r="216" spans="1:16" x14ac:dyDescent="0.2">
      <c r="A216" s="2" t="s">
        <v>1351</v>
      </c>
      <c r="B216" s="2">
        <v>13</v>
      </c>
      <c r="C216" s="2">
        <v>11</v>
      </c>
      <c r="D216" s="2" t="s">
        <v>71</v>
      </c>
      <c r="E216" s="2">
        <v>1395</v>
      </c>
      <c r="F216" s="2" t="s">
        <v>30</v>
      </c>
      <c r="G216" s="2" t="s">
        <v>1352</v>
      </c>
      <c r="H216" s="2" t="s">
        <v>1353</v>
      </c>
      <c r="I216" s="2" t="s">
        <v>1354</v>
      </c>
      <c r="J216" s="2" t="s">
        <v>34</v>
      </c>
      <c r="K216" s="2" t="s">
        <v>34</v>
      </c>
      <c r="L216" s="2" t="s">
        <v>1355</v>
      </c>
      <c r="M216" s="2" t="s">
        <v>34</v>
      </c>
      <c r="N216" s="2" t="s">
        <v>1356</v>
      </c>
      <c r="O216" s="2" t="s">
        <v>34</v>
      </c>
      <c r="P216" s="2" t="s">
        <v>78</v>
      </c>
    </row>
    <row r="217" spans="1:16" x14ac:dyDescent="0.2">
      <c r="A217" s="2" t="s">
        <v>1357</v>
      </c>
      <c r="B217" s="2">
        <v>13</v>
      </c>
      <c r="C217" s="2">
        <v>12</v>
      </c>
      <c r="D217" s="2" t="s">
        <v>71</v>
      </c>
      <c r="E217" s="2">
        <v>1471</v>
      </c>
      <c r="F217" s="2" t="s">
        <v>30</v>
      </c>
      <c r="G217" s="2" t="s">
        <v>1358</v>
      </c>
      <c r="H217" s="2" t="s">
        <v>1359</v>
      </c>
      <c r="I217" s="2" t="s">
        <v>1360</v>
      </c>
      <c r="J217" s="2" t="s">
        <v>34</v>
      </c>
      <c r="K217" s="2" t="s">
        <v>34</v>
      </c>
      <c r="L217" s="2" t="s">
        <v>1361</v>
      </c>
      <c r="M217" s="2" t="s">
        <v>34</v>
      </c>
      <c r="N217" s="2" t="s">
        <v>34</v>
      </c>
      <c r="O217" s="2" t="s">
        <v>34</v>
      </c>
      <c r="P217" s="2" t="s">
        <v>36</v>
      </c>
    </row>
    <row r="218" spans="1:16" x14ac:dyDescent="0.2">
      <c r="A218" s="2" t="s">
        <v>1362</v>
      </c>
      <c r="B218" s="2">
        <v>13</v>
      </c>
      <c r="C218" s="2">
        <v>13</v>
      </c>
      <c r="D218" s="2" t="s">
        <v>113</v>
      </c>
      <c r="E218" s="2">
        <v>2149</v>
      </c>
      <c r="F218" s="2" t="s">
        <v>38</v>
      </c>
      <c r="G218" s="2" t="s">
        <v>988</v>
      </c>
      <c r="H218" s="2" t="s">
        <v>1363</v>
      </c>
      <c r="I218" s="2" t="s">
        <v>1364</v>
      </c>
      <c r="J218" s="2" t="s">
        <v>1365</v>
      </c>
      <c r="K218" s="3">
        <v>46435</v>
      </c>
      <c r="L218" s="2" t="s">
        <v>1366</v>
      </c>
      <c r="M218" s="2" t="s">
        <v>1367</v>
      </c>
      <c r="N218" s="2" t="s">
        <v>34</v>
      </c>
      <c r="O218" s="2" t="s">
        <v>34</v>
      </c>
      <c r="P218" s="2" t="s">
        <v>36</v>
      </c>
    </row>
    <row r="219" spans="1:16" x14ac:dyDescent="0.2">
      <c r="A219" s="2" t="s">
        <v>1368</v>
      </c>
      <c r="B219" s="2">
        <v>13</v>
      </c>
      <c r="C219" s="2">
        <v>14</v>
      </c>
      <c r="D219" s="2" t="s">
        <v>113</v>
      </c>
      <c r="E219" s="2">
        <v>1996</v>
      </c>
      <c r="F219" s="2" t="s">
        <v>30</v>
      </c>
      <c r="G219" s="2" t="s">
        <v>1369</v>
      </c>
      <c r="H219" s="2" t="s">
        <v>1370</v>
      </c>
      <c r="I219" s="2" t="s">
        <v>1371</v>
      </c>
      <c r="J219" s="2" t="s">
        <v>34</v>
      </c>
      <c r="K219" s="2" t="s">
        <v>34</v>
      </c>
      <c r="L219" s="2" t="s">
        <v>1372</v>
      </c>
      <c r="M219" s="2" t="s">
        <v>1373</v>
      </c>
      <c r="N219" s="2" t="s">
        <v>34</v>
      </c>
      <c r="O219" s="2" t="s">
        <v>34</v>
      </c>
      <c r="P219" s="2" t="s">
        <v>36</v>
      </c>
    </row>
    <row r="220" spans="1:16" x14ac:dyDescent="0.2">
      <c r="A220" s="2" t="s">
        <v>1374</v>
      </c>
      <c r="B220" s="2">
        <v>13</v>
      </c>
      <c r="C220" s="2">
        <v>15</v>
      </c>
      <c r="D220" s="2" t="s">
        <v>113</v>
      </c>
      <c r="E220" s="2">
        <v>1705</v>
      </c>
      <c r="F220" s="2" t="s">
        <v>30</v>
      </c>
      <c r="G220" s="2" t="s">
        <v>1375</v>
      </c>
      <c r="H220" s="2" t="s">
        <v>1376</v>
      </c>
      <c r="I220" s="2" t="s">
        <v>1377</v>
      </c>
      <c r="J220" s="2" t="s">
        <v>34</v>
      </c>
      <c r="K220" s="2" t="s">
        <v>34</v>
      </c>
      <c r="L220" s="2" t="s">
        <v>1378</v>
      </c>
      <c r="M220" s="2" t="s">
        <v>34</v>
      </c>
      <c r="N220" s="2" t="s">
        <v>34</v>
      </c>
      <c r="O220" s="2" t="s">
        <v>34</v>
      </c>
      <c r="P220" s="2" t="s">
        <v>36</v>
      </c>
    </row>
    <row r="221" spans="1:16" x14ac:dyDescent="0.2">
      <c r="A221" s="2" t="s">
        <v>1379</v>
      </c>
      <c r="B221" s="2">
        <v>13</v>
      </c>
      <c r="C221" s="2">
        <v>16</v>
      </c>
      <c r="D221" s="2" t="s">
        <v>113</v>
      </c>
      <c r="E221" s="2">
        <v>1896</v>
      </c>
      <c r="F221" s="2" t="s">
        <v>38</v>
      </c>
      <c r="G221" s="2" t="s">
        <v>1380</v>
      </c>
      <c r="H221" s="2" t="s">
        <v>1381</v>
      </c>
      <c r="I221" s="2" t="s">
        <v>1382</v>
      </c>
      <c r="J221" s="2" t="s">
        <v>837</v>
      </c>
      <c r="K221" s="3">
        <v>46437</v>
      </c>
      <c r="L221" s="2" t="s">
        <v>1383</v>
      </c>
      <c r="M221" s="2" t="s">
        <v>1384</v>
      </c>
      <c r="N221" s="2" t="s">
        <v>34</v>
      </c>
      <c r="O221" s="2" t="s">
        <v>1385</v>
      </c>
      <c r="P221" s="2" t="s">
        <v>78</v>
      </c>
    </row>
    <row r="222" spans="1:16" x14ac:dyDescent="0.2">
      <c r="A222" s="2" t="s">
        <v>1386</v>
      </c>
      <c r="B222" s="2">
        <v>13</v>
      </c>
      <c r="C222" s="2">
        <v>17</v>
      </c>
      <c r="D222" s="2" t="s">
        <v>144</v>
      </c>
      <c r="E222" s="2">
        <v>3715</v>
      </c>
      <c r="F222" s="2" t="s">
        <v>30</v>
      </c>
      <c r="G222" s="2" t="s">
        <v>1387</v>
      </c>
      <c r="H222" s="2" t="s">
        <v>1388</v>
      </c>
      <c r="I222" s="2" t="s">
        <v>1389</v>
      </c>
      <c r="J222" s="2" t="s">
        <v>34</v>
      </c>
      <c r="K222" s="2" t="s">
        <v>34</v>
      </c>
      <c r="L222" s="2" t="s">
        <v>1390</v>
      </c>
      <c r="M222" s="2" t="s">
        <v>1391</v>
      </c>
      <c r="N222" s="2" t="s">
        <v>34</v>
      </c>
      <c r="O222" s="2" t="s">
        <v>1392</v>
      </c>
      <c r="P222" s="2" t="s">
        <v>36</v>
      </c>
    </row>
    <row r="223" spans="1:16" x14ac:dyDescent="0.2">
      <c r="A223" s="2" t="s">
        <v>1393</v>
      </c>
      <c r="B223" s="2">
        <v>14</v>
      </c>
      <c r="C223" s="2">
        <v>1</v>
      </c>
      <c r="D223" s="2" t="s">
        <v>29</v>
      </c>
      <c r="E223" s="2">
        <v>843</v>
      </c>
      <c r="F223" s="2" t="s">
        <v>30</v>
      </c>
      <c r="G223" s="2" t="s">
        <v>1394</v>
      </c>
      <c r="H223" s="2" t="s">
        <v>1395</v>
      </c>
      <c r="I223" s="2" t="s">
        <v>1396</v>
      </c>
      <c r="J223" s="2" t="s">
        <v>34</v>
      </c>
      <c r="K223" s="2" t="s">
        <v>34</v>
      </c>
      <c r="L223" s="2" t="s">
        <v>1397</v>
      </c>
      <c r="M223" s="2" t="s">
        <v>34</v>
      </c>
      <c r="N223" s="2" t="s">
        <v>34</v>
      </c>
      <c r="O223" s="2" t="s">
        <v>34</v>
      </c>
      <c r="P223" s="2" t="s">
        <v>78</v>
      </c>
    </row>
    <row r="224" spans="1:16" x14ac:dyDescent="0.2">
      <c r="A224" s="2" t="s">
        <v>1398</v>
      </c>
      <c r="B224" s="2">
        <v>14</v>
      </c>
      <c r="C224" s="2">
        <v>2</v>
      </c>
      <c r="D224" s="2" t="s">
        <v>29</v>
      </c>
      <c r="E224" s="2">
        <v>877</v>
      </c>
      <c r="F224" s="2" t="s">
        <v>38</v>
      </c>
      <c r="G224" s="2" t="s">
        <v>1399</v>
      </c>
      <c r="H224" s="2" t="s">
        <v>1400</v>
      </c>
      <c r="I224" s="2" t="s">
        <v>1401</v>
      </c>
      <c r="J224" s="2" t="s">
        <v>1402</v>
      </c>
      <c r="K224" s="3">
        <v>46289</v>
      </c>
      <c r="L224" s="2" t="s">
        <v>1403</v>
      </c>
      <c r="M224" s="2" t="s">
        <v>34</v>
      </c>
      <c r="N224" s="2" t="s">
        <v>34</v>
      </c>
      <c r="O224" s="2" t="s">
        <v>1404</v>
      </c>
      <c r="P224" s="2" t="s">
        <v>36</v>
      </c>
    </row>
    <row r="225" spans="1:16" x14ac:dyDescent="0.2">
      <c r="A225" s="2" t="s">
        <v>1405</v>
      </c>
      <c r="B225" s="2">
        <v>14</v>
      </c>
      <c r="C225" s="2">
        <v>3</v>
      </c>
      <c r="D225" s="2" t="s">
        <v>29</v>
      </c>
      <c r="E225" s="2">
        <v>907</v>
      </c>
      <c r="F225" s="2" t="s">
        <v>30</v>
      </c>
      <c r="G225" s="2" t="s">
        <v>683</v>
      </c>
      <c r="H225" s="2" t="s">
        <v>1406</v>
      </c>
      <c r="I225" s="2" t="s">
        <v>1407</v>
      </c>
      <c r="J225" s="2" t="s">
        <v>34</v>
      </c>
      <c r="K225" s="2" t="s">
        <v>34</v>
      </c>
      <c r="L225" s="2" t="s">
        <v>1408</v>
      </c>
      <c r="M225" s="2" t="s">
        <v>34</v>
      </c>
      <c r="N225" s="2" t="s">
        <v>34</v>
      </c>
      <c r="O225" s="2" t="s">
        <v>1409</v>
      </c>
      <c r="P225" s="2" t="s">
        <v>36</v>
      </c>
    </row>
    <row r="226" spans="1:16" x14ac:dyDescent="0.2">
      <c r="A226" s="2" t="s">
        <v>1410</v>
      </c>
      <c r="B226" s="2">
        <v>14</v>
      </c>
      <c r="C226" s="2">
        <v>4</v>
      </c>
      <c r="D226" s="2" t="s">
        <v>29</v>
      </c>
      <c r="E226" s="2">
        <v>924</v>
      </c>
      <c r="F226" s="2" t="s">
        <v>30</v>
      </c>
      <c r="G226" s="2" t="s">
        <v>1411</v>
      </c>
      <c r="H226" s="2" t="s">
        <v>1412</v>
      </c>
      <c r="I226" s="2" t="s">
        <v>1413</v>
      </c>
      <c r="J226" s="2" t="s">
        <v>34</v>
      </c>
      <c r="K226" s="2" t="s">
        <v>34</v>
      </c>
      <c r="L226" s="2" t="s">
        <v>1414</v>
      </c>
      <c r="M226" s="2" t="s">
        <v>34</v>
      </c>
      <c r="N226" s="2" t="s">
        <v>34</v>
      </c>
      <c r="O226" s="2" t="s">
        <v>34</v>
      </c>
      <c r="P226" s="2" t="s">
        <v>78</v>
      </c>
    </row>
    <row r="227" spans="1:16" x14ac:dyDescent="0.2">
      <c r="A227" s="2" t="s">
        <v>1415</v>
      </c>
      <c r="B227" s="2">
        <v>14</v>
      </c>
      <c r="C227" s="2">
        <v>5</v>
      </c>
      <c r="D227" s="2" t="s">
        <v>29</v>
      </c>
      <c r="E227" s="2">
        <v>868</v>
      </c>
      <c r="F227" s="2" t="s">
        <v>30</v>
      </c>
      <c r="G227" s="2" t="s">
        <v>1304</v>
      </c>
      <c r="H227" s="2" t="s">
        <v>1416</v>
      </c>
      <c r="I227" s="2" t="s">
        <v>1417</v>
      </c>
      <c r="J227" s="2" t="s">
        <v>34</v>
      </c>
      <c r="K227" s="2" t="s">
        <v>34</v>
      </c>
      <c r="L227" s="2" t="s">
        <v>1418</v>
      </c>
      <c r="M227" s="2" t="s">
        <v>34</v>
      </c>
      <c r="N227" s="2" t="s">
        <v>34</v>
      </c>
      <c r="O227" s="2" t="s">
        <v>34</v>
      </c>
      <c r="P227" s="2" t="s">
        <v>78</v>
      </c>
    </row>
    <row r="228" spans="1:16" x14ac:dyDescent="0.2">
      <c r="A228" s="2" t="s">
        <v>1419</v>
      </c>
      <c r="B228" s="2">
        <v>14</v>
      </c>
      <c r="C228" s="2">
        <v>6</v>
      </c>
      <c r="D228" s="2" t="s">
        <v>29</v>
      </c>
      <c r="E228" s="2">
        <v>937</v>
      </c>
      <c r="F228" s="2" t="s">
        <v>38</v>
      </c>
      <c r="G228" s="2" t="s">
        <v>1420</v>
      </c>
      <c r="H228" s="2" t="s">
        <v>1421</v>
      </c>
      <c r="I228" s="2" t="s">
        <v>1422</v>
      </c>
      <c r="J228" s="2" t="s">
        <v>1352</v>
      </c>
      <c r="K228" s="3">
        <v>46378</v>
      </c>
      <c r="L228" s="2" t="s">
        <v>1423</v>
      </c>
      <c r="M228" s="2" t="s">
        <v>34</v>
      </c>
      <c r="N228" s="2" t="s">
        <v>34</v>
      </c>
      <c r="O228" s="2" t="s">
        <v>34</v>
      </c>
      <c r="P228" s="2" t="s">
        <v>36</v>
      </c>
    </row>
    <row r="229" spans="1:16" x14ac:dyDescent="0.2">
      <c r="A229" s="2" t="s">
        <v>1424</v>
      </c>
      <c r="B229" s="2">
        <v>14</v>
      </c>
      <c r="C229" s="2">
        <v>7</v>
      </c>
      <c r="D229" s="2" t="s">
        <v>71</v>
      </c>
      <c r="E229" s="2">
        <v>1476</v>
      </c>
      <c r="F229" s="2" t="s">
        <v>30</v>
      </c>
      <c r="G229" s="2" t="s">
        <v>1425</v>
      </c>
      <c r="H229" s="2" t="s">
        <v>1426</v>
      </c>
      <c r="I229" s="2" t="s">
        <v>1427</v>
      </c>
      <c r="J229" s="2" t="s">
        <v>34</v>
      </c>
      <c r="K229" s="2" t="s">
        <v>34</v>
      </c>
      <c r="L229" s="2" t="s">
        <v>1428</v>
      </c>
      <c r="M229" s="2" t="s">
        <v>34</v>
      </c>
      <c r="N229" s="2" t="s">
        <v>34</v>
      </c>
      <c r="O229" s="2" t="s">
        <v>1429</v>
      </c>
      <c r="P229" s="2" t="s">
        <v>36</v>
      </c>
    </row>
    <row r="230" spans="1:16" x14ac:dyDescent="0.2">
      <c r="A230" s="2" t="s">
        <v>1430</v>
      </c>
      <c r="B230" s="2">
        <v>14</v>
      </c>
      <c r="C230" s="2">
        <v>8</v>
      </c>
      <c r="D230" s="2" t="s">
        <v>71</v>
      </c>
      <c r="E230" s="2">
        <v>1307</v>
      </c>
      <c r="F230" s="2" t="s">
        <v>38</v>
      </c>
      <c r="G230" s="2" t="s">
        <v>1431</v>
      </c>
      <c r="H230" s="2" t="s">
        <v>1432</v>
      </c>
      <c r="I230" s="2" t="s">
        <v>1433</v>
      </c>
      <c r="J230" s="2" t="s">
        <v>61</v>
      </c>
      <c r="K230" s="3">
        <v>46198</v>
      </c>
      <c r="L230" s="2" t="s">
        <v>1434</v>
      </c>
      <c r="M230" s="2" t="s">
        <v>34</v>
      </c>
      <c r="N230" s="2" t="s">
        <v>34</v>
      </c>
      <c r="O230" s="2" t="s">
        <v>34</v>
      </c>
      <c r="P230" s="2" t="s">
        <v>78</v>
      </c>
    </row>
    <row r="231" spans="1:16" x14ac:dyDescent="0.2">
      <c r="A231" s="2" t="s">
        <v>1435</v>
      </c>
      <c r="B231" s="2">
        <v>14</v>
      </c>
      <c r="C231" s="2">
        <v>9</v>
      </c>
      <c r="D231" s="2" t="s">
        <v>71</v>
      </c>
      <c r="E231" s="2">
        <v>1340</v>
      </c>
      <c r="F231" s="2" t="s">
        <v>30</v>
      </c>
      <c r="G231" s="2" t="s">
        <v>1436</v>
      </c>
      <c r="H231" s="2" t="s">
        <v>1437</v>
      </c>
      <c r="I231" s="2" t="s">
        <v>1438</v>
      </c>
      <c r="J231" s="2" t="s">
        <v>34</v>
      </c>
      <c r="K231" s="2" t="s">
        <v>34</v>
      </c>
      <c r="L231" s="2" t="s">
        <v>1439</v>
      </c>
      <c r="M231" s="2" t="s">
        <v>34</v>
      </c>
      <c r="N231" s="2" t="s">
        <v>34</v>
      </c>
      <c r="O231" s="2" t="s">
        <v>34</v>
      </c>
      <c r="P231" s="2" t="s">
        <v>36</v>
      </c>
    </row>
    <row r="232" spans="1:16" x14ac:dyDescent="0.2">
      <c r="A232" s="2" t="s">
        <v>1440</v>
      </c>
      <c r="B232" s="2">
        <v>14</v>
      </c>
      <c r="C232" s="2">
        <v>10</v>
      </c>
      <c r="D232" s="2" t="s">
        <v>71</v>
      </c>
      <c r="E232" s="2">
        <v>1437</v>
      </c>
      <c r="F232" s="2" t="s">
        <v>38</v>
      </c>
      <c r="G232" s="2" t="s">
        <v>114</v>
      </c>
      <c r="H232" s="2" t="s">
        <v>1441</v>
      </c>
      <c r="I232" s="2" t="s">
        <v>1442</v>
      </c>
      <c r="J232" s="2" t="s">
        <v>1443</v>
      </c>
      <c r="K232" s="3">
        <v>46438</v>
      </c>
      <c r="L232" s="2" t="s">
        <v>1444</v>
      </c>
      <c r="M232" s="2" t="s">
        <v>34</v>
      </c>
      <c r="N232" s="2" t="s">
        <v>34</v>
      </c>
      <c r="O232" s="2" t="s">
        <v>34</v>
      </c>
      <c r="P232" s="2" t="s">
        <v>78</v>
      </c>
    </row>
    <row r="233" spans="1:16" x14ac:dyDescent="0.2">
      <c r="A233" s="2" t="s">
        <v>1445</v>
      </c>
      <c r="B233" s="2">
        <v>14</v>
      </c>
      <c r="C233" s="2">
        <v>11</v>
      </c>
      <c r="D233" s="2" t="s">
        <v>71</v>
      </c>
      <c r="E233" s="2">
        <v>1186</v>
      </c>
      <c r="F233" s="2" t="s">
        <v>30</v>
      </c>
      <c r="G233" s="2" t="s">
        <v>1446</v>
      </c>
      <c r="H233" s="2" t="s">
        <v>1447</v>
      </c>
      <c r="I233" s="2" t="s">
        <v>1448</v>
      </c>
      <c r="J233" s="2" t="s">
        <v>34</v>
      </c>
      <c r="K233" s="2" t="s">
        <v>34</v>
      </c>
      <c r="L233" s="2" t="s">
        <v>1449</v>
      </c>
      <c r="M233" s="2" t="s">
        <v>34</v>
      </c>
      <c r="N233" s="2" t="s">
        <v>34</v>
      </c>
      <c r="O233" s="2" t="s">
        <v>1450</v>
      </c>
      <c r="P233" s="2" t="s">
        <v>36</v>
      </c>
    </row>
    <row r="234" spans="1:16" x14ac:dyDescent="0.2">
      <c r="A234" s="2" t="s">
        <v>1451</v>
      </c>
      <c r="B234" s="2">
        <v>14</v>
      </c>
      <c r="C234" s="2">
        <v>12</v>
      </c>
      <c r="D234" s="2" t="s">
        <v>71</v>
      </c>
      <c r="E234" s="2">
        <v>1308</v>
      </c>
      <c r="F234" s="2" t="s">
        <v>38</v>
      </c>
      <c r="G234" s="2" t="s">
        <v>1452</v>
      </c>
      <c r="H234" s="2" t="s">
        <v>1453</v>
      </c>
      <c r="I234" s="2" t="s">
        <v>1454</v>
      </c>
      <c r="J234" s="2" t="s">
        <v>1455</v>
      </c>
      <c r="K234" s="3">
        <v>46136</v>
      </c>
      <c r="L234" s="2" t="s">
        <v>1456</v>
      </c>
      <c r="M234" s="2" t="s">
        <v>34</v>
      </c>
      <c r="N234" s="2" t="s">
        <v>34</v>
      </c>
      <c r="O234" s="2" t="s">
        <v>1457</v>
      </c>
      <c r="P234" s="2" t="s">
        <v>36</v>
      </c>
    </row>
    <row r="235" spans="1:16" x14ac:dyDescent="0.2">
      <c r="A235" s="2" t="s">
        <v>1458</v>
      </c>
      <c r="B235" s="2">
        <v>14</v>
      </c>
      <c r="C235" s="2">
        <v>13</v>
      </c>
      <c r="D235" s="2" t="s">
        <v>113</v>
      </c>
      <c r="E235" s="2">
        <v>2048</v>
      </c>
      <c r="F235" s="2" t="s">
        <v>30</v>
      </c>
      <c r="G235" s="2" t="s">
        <v>31</v>
      </c>
      <c r="H235" s="2" t="s">
        <v>1459</v>
      </c>
      <c r="I235" s="2" t="s">
        <v>1460</v>
      </c>
      <c r="J235" s="2" t="s">
        <v>34</v>
      </c>
      <c r="K235" s="2" t="s">
        <v>34</v>
      </c>
      <c r="L235" s="2" t="s">
        <v>1461</v>
      </c>
      <c r="M235" s="2" t="s">
        <v>34</v>
      </c>
      <c r="N235" s="2" t="s">
        <v>1462</v>
      </c>
      <c r="O235" s="2" t="s">
        <v>34</v>
      </c>
      <c r="P235" s="2" t="s">
        <v>36</v>
      </c>
    </row>
    <row r="236" spans="1:16" x14ac:dyDescent="0.2">
      <c r="A236" s="2" t="s">
        <v>1463</v>
      </c>
      <c r="B236" s="2">
        <v>14</v>
      </c>
      <c r="C236" s="2">
        <v>14</v>
      </c>
      <c r="D236" s="2" t="s">
        <v>113</v>
      </c>
      <c r="E236" s="2">
        <v>1705</v>
      </c>
      <c r="F236" s="2" t="s">
        <v>38</v>
      </c>
      <c r="G236" s="2" t="s">
        <v>543</v>
      </c>
      <c r="H236" s="2" t="s">
        <v>1464</v>
      </c>
      <c r="I236" s="2" t="s">
        <v>1465</v>
      </c>
      <c r="J236" s="2" t="s">
        <v>1062</v>
      </c>
      <c r="K236" s="3">
        <v>46342</v>
      </c>
      <c r="L236" s="2" t="s">
        <v>1466</v>
      </c>
      <c r="M236" s="2" t="s">
        <v>34</v>
      </c>
      <c r="N236" s="2" t="s">
        <v>34</v>
      </c>
      <c r="O236" s="2" t="s">
        <v>34</v>
      </c>
      <c r="P236" s="2" t="s">
        <v>36</v>
      </c>
    </row>
    <row r="237" spans="1:16" x14ac:dyDescent="0.2">
      <c r="A237" s="2" t="s">
        <v>1467</v>
      </c>
      <c r="B237" s="2">
        <v>14</v>
      </c>
      <c r="C237" s="2">
        <v>15</v>
      </c>
      <c r="D237" s="2" t="s">
        <v>113</v>
      </c>
      <c r="E237" s="2">
        <v>1851</v>
      </c>
      <c r="F237" s="2" t="s">
        <v>30</v>
      </c>
      <c r="G237" s="2" t="s">
        <v>1468</v>
      </c>
      <c r="H237" s="2" t="s">
        <v>1469</v>
      </c>
      <c r="I237" s="2" t="s">
        <v>1470</v>
      </c>
      <c r="J237" s="2" t="s">
        <v>34</v>
      </c>
      <c r="K237" s="2" t="s">
        <v>34</v>
      </c>
      <c r="L237" s="2" t="s">
        <v>1471</v>
      </c>
      <c r="M237" s="2" t="s">
        <v>1472</v>
      </c>
      <c r="N237" s="2" t="s">
        <v>34</v>
      </c>
      <c r="O237" s="2" t="s">
        <v>34</v>
      </c>
      <c r="P237" s="2" t="s">
        <v>36</v>
      </c>
    </row>
    <row r="238" spans="1:16" x14ac:dyDescent="0.2">
      <c r="A238" s="2" t="s">
        <v>1473</v>
      </c>
      <c r="B238" s="2">
        <v>14</v>
      </c>
      <c r="C238" s="2">
        <v>16</v>
      </c>
      <c r="D238" s="2" t="s">
        <v>113</v>
      </c>
      <c r="E238" s="2">
        <v>1935</v>
      </c>
      <c r="F238" s="2" t="s">
        <v>30</v>
      </c>
      <c r="G238" s="2" t="s">
        <v>1474</v>
      </c>
      <c r="H238" s="2" t="s">
        <v>1475</v>
      </c>
      <c r="I238" s="2" t="s">
        <v>1476</v>
      </c>
      <c r="J238" s="2" t="s">
        <v>34</v>
      </c>
      <c r="K238" s="2" t="s">
        <v>34</v>
      </c>
      <c r="L238" s="2" t="s">
        <v>1477</v>
      </c>
      <c r="M238" s="2" t="s">
        <v>34</v>
      </c>
      <c r="N238" s="2" t="s">
        <v>34</v>
      </c>
      <c r="O238" s="2" t="s">
        <v>1478</v>
      </c>
      <c r="P238" s="2" t="s">
        <v>78</v>
      </c>
    </row>
    <row r="239" spans="1:16" x14ac:dyDescent="0.2">
      <c r="A239" s="2" t="s">
        <v>1479</v>
      </c>
      <c r="B239" s="2">
        <v>14</v>
      </c>
      <c r="C239" s="2">
        <v>17</v>
      </c>
      <c r="D239" s="2" t="s">
        <v>144</v>
      </c>
      <c r="E239" s="2">
        <v>4022</v>
      </c>
      <c r="F239" s="2" t="s">
        <v>30</v>
      </c>
      <c r="G239" s="2" t="s">
        <v>1480</v>
      </c>
      <c r="H239" s="2" t="s">
        <v>1481</v>
      </c>
      <c r="I239" s="2" t="s">
        <v>1482</v>
      </c>
      <c r="J239" s="2" t="s">
        <v>34</v>
      </c>
      <c r="K239" s="2" t="s">
        <v>34</v>
      </c>
      <c r="L239" s="2" t="s">
        <v>1483</v>
      </c>
      <c r="M239" s="2" t="s">
        <v>1484</v>
      </c>
      <c r="N239" s="2" t="s">
        <v>34</v>
      </c>
      <c r="O239" s="2" t="s">
        <v>34</v>
      </c>
      <c r="P239" s="2" t="s">
        <v>36</v>
      </c>
    </row>
    <row r="240" spans="1:16" x14ac:dyDescent="0.2">
      <c r="A240" s="2" t="s">
        <v>1485</v>
      </c>
      <c r="B240" s="2">
        <v>15</v>
      </c>
      <c r="C240" s="2">
        <v>1</v>
      </c>
      <c r="D240" s="2" t="s">
        <v>29</v>
      </c>
      <c r="E240" s="2">
        <v>901</v>
      </c>
      <c r="F240" s="2" t="s">
        <v>30</v>
      </c>
      <c r="G240" s="2" t="s">
        <v>919</v>
      </c>
      <c r="H240" s="2" t="s">
        <v>1486</v>
      </c>
      <c r="I240" s="2" t="s">
        <v>1487</v>
      </c>
      <c r="J240" s="2" t="s">
        <v>34</v>
      </c>
      <c r="K240" s="2" t="s">
        <v>34</v>
      </c>
      <c r="L240" s="2" t="s">
        <v>1488</v>
      </c>
      <c r="M240" s="2" t="s">
        <v>34</v>
      </c>
      <c r="N240" s="2" t="s">
        <v>34</v>
      </c>
      <c r="O240" s="2" t="s">
        <v>1489</v>
      </c>
      <c r="P240" s="2" t="s">
        <v>36</v>
      </c>
    </row>
    <row r="241" spans="1:16" x14ac:dyDescent="0.2">
      <c r="A241" s="2" t="s">
        <v>1490</v>
      </c>
      <c r="B241" s="2">
        <v>15</v>
      </c>
      <c r="C241" s="2">
        <v>2</v>
      </c>
      <c r="D241" s="2" t="s">
        <v>29</v>
      </c>
      <c r="E241" s="2">
        <v>909</v>
      </c>
      <c r="F241" s="2" t="s">
        <v>30</v>
      </c>
      <c r="G241" s="2" t="s">
        <v>1491</v>
      </c>
      <c r="H241" s="2" t="s">
        <v>1492</v>
      </c>
      <c r="I241" s="2" t="s">
        <v>1493</v>
      </c>
      <c r="J241" s="2" t="s">
        <v>34</v>
      </c>
      <c r="K241" s="2" t="s">
        <v>34</v>
      </c>
      <c r="L241" s="2" t="s">
        <v>1494</v>
      </c>
      <c r="M241" s="2" t="s">
        <v>34</v>
      </c>
      <c r="N241" s="2" t="s">
        <v>34</v>
      </c>
      <c r="O241" s="2" t="s">
        <v>1495</v>
      </c>
      <c r="P241" s="2" t="s">
        <v>36</v>
      </c>
    </row>
    <row r="242" spans="1:16" x14ac:dyDescent="0.2">
      <c r="A242" s="2" t="s">
        <v>1496</v>
      </c>
      <c r="B242" s="2">
        <v>15</v>
      </c>
      <c r="C242" s="2">
        <v>3</v>
      </c>
      <c r="D242" s="2" t="s">
        <v>29</v>
      </c>
      <c r="E242" s="2">
        <v>963</v>
      </c>
      <c r="F242" s="2" t="s">
        <v>30</v>
      </c>
      <c r="G242" s="2" t="s">
        <v>1497</v>
      </c>
      <c r="H242" s="2" t="s">
        <v>1498</v>
      </c>
      <c r="I242" s="2" t="s">
        <v>1499</v>
      </c>
      <c r="J242" s="2" t="s">
        <v>34</v>
      </c>
      <c r="K242" s="2" t="s">
        <v>34</v>
      </c>
      <c r="L242" s="2" t="s">
        <v>1500</v>
      </c>
      <c r="M242" s="2" t="s">
        <v>34</v>
      </c>
      <c r="N242" s="2" t="s">
        <v>34</v>
      </c>
      <c r="O242" s="2" t="s">
        <v>34</v>
      </c>
      <c r="P242" s="2" t="s">
        <v>36</v>
      </c>
    </row>
    <row r="243" spans="1:16" x14ac:dyDescent="0.2">
      <c r="A243" s="2" t="s">
        <v>1501</v>
      </c>
      <c r="B243" s="2">
        <v>15</v>
      </c>
      <c r="C243" s="2">
        <v>4</v>
      </c>
      <c r="D243" s="2" t="s">
        <v>29</v>
      </c>
      <c r="E243" s="2">
        <v>830</v>
      </c>
      <c r="F243" s="2" t="s">
        <v>30</v>
      </c>
      <c r="G243" s="2" t="s">
        <v>1502</v>
      </c>
      <c r="H243" s="2" t="s">
        <v>1503</v>
      </c>
      <c r="I243" s="2" t="s">
        <v>1504</v>
      </c>
      <c r="J243" s="2" t="s">
        <v>34</v>
      </c>
      <c r="K243" s="2" t="s">
        <v>34</v>
      </c>
      <c r="L243" s="2" t="s">
        <v>1505</v>
      </c>
      <c r="M243" s="2" t="s">
        <v>34</v>
      </c>
      <c r="N243" s="2" t="s">
        <v>34</v>
      </c>
      <c r="O243" s="2" t="s">
        <v>1506</v>
      </c>
      <c r="P243" s="2" t="s">
        <v>78</v>
      </c>
    </row>
    <row r="244" spans="1:16" x14ac:dyDescent="0.2">
      <c r="A244" s="2" t="s">
        <v>1507</v>
      </c>
      <c r="B244" s="2">
        <v>15</v>
      </c>
      <c r="C244" s="2">
        <v>5</v>
      </c>
      <c r="D244" s="2" t="s">
        <v>29</v>
      </c>
      <c r="E244" s="2">
        <v>915</v>
      </c>
      <c r="F244" s="2" t="s">
        <v>30</v>
      </c>
      <c r="G244" s="2" t="s">
        <v>174</v>
      </c>
      <c r="H244" s="2" t="s">
        <v>1508</v>
      </c>
      <c r="I244" s="2" t="s">
        <v>1509</v>
      </c>
      <c r="J244" s="2" t="s">
        <v>34</v>
      </c>
      <c r="K244" s="2" t="s">
        <v>34</v>
      </c>
      <c r="L244" s="2" t="s">
        <v>1510</v>
      </c>
      <c r="M244" s="2" t="s">
        <v>34</v>
      </c>
      <c r="N244" s="2" t="s">
        <v>34</v>
      </c>
      <c r="O244" s="2" t="s">
        <v>34</v>
      </c>
      <c r="P244" s="2" t="s">
        <v>36</v>
      </c>
    </row>
    <row r="245" spans="1:16" x14ac:dyDescent="0.2">
      <c r="A245" s="2" t="s">
        <v>1511</v>
      </c>
      <c r="B245" s="2">
        <v>15</v>
      </c>
      <c r="C245" s="2">
        <v>6</v>
      </c>
      <c r="D245" s="2" t="s">
        <v>29</v>
      </c>
      <c r="E245" s="2">
        <v>844</v>
      </c>
      <c r="F245" s="2" t="s">
        <v>30</v>
      </c>
      <c r="G245" s="2" t="s">
        <v>1179</v>
      </c>
      <c r="H245" s="2" t="s">
        <v>1512</v>
      </c>
      <c r="I245" s="2" t="s">
        <v>1513</v>
      </c>
      <c r="J245" s="2" t="s">
        <v>34</v>
      </c>
      <c r="K245" s="2" t="s">
        <v>34</v>
      </c>
      <c r="L245" s="2" t="s">
        <v>1514</v>
      </c>
      <c r="M245" s="2" t="s">
        <v>34</v>
      </c>
      <c r="N245" s="2" t="s">
        <v>34</v>
      </c>
      <c r="O245" s="2" t="s">
        <v>34</v>
      </c>
      <c r="P245" s="2" t="s">
        <v>78</v>
      </c>
    </row>
    <row r="246" spans="1:16" x14ac:dyDescent="0.2">
      <c r="A246" s="2" t="s">
        <v>1515</v>
      </c>
      <c r="B246" s="2">
        <v>15</v>
      </c>
      <c r="C246" s="2">
        <v>7</v>
      </c>
      <c r="D246" s="2" t="s">
        <v>71</v>
      </c>
      <c r="E246" s="2">
        <v>1233</v>
      </c>
      <c r="F246" s="2" t="s">
        <v>38</v>
      </c>
      <c r="G246" s="2" t="s">
        <v>1516</v>
      </c>
      <c r="H246" s="2" t="s">
        <v>1517</v>
      </c>
      <c r="I246" s="2" t="s">
        <v>1518</v>
      </c>
      <c r="J246" s="2" t="s">
        <v>1519</v>
      </c>
      <c r="K246" s="3">
        <v>46427</v>
      </c>
      <c r="L246" s="2" t="s">
        <v>1520</v>
      </c>
      <c r="M246" s="2" t="s">
        <v>34</v>
      </c>
      <c r="N246" s="2" t="s">
        <v>34</v>
      </c>
      <c r="O246" s="2" t="s">
        <v>1521</v>
      </c>
      <c r="P246" s="2" t="s">
        <v>36</v>
      </c>
    </row>
    <row r="247" spans="1:16" x14ac:dyDescent="0.2">
      <c r="A247" s="2" t="s">
        <v>1522</v>
      </c>
      <c r="B247" s="2">
        <v>15</v>
      </c>
      <c r="C247" s="2">
        <v>8</v>
      </c>
      <c r="D247" s="2" t="s">
        <v>71</v>
      </c>
      <c r="E247" s="2">
        <v>1217</v>
      </c>
      <c r="F247" s="2" t="s">
        <v>38</v>
      </c>
      <c r="G247" s="2" t="s">
        <v>1523</v>
      </c>
      <c r="H247" s="2" t="s">
        <v>1524</v>
      </c>
      <c r="I247" s="2" t="s">
        <v>1525</v>
      </c>
      <c r="J247" s="2" t="s">
        <v>1237</v>
      </c>
      <c r="K247" s="3">
        <v>46223</v>
      </c>
      <c r="L247" s="2" t="s">
        <v>1526</v>
      </c>
      <c r="M247" s="2" t="s">
        <v>1527</v>
      </c>
      <c r="N247" s="2" t="s">
        <v>34</v>
      </c>
      <c r="O247" s="2" t="s">
        <v>34</v>
      </c>
      <c r="P247" s="2" t="s">
        <v>36</v>
      </c>
    </row>
    <row r="248" spans="1:16" x14ac:dyDescent="0.2">
      <c r="A248" s="2" t="s">
        <v>1528</v>
      </c>
      <c r="B248" s="2">
        <v>15</v>
      </c>
      <c r="C248" s="2">
        <v>9</v>
      </c>
      <c r="D248" s="2" t="s">
        <v>71</v>
      </c>
      <c r="E248" s="2">
        <v>1240</v>
      </c>
      <c r="F248" s="2" t="s">
        <v>30</v>
      </c>
      <c r="G248" s="2" t="s">
        <v>1529</v>
      </c>
      <c r="H248" s="2" t="s">
        <v>1530</v>
      </c>
      <c r="I248" s="2" t="s">
        <v>1531</v>
      </c>
      <c r="J248" s="2" t="s">
        <v>34</v>
      </c>
      <c r="K248" s="2" t="s">
        <v>34</v>
      </c>
      <c r="L248" s="2" t="s">
        <v>1532</v>
      </c>
      <c r="M248" s="2" t="s">
        <v>34</v>
      </c>
      <c r="N248" s="2" t="s">
        <v>34</v>
      </c>
      <c r="O248" s="2" t="s">
        <v>34</v>
      </c>
      <c r="P248" s="2" t="s">
        <v>36</v>
      </c>
    </row>
    <row r="249" spans="1:16" x14ac:dyDescent="0.2">
      <c r="A249" s="2" t="s">
        <v>1533</v>
      </c>
      <c r="B249" s="2">
        <v>15</v>
      </c>
      <c r="C249" s="2">
        <v>10</v>
      </c>
      <c r="D249" s="2" t="s">
        <v>71</v>
      </c>
      <c r="E249" s="2">
        <v>1234</v>
      </c>
      <c r="F249" s="2" t="s">
        <v>30</v>
      </c>
      <c r="G249" s="2" t="s">
        <v>1534</v>
      </c>
      <c r="H249" s="2" t="s">
        <v>1535</v>
      </c>
      <c r="I249" s="2" t="s">
        <v>1536</v>
      </c>
      <c r="J249" s="2" t="s">
        <v>34</v>
      </c>
      <c r="K249" s="2" t="s">
        <v>34</v>
      </c>
      <c r="L249" s="2" t="s">
        <v>1537</v>
      </c>
      <c r="M249" s="2" t="s">
        <v>34</v>
      </c>
      <c r="N249" s="2" t="s">
        <v>34</v>
      </c>
      <c r="O249" s="2" t="s">
        <v>1538</v>
      </c>
      <c r="P249" s="2" t="s">
        <v>36</v>
      </c>
    </row>
    <row r="250" spans="1:16" x14ac:dyDescent="0.2">
      <c r="A250" s="2" t="s">
        <v>1539</v>
      </c>
      <c r="B250" s="2">
        <v>15</v>
      </c>
      <c r="C250" s="2">
        <v>11</v>
      </c>
      <c r="D250" s="2" t="s">
        <v>71</v>
      </c>
      <c r="E250" s="2">
        <v>1453</v>
      </c>
      <c r="F250" s="2" t="s">
        <v>38</v>
      </c>
      <c r="G250" s="2" t="s">
        <v>31</v>
      </c>
      <c r="H250" s="2" t="s">
        <v>1540</v>
      </c>
      <c r="I250" s="2" t="s">
        <v>1541</v>
      </c>
      <c r="J250" s="2" t="s">
        <v>1542</v>
      </c>
      <c r="K250" s="3">
        <v>46265</v>
      </c>
      <c r="L250" s="2" t="s">
        <v>1543</v>
      </c>
      <c r="M250" s="2" t="s">
        <v>1544</v>
      </c>
      <c r="N250" s="2" t="s">
        <v>34</v>
      </c>
      <c r="O250" s="2" t="s">
        <v>34</v>
      </c>
      <c r="P250" s="2" t="s">
        <v>78</v>
      </c>
    </row>
    <row r="251" spans="1:16" x14ac:dyDescent="0.2">
      <c r="A251" s="2" t="s">
        <v>1545</v>
      </c>
      <c r="B251" s="2">
        <v>15</v>
      </c>
      <c r="C251" s="2">
        <v>12</v>
      </c>
      <c r="D251" s="2" t="s">
        <v>71</v>
      </c>
      <c r="E251" s="2">
        <v>1185</v>
      </c>
      <c r="F251" s="2" t="s">
        <v>30</v>
      </c>
      <c r="G251" s="2" t="s">
        <v>1546</v>
      </c>
      <c r="H251" s="2" t="s">
        <v>1547</v>
      </c>
      <c r="I251" s="2" t="s">
        <v>1548</v>
      </c>
      <c r="J251" s="2" t="s">
        <v>34</v>
      </c>
      <c r="K251" s="2" t="s">
        <v>34</v>
      </c>
      <c r="L251" s="2" t="s">
        <v>1549</v>
      </c>
      <c r="M251" s="2" t="s">
        <v>1550</v>
      </c>
      <c r="N251" s="2" t="s">
        <v>1551</v>
      </c>
      <c r="O251" s="2" t="s">
        <v>34</v>
      </c>
      <c r="P251" s="2" t="s">
        <v>36</v>
      </c>
    </row>
    <row r="252" spans="1:16" x14ac:dyDescent="0.2">
      <c r="A252" s="2" t="s">
        <v>1552</v>
      </c>
      <c r="B252" s="2">
        <v>15</v>
      </c>
      <c r="C252" s="2">
        <v>13</v>
      </c>
      <c r="D252" s="2" t="s">
        <v>113</v>
      </c>
      <c r="E252" s="2">
        <v>2072</v>
      </c>
      <c r="F252" s="2" t="s">
        <v>38</v>
      </c>
      <c r="G252" s="2" t="s">
        <v>1553</v>
      </c>
      <c r="H252" s="2" t="s">
        <v>1554</v>
      </c>
      <c r="I252" s="2" t="s">
        <v>1555</v>
      </c>
      <c r="J252" s="2" t="s">
        <v>916</v>
      </c>
      <c r="K252" s="3">
        <v>46403</v>
      </c>
      <c r="L252" s="2" t="s">
        <v>1556</v>
      </c>
      <c r="M252" s="2" t="s">
        <v>1557</v>
      </c>
      <c r="N252" s="2" t="s">
        <v>34</v>
      </c>
      <c r="O252" s="2" t="s">
        <v>1558</v>
      </c>
      <c r="P252" s="2" t="s">
        <v>78</v>
      </c>
    </row>
    <row r="253" spans="1:16" x14ac:dyDescent="0.2">
      <c r="A253" s="2" t="s">
        <v>1559</v>
      </c>
      <c r="B253" s="2">
        <v>15</v>
      </c>
      <c r="C253" s="2">
        <v>14</v>
      </c>
      <c r="D253" s="2" t="s">
        <v>113</v>
      </c>
      <c r="E253" s="2">
        <v>1724</v>
      </c>
      <c r="F253" s="2" t="s">
        <v>30</v>
      </c>
      <c r="G253" s="2" t="s">
        <v>600</v>
      </c>
      <c r="H253" s="2" t="s">
        <v>1560</v>
      </c>
      <c r="I253" s="2" t="s">
        <v>1561</v>
      </c>
      <c r="J253" s="2" t="s">
        <v>34</v>
      </c>
      <c r="K253" s="2" t="s">
        <v>34</v>
      </c>
      <c r="L253" s="2" t="s">
        <v>1562</v>
      </c>
      <c r="M253" s="2" t="s">
        <v>1563</v>
      </c>
      <c r="N253" s="2" t="s">
        <v>34</v>
      </c>
      <c r="O253" s="2" t="s">
        <v>34</v>
      </c>
      <c r="P253" s="2" t="s">
        <v>36</v>
      </c>
    </row>
    <row r="254" spans="1:16" x14ac:dyDescent="0.2">
      <c r="A254" s="2" t="s">
        <v>1564</v>
      </c>
      <c r="B254" s="2">
        <v>15</v>
      </c>
      <c r="C254" s="2">
        <v>15</v>
      </c>
      <c r="D254" s="2" t="s">
        <v>113</v>
      </c>
      <c r="E254" s="2">
        <v>1941</v>
      </c>
      <c r="F254" s="2" t="s">
        <v>30</v>
      </c>
      <c r="G254" s="2" t="s">
        <v>1565</v>
      </c>
      <c r="H254" s="2" t="s">
        <v>1566</v>
      </c>
      <c r="I254" s="2" t="s">
        <v>1567</v>
      </c>
      <c r="J254" s="2" t="s">
        <v>34</v>
      </c>
      <c r="K254" s="2" t="s">
        <v>34</v>
      </c>
      <c r="L254" s="2" t="s">
        <v>1568</v>
      </c>
      <c r="M254" s="2" t="s">
        <v>1569</v>
      </c>
      <c r="N254" s="2" t="s">
        <v>34</v>
      </c>
      <c r="O254" s="2" t="s">
        <v>1570</v>
      </c>
      <c r="P254" s="2" t="s">
        <v>36</v>
      </c>
    </row>
    <row r="255" spans="1:16" x14ac:dyDescent="0.2">
      <c r="A255" s="2" t="s">
        <v>1571</v>
      </c>
      <c r="B255" s="2">
        <v>15</v>
      </c>
      <c r="C255" s="2">
        <v>16</v>
      </c>
      <c r="D255" s="2" t="s">
        <v>113</v>
      </c>
      <c r="E255" s="2">
        <v>2023</v>
      </c>
      <c r="F255" s="2" t="s">
        <v>38</v>
      </c>
      <c r="G255" s="2" t="s">
        <v>1572</v>
      </c>
      <c r="H255" s="2" t="s">
        <v>1573</v>
      </c>
      <c r="I255" s="2" t="s">
        <v>1574</v>
      </c>
      <c r="J255" s="2" t="s">
        <v>1575</v>
      </c>
      <c r="K255" s="3">
        <v>46492</v>
      </c>
      <c r="L255" s="2" t="s">
        <v>1576</v>
      </c>
      <c r="M255" s="2" t="s">
        <v>34</v>
      </c>
      <c r="N255" s="2" t="s">
        <v>34</v>
      </c>
      <c r="O255" s="2" t="s">
        <v>34</v>
      </c>
      <c r="P255" s="2" t="s">
        <v>36</v>
      </c>
    </row>
    <row r="256" spans="1:16" x14ac:dyDescent="0.2">
      <c r="A256" s="2" t="s">
        <v>1577</v>
      </c>
      <c r="B256" s="2">
        <v>15</v>
      </c>
      <c r="C256" s="2">
        <v>17</v>
      </c>
      <c r="D256" s="2" t="s">
        <v>144</v>
      </c>
      <c r="E256" s="2">
        <v>3712</v>
      </c>
      <c r="F256" s="2" t="s">
        <v>30</v>
      </c>
      <c r="G256" s="2" t="s">
        <v>1578</v>
      </c>
      <c r="H256" s="2" t="s">
        <v>1579</v>
      </c>
      <c r="I256" s="2" t="s">
        <v>1580</v>
      </c>
      <c r="J256" s="2" t="s">
        <v>34</v>
      </c>
      <c r="K256" s="2" t="s">
        <v>34</v>
      </c>
      <c r="L256" s="2" t="s">
        <v>1581</v>
      </c>
      <c r="M256" s="2" t="s">
        <v>1582</v>
      </c>
      <c r="N256" s="2" t="s">
        <v>34</v>
      </c>
      <c r="O256" s="2" t="s">
        <v>34</v>
      </c>
      <c r="P256" s="2" t="s">
        <v>78</v>
      </c>
    </row>
    <row r="257" spans="1:16" x14ac:dyDescent="0.2">
      <c r="A257" s="2" t="s">
        <v>1583</v>
      </c>
      <c r="B257" s="2">
        <v>16</v>
      </c>
      <c r="C257" s="2">
        <v>1</v>
      </c>
      <c r="D257" s="2" t="s">
        <v>29</v>
      </c>
      <c r="E257" s="2">
        <v>855</v>
      </c>
      <c r="F257" s="2" t="s">
        <v>38</v>
      </c>
      <c r="G257" s="2" t="s">
        <v>193</v>
      </c>
      <c r="H257" s="2" t="s">
        <v>1584</v>
      </c>
      <c r="I257" s="2" t="s">
        <v>1585</v>
      </c>
      <c r="J257" s="2" t="s">
        <v>1586</v>
      </c>
      <c r="K257" s="3">
        <v>46141</v>
      </c>
      <c r="L257" s="2" t="s">
        <v>1587</v>
      </c>
      <c r="M257" s="2" t="s">
        <v>34</v>
      </c>
      <c r="N257" s="2" t="s">
        <v>34</v>
      </c>
      <c r="O257" s="2" t="s">
        <v>34</v>
      </c>
      <c r="P257" s="2" t="s">
        <v>36</v>
      </c>
    </row>
    <row r="258" spans="1:16" x14ac:dyDescent="0.2">
      <c r="A258" s="2" t="s">
        <v>1588</v>
      </c>
      <c r="B258" s="2">
        <v>16</v>
      </c>
      <c r="C258" s="2">
        <v>2</v>
      </c>
      <c r="D258" s="2" t="s">
        <v>29</v>
      </c>
      <c r="E258" s="2">
        <v>971</v>
      </c>
      <c r="F258" s="2" t="s">
        <v>30</v>
      </c>
      <c r="G258" s="2" t="s">
        <v>1246</v>
      </c>
      <c r="H258" s="2" t="s">
        <v>1589</v>
      </c>
      <c r="I258" s="2" t="s">
        <v>1590</v>
      </c>
      <c r="J258" s="2" t="s">
        <v>34</v>
      </c>
      <c r="K258" s="2" t="s">
        <v>34</v>
      </c>
      <c r="L258" s="2" t="s">
        <v>1591</v>
      </c>
      <c r="M258" s="2" t="s">
        <v>34</v>
      </c>
      <c r="N258" s="2" t="s">
        <v>34</v>
      </c>
      <c r="O258" s="2" t="s">
        <v>34</v>
      </c>
      <c r="P258" s="2" t="s">
        <v>36</v>
      </c>
    </row>
    <row r="259" spans="1:16" x14ac:dyDescent="0.2">
      <c r="A259" s="2" t="s">
        <v>1592</v>
      </c>
      <c r="B259" s="2">
        <v>16</v>
      </c>
      <c r="C259" s="2">
        <v>3</v>
      </c>
      <c r="D259" s="2" t="s">
        <v>29</v>
      </c>
      <c r="E259" s="2">
        <v>877</v>
      </c>
      <c r="F259" s="2" t="s">
        <v>30</v>
      </c>
      <c r="G259" s="2" t="s">
        <v>1593</v>
      </c>
      <c r="H259" s="2" t="s">
        <v>1594</v>
      </c>
      <c r="I259" s="2" t="s">
        <v>1595</v>
      </c>
      <c r="J259" s="2" t="s">
        <v>34</v>
      </c>
      <c r="K259" s="2" t="s">
        <v>34</v>
      </c>
      <c r="L259" s="2" t="s">
        <v>1596</v>
      </c>
      <c r="M259" s="2" t="s">
        <v>34</v>
      </c>
      <c r="N259" s="2" t="s">
        <v>34</v>
      </c>
      <c r="O259" s="2" t="s">
        <v>1597</v>
      </c>
      <c r="P259" s="2" t="s">
        <v>36</v>
      </c>
    </row>
    <row r="260" spans="1:16" x14ac:dyDescent="0.2">
      <c r="A260" s="2" t="s">
        <v>1598</v>
      </c>
      <c r="B260" s="2">
        <v>16</v>
      </c>
      <c r="C260" s="2">
        <v>4</v>
      </c>
      <c r="D260" s="2" t="s">
        <v>29</v>
      </c>
      <c r="E260" s="2">
        <v>977</v>
      </c>
      <c r="F260" s="2" t="s">
        <v>30</v>
      </c>
      <c r="G260" s="2" t="s">
        <v>1474</v>
      </c>
      <c r="H260" s="2" t="s">
        <v>1599</v>
      </c>
      <c r="I260" s="2" t="s">
        <v>1600</v>
      </c>
      <c r="J260" s="2" t="s">
        <v>34</v>
      </c>
      <c r="K260" s="2" t="s">
        <v>34</v>
      </c>
      <c r="L260" s="2" t="s">
        <v>1601</v>
      </c>
      <c r="M260" s="2" t="s">
        <v>34</v>
      </c>
      <c r="N260" s="2" t="s">
        <v>34</v>
      </c>
      <c r="O260" s="2" t="s">
        <v>34</v>
      </c>
      <c r="P260" s="2" t="s">
        <v>78</v>
      </c>
    </row>
    <row r="261" spans="1:16" x14ac:dyDescent="0.2">
      <c r="A261" s="2" t="s">
        <v>1602</v>
      </c>
      <c r="B261" s="2">
        <v>16</v>
      </c>
      <c r="C261" s="2">
        <v>5</v>
      </c>
      <c r="D261" s="2" t="s">
        <v>29</v>
      </c>
      <c r="E261" s="2">
        <v>943</v>
      </c>
      <c r="F261" s="2" t="s">
        <v>38</v>
      </c>
      <c r="G261" s="2" t="s">
        <v>1603</v>
      </c>
      <c r="H261" s="2" t="s">
        <v>1604</v>
      </c>
      <c r="I261" s="2" t="s">
        <v>1605</v>
      </c>
      <c r="J261" s="2" t="s">
        <v>1606</v>
      </c>
      <c r="K261" s="3">
        <v>46216</v>
      </c>
      <c r="L261" s="2" t="s">
        <v>1607</v>
      </c>
      <c r="M261" s="2" t="s">
        <v>34</v>
      </c>
      <c r="N261" s="2" t="s">
        <v>34</v>
      </c>
      <c r="O261" s="2" t="s">
        <v>34</v>
      </c>
      <c r="P261" s="2" t="s">
        <v>78</v>
      </c>
    </row>
    <row r="262" spans="1:16" x14ac:dyDescent="0.2">
      <c r="A262" s="2" t="s">
        <v>1608</v>
      </c>
      <c r="B262" s="2">
        <v>16</v>
      </c>
      <c r="C262" s="2">
        <v>6</v>
      </c>
      <c r="D262" s="2" t="s">
        <v>29</v>
      </c>
      <c r="E262" s="2">
        <v>919</v>
      </c>
      <c r="F262" s="2" t="s">
        <v>30</v>
      </c>
      <c r="G262" s="2" t="s">
        <v>58</v>
      </c>
      <c r="H262" s="2" t="s">
        <v>1609</v>
      </c>
      <c r="I262" s="2" t="s">
        <v>1610</v>
      </c>
      <c r="J262" s="2" t="s">
        <v>34</v>
      </c>
      <c r="K262" s="2" t="s">
        <v>34</v>
      </c>
      <c r="L262" s="2" t="s">
        <v>1611</v>
      </c>
      <c r="M262" s="2" t="s">
        <v>34</v>
      </c>
      <c r="N262" s="2" t="s">
        <v>34</v>
      </c>
      <c r="O262" s="2" t="s">
        <v>1612</v>
      </c>
      <c r="P262" s="2" t="s">
        <v>36</v>
      </c>
    </row>
    <row r="263" spans="1:16" x14ac:dyDescent="0.2">
      <c r="A263" s="2" t="s">
        <v>1613</v>
      </c>
      <c r="B263" s="2">
        <v>16</v>
      </c>
      <c r="C263" s="2">
        <v>7</v>
      </c>
      <c r="D263" s="2" t="s">
        <v>71</v>
      </c>
      <c r="E263" s="2">
        <v>1314</v>
      </c>
      <c r="F263" s="2" t="s">
        <v>30</v>
      </c>
      <c r="G263" s="2" t="s">
        <v>1614</v>
      </c>
      <c r="H263" s="2" t="s">
        <v>1615</v>
      </c>
      <c r="I263" s="2" t="s">
        <v>1616</v>
      </c>
      <c r="J263" s="2" t="s">
        <v>34</v>
      </c>
      <c r="K263" s="2" t="s">
        <v>34</v>
      </c>
      <c r="L263" s="2" t="s">
        <v>1617</v>
      </c>
      <c r="M263" s="2" t="s">
        <v>34</v>
      </c>
      <c r="N263" s="2" t="s">
        <v>34</v>
      </c>
      <c r="O263" s="2" t="s">
        <v>34</v>
      </c>
      <c r="P263" s="2" t="s">
        <v>36</v>
      </c>
    </row>
    <row r="264" spans="1:16" x14ac:dyDescent="0.2">
      <c r="A264" s="2" t="s">
        <v>1618</v>
      </c>
      <c r="B264" s="2">
        <v>16</v>
      </c>
      <c r="C264" s="2">
        <v>8</v>
      </c>
      <c r="D264" s="2" t="s">
        <v>71</v>
      </c>
      <c r="E264" s="2">
        <v>1444</v>
      </c>
      <c r="F264" s="2" t="s">
        <v>38</v>
      </c>
      <c r="G264" s="2" t="s">
        <v>1619</v>
      </c>
      <c r="H264" s="2" t="s">
        <v>1620</v>
      </c>
      <c r="I264" s="2" t="s">
        <v>1621</v>
      </c>
      <c r="J264" s="2" t="s">
        <v>1622</v>
      </c>
      <c r="K264" s="3">
        <v>46395</v>
      </c>
      <c r="L264" s="2" t="s">
        <v>1623</v>
      </c>
      <c r="M264" s="2" t="s">
        <v>1624</v>
      </c>
      <c r="N264" s="2" t="s">
        <v>34</v>
      </c>
      <c r="O264" s="2" t="s">
        <v>1625</v>
      </c>
      <c r="P264" s="2" t="s">
        <v>36</v>
      </c>
    </row>
    <row r="265" spans="1:16" x14ac:dyDescent="0.2">
      <c r="A265" s="2" t="s">
        <v>1626</v>
      </c>
      <c r="B265" s="2">
        <v>16</v>
      </c>
      <c r="C265" s="2">
        <v>9</v>
      </c>
      <c r="D265" s="2" t="s">
        <v>71</v>
      </c>
      <c r="E265" s="2">
        <v>1288</v>
      </c>
      <c r="F265" s="2" t="s">
        <v>30</v>
      </c>
      <c r="G265" s="2" t="s">
        <v>1627</v>
      </c>
      <c r="H265" s="2" t="s">
        <v>1628</v>
      </c>
      <c r="I265" s="2" t="s">
        <v>1629</v>
      </c>
      <c r="J265" s="2" t="s">
        <v>34</v>
      </c>
      <c r="K265" s="2" t="s">
        <v>34</v>
      </c>
      <c r="L265" s="2" t="s">
        <v>1630</v>
      </c>
      <c r="M265" s="2" t="s">
        <v>34</v>
      </c>
      <c r="N265" s="2" t="s">
        <v>34</v>
      </c>
      <c r="O265" s="2" t="s">
        <v>34</v>
      </c>
      <c r="P265" s="2" t="s">
        <v>36</v>
      </c>
    </row>
    <row r="266" spans="1:16" x14ac:dyDescent="0.2">
      <c r="A266" s="2" t="s">
        <v>1631</v>
      </c>
      <c r="B266" s="2">
        <v>16</v>
      </c>
      <c r="C266" s="2">
        <v>10</v>
      </c>
      <c r="D266" s="2" t="s">
        <v>71</v>
      </c>
      <c r="E266" s="2">
        <v>1426</v>
      </c>
      <c r="F266" s="2" t="s">
        <v>30</v>
      </c>
      <c r="G266" s="2" t="s">
        <v>1632</v>
      </c>
      <c r="H266" s="2" t="s">
        <v>1633</v>
      </c>
      <c r="I266" s="2" t="s">
        <v>1634</v>
      </c>
      <c r="J266" s="2" t="s">
        <v>34</v>
      </c>
      <c r="K266" s="2" t="s">
        <v>34</v>
      </c>
      <c r="L266" s="2" t="s">
        <v>1635</v>
      </c>
      <c r="M266" s="2" t="s">
        <v>34</v>
      </c>
      <c r="N266" s="2" t="s">
        <v>1636</v>
      </c>
      <c r="O266" s="2" t="s">
        <v>1637</v>
      </c>
      <c r="P266" s="2" t="s">
        <v>36</v>
      </c>
    </row>
    <row r="267" spans="1:16" x14ac:dyDescent="0.2">
      <c r="A267" s="2" t="s">
        <v>1638</v>
      </c>
      <c r="B267" s="2">
        <v>16</v>
      </c>
      <c r="C267" s="2">
        <v>11</v>
      </c>
      <c r="D267" s="2" t="s">
        <v>71</v>
      </c>
      <c r="E267" s="2">
        <v>1248</v>
      </c>
      <c r="F267" s="2" t="s">
        <v>38</v>
      </c>
      <c r="G267" s="2" t="s">
        <v>1446</v>
      </c>
      <c r="H267" s="2" t="s">
        <v>1639</v>
      </c>
      <c r="I267" s="2" t="s">
        <v>1640</v>
      </c>
      <c r="J267" s="2" t="s">
        <v>1641</v>
      </c>
      <c r="K267" s="3">
        <v>46201</v>
      </c>
      <c r="L267" s="2" t="s">
        <v>1642</v>
      </c>
      <c r="M267" s="2" t="s">
        <v>34</v>
      </c>
      <c r="N267" s="2" t="s">
        <v>34</v>
      </c>
      <c r="O267" s="2" t="s">
        <v>34</v>
      </c>
      <c r="P267" s="2" t="s">
        <v>36</v>
      </c>
    </row>
    <row r="268" spans="1:16" x14ac:dyDescent="0.2">
      <c r="A268" s="2" t="s">
        <v>1643</v>
      </c>
      <c r="B268" s="2">
        <v>16</v>
      </c>
      <c r="C268" s="2">
        <v>12</v>
      </c>
      <c r="D268" s="2" t="s">
        <v>71</v>
      </c>
      <c r="E268" s="2">
        <v>1223</v>
      </c>
      <c r="F268" s="2" t="s">
        <v>30</v>
      </c>
      <c r="G268" s="2" t="s">
        <v>899</v>
      </c>
      <c r="H268" s="2" t="s">
        <v>1644</v>
      </c>
      <c r="I268" s="2" t="s">
        <v>1645</v>
      </c>
      <c r="J268" s="2" t="s">
        <v>34</v>
      </c>
      <c r="K268" s="2" t="s">
        <v>34</v>
      </c>
      <c r="L268" s="2" t="s">
        <v>1646</v>
      </c>
      <c r="M268" s="2" t="s">
        <v>1647</v>
      </c>
      <c r="N268" s="2" t="s">
        <v>34</v>
      </c>
      <c r="O268" s="2" t="s">
        <v>1648</v>
      </c>
      <c r="P268" s="2" t="s">
        <v>36</v>
      </c>
    </row>
    <row r="269" spans="1:16" x14ac:dyDescent="0.2">
      <c r="A269" s="2" t="s">
        <v>1649</v>
      </c>
      <c r="B269" s="2">
        <v>16</v>
      </c>
      <c r="C269" s="2">
        <v>13</v>
      </c>
      <c r="D269" s="2" t="s">
        <v>113</v>
      </c>
      <c r="E269" s="2">
        <v>2173</v>
      </c>
      <c r="F269" s="2" t="s">
        <v>30</v>
      </c>
      <c r="G269" s="2" t="s">
        <v>1650</v>
      </c>
      <c r="H269" s="2" t="s">
        <v>1651</v>
      </c>
      <c r="I269" s="2" t="s">
        <v>1652</v>
      </c>
      <c r="J269" s="2" t="s">
        <v>34</v>
      </c>
      <c r="K269" s="2" t="s">
        <v>34</v>
      </c>
      <c r="L269" s="2" t="s">
        <v>1653</v>
      </c>
      <c r="M269" s="2" t="s">
        <v>34</v>
      </c>
      <c r="N269" s="2" t="s">
        <v>1654</v>
      </c>
      <c r="O269" s="2" t="s">
        <v>34</v>
      </c>
      <c r="P269" s="2" t="s">
        <v>36</v>
      </c>
    </row>
    <row r="270" spans="1:16" x14ac:dyDescent="0.2">
      <c r="A270" s="2" t="s">
        <v>1655</v>
      </c>
      <c r="B270" s="2">
        <v>16</v>
      </c>
      <c r="C270" s="2">
        <v>14</v>
      </c>
      <c r="D270" s="2" t="s">
        <v>113</v>
      </c>
      <c r="E270" s="2">
        <v>1666</v>
      </c>
      <c r="F270" s="2" t="s">
        <v>30</v>
      </c>
      <c r="G270" s="2" t="s">
        <v>1656</v>
      </c>
      <c r="H270" s="2" t="s">
        <v>1657</v>
      </c>
      <c r="I270" s="2" t="s">
        <v>1658</v>
      </c>
      <c r="J270" s="2" t="s">
        <v>34</v>
      </c>
      <c r="K270" s="2" t="s">
        <v>34</v>
      </c>
      <c r="L270" s="2" t="s">
        <v>1659</v>
      </c>
      <c r="M270" s="2" t="s">
        <v>34</v>
      </c>
      <c r="N270" s="2" t="s">
        <v>34</v>
      </c>
      <c r="O270" s="2" t="s">
        <v>34</v>
      </c>
      <c r="P270" s="2" t="s">
        <v>36</v>
      </c>
    </row>
    <row r="271" spans="1:16" x14ac:dyDescent="0.2">
      <c r="A271" s="2" t="s">
        <v>1660</v>
      </c>
      <c r="B271" s="2">
        <v>16</v>
      </c>
      <c r="C271" s="2">
        <v>15</v>
      </c>
      <c r="D271" s="2" t="s">
        <v>113</v>
      </c>
      <c r="E271" s="2">
        <v>1689</v>
      </c>
      <c r="F271" s="2" t="s">
        <v>30</v>
      </c>
      <c r="G271" s="2" t="s">
        <v>1661</v>
      </c>
      <c r="H271" s="2" t="s">
        <v>1662</v>
      </c>
      <c r="I271" s="2" t="s">
        <v>1663</v>
      </c>
      <c r="J271" s="2" t="s">
        <v>34</v>
      </c>
      <c r="K271" s="2" t="s">
        <v>34</v>
      </c>
      <c r="L271" s="2" t="s">
        <v>1664</v>
      </c>
      <c r="M271" s="2" t="s">
        <v>1665</v>
      </c>
      <c r="N271" s="2" t="s">
        <v>34</v>
      </c>
      <c r="O271" s="2" t="s">
        <v>1666</v>
      </c>
      <c r="P271" s="2" t="s">
        <v>78</v>
      </c>
    </row>
    <row r="272" spans="1:16" x14ac:dyDescent="0.2">
      <c r="A272" s="2" t="s">
        <v>1667</v>
      </c>
      <c r="B272" s="2">
        <v>16</v>
      </c>
      <c r="C272" s="2">
        <v>16</v>
      </c>
      <c r="D272" s="2" t="s">
        <v>113</v>
      </c>
      <c r="E272" s="2">
        <v>2080</v>
      </c>
      <c r="F272" s="2" t="s">
        <v>38</v>
      </c>
      <c r="G272" s="2" t="s">
        <v>1183</v>
      </c>
      <c r="H272" s="2" t="s">
        <v>1668</v>
      </c>
      <c r="I272" s="2" t="s">
        <v>1669</v>
      </c>
      <c r="J272" s="2" t="s">
        <v>1670</v>
      </c>
      <c r="K272" s="3">
        <v>46500</v>
      </c>
      <c r="L272" s="2" t="s">
        <v>1671</v>
      </c>
      <c r="M272" s="2" t="s">
        <v>34</v>
      </c>
      <c r="N272" s="2" t="s">
        <v>34</v>
      </c>
      <c r="O272" s="2" t="s">
        <v>1672</v>
      </c>
      <c r="P272" s="2" t="s">
        <v>36</v>
      </c>
    </row>
    <row r="273" spans="1:16" x14ac:dyDescent="0.2">
      <c r="A273" s="2" t="s">
        <v>1673</v>
      </c>
      <c r="B273" s="2">
        <v>16</v>
      </c>
      <c r="C273" s="2">
        <v>17</v>
      </c>
      <c r="D273" s="2" t="s">
        <v>144</v>
      </c>
      <c r="E273" s="2">
        <v>3074</v>
      </c>
      <c r="F273" s="2" t="s">
        <v>30</v>
      </c>
      <c r="G273" s="2" t="s">
        <v>394</v>
      </c>
      <c r="H273" s="2" t="s">
        <v>1674</v>
      </c>
      <c r="I273" s="2" t="s">
        <v>1675</v>
      </c>
      <c r="J273" s="2" t="s">
        <v>34</v>
      </c>
      <c r="K273" s="2" t="s">
        <v>34</v>
      </c>
      <c r="L273" s="2" t="s">
        <v>1676</v>
      </c>
      <c r="M273" s="2" t="s">
        <v>1677</v>
      </c>
      <c r="N273" s="2" t="s">
        <v>34</v>
      </c>
      <c r="O273" s="2" t="s">
        <v>34</v>
      </c>
      <c r="P273" s="2" t="s">
        <v>36</v>
      </c>
    </row>
    <row r="274" spans="1:16" x14ac:dyDescent="0.2">
      <c r="A274" s="2" t="s">
        <v>1678</v>
      </c>
      <c r="B274" s="2">
        <v>17</v>
      </c>
      <c r="C274" s="2">
        <v>1</v>
      </c>
      <c r="D274" s="2" t="s">
        <v>29</v>
      </c>
      <c r="E274" s="2">
        <v>821</v>
      </c>
      <c r="F274" s="2" t="s">
        <v>30</v>
      </c>
      <c r="G274" s="2" t="s">
        <v>1679</v>
      </c>
      <c r="H274" s="2" t="s">
        <v>1680</v>
      </c>
      <c r="I274" s="2" t="s">
        <v>1681</v>
      </c>
      <c r="J274" s="2" t="s">
        <v>34</v>
      </c>
      <c r="K274" s="2" t="s">
        <v>34</v>
      </c>
      <c r="L274" s="2" t="s">
        <v>1682</v>
      </c>
      <c r="M274" s="2" t="s">
        <v>34</v>
      </c>
      <c r="N274" s="2" t="s">
        <v>34</v>
      </c>
      <c r="O274" s="2" t="s">
        <v>1683</v>
      </c>
      <c r="P274" s="2" t="s">
        <v>36</v>
      </c>
    </row>
    <row r="275" spans="1:16" x14ac:dyDescent="0.2">
      <c r="A275" s="2" t="s">
        <v>1684</v>
      </c>
      <c r="B275" s="2">
        <v>17</v>
      </c>
      <c r="C275" s="2">
        <v>2</v>
      </c>
      <c r="D275" s="2" t="s">
        <v>29</v>
      </c>
      <c r="E275" s="2">
        <v>847</v>
      </c>
      <c r="F275" s="2" t="s">
        <v>30</v>
      </c>
      <c r="G275" s="2" t="s">
        <v>1685</v>
      </c>
      <c r="H275" s="2" t="s">
        <v>1686</v>
      </c>
      <c r="I275" s="2" t="s">
        <v>1687</v>
      </c>
      <c r="J275" s="2" t="s">
        <v>34</v>
      </c>
      <c r="K275" s="2" t="s">
        <v>34</v>
      </c>
      <c r="L275" s="2" t="s">
        <v>1688</v>
      </c>
      <c r="M275" s="2" t="s">
        <v>34</v>
      </c>
      <c r="N275" s="2" t="s">
        <v>34</v>
      </c>
      <c r="O275" s="2" t="s">
        <v>34</v>
      </c>
      <c r="P275" s="2" t="s">
        <v>36</v>
      </c>
    </row>
    <row r="276" spans="1:16" x14ac:dyDescent="0.2">
      <c r="A276" s="2" t="s">
        <v>1689</v>
      </c>
      <c r="B276" s="2">
        <v>17</v>
      </c>
      <c r="C276" s="2">
        <v>3</v>
      </c>
      <c r="D276" s="2" t="s">
        <v>29</v>
      </c>
      <c r="E276" s="2">
        <v>921</v>
      </c>
      <c r="F276" s="2" t="s">
        <v>38</v>
      </c>
      <c r="G276" s="2" t="s">
        <v>1690</v>
      </c>
      <c r="H276" s="2" t="s">
        <v>1691</v>
      </c>
      <c r="I276" s="2" t="s">
        <v>1692</v>
      </c>
      <c r="J276" s="2" t="s">
        <v>606</v>
      </c>
      <c r="K276" s="3">
        <v>46380</v>
      </c>
      <c r="L276" s="2" t="s">
        <v>1693</v>
      </c>
      <c r="M276" s="2" t="s">
        <v>34</v>
      </c>
      <c r="N276" s="2" t="s">
        <v>34</v>
      </c>
      <c r="O276" s="2" t="s">
        <v>1694</v>
      </c>
      <c r="P276" s="2" t="s">
        <v>36</v>
      </c>
    </row>
    <row r="277" spans="1:16" x14ac:dyDescent="0.2">
      <c r="A277" s="2" t="s">
        <v>1695</v>
      </c>
      <c r="B277" s="2">
        <v>17</v>
      </c>
      <c r="C277" s="2">
        <v>4</v>
      </c>
      <c r="D277" s="2" t="s">
        <v>29</v>
      </c>
      <c r="E277" s="2">
        <v>921</v>
      </c>
      <c r="F277" s="2" t="s">
        <v>30</v>
      </c>
      <c r="G277" s="2" t="s">
        <v>363</v>
      </c>
      <c r="H277" s="2" t="s">
        <v>1696</v>
      </c>
      <c r="I277" s="2" t="s">
        <v>1697</v>
      </c>
      <c r="J277" s="2" t="s">
        <v>34</v>
      </c>
      <c r="K277" s="2" t="s">
        <v>34</v>
      </c>
      <c r="L277" s="2" t="s">
        <v>1698</v>
      </c>
      <c r="M277" s="2" t="s">
        <v>34</v>
      </c>
      <c r="N277" s="2" t="s">
        <v>34</v>
      </c>
      <c r="O277" s="2" t="s">
        <v>1699</v>
      </c>
      <c r="P277" s="2" t="s">
        <v>78</v>
      </c>
    </row>
    <row r="278" spans="1:16" x14ac:dyDescent="0.2">
      <c r="A278" s="2" t="s">
        <v>1700</v>
      </c>
      <c r="B278" s="2">
        <v>17</v>
      </c>
      <c r="C278" s="2">
        <v>5</v>
      </c>
      <c r="D278" s="2" t="s">
        <v>29</v>
      </c>
      <c r="E278" s="2">
        <v>960</v>
      </c>
      <c r="F278" s="2" t="s">
        <v>30</v>
      </c>
      <c r="G278" s="2" t="s">
        <v>1701</v>
      </c>
      <c r="H278" s="2" t="s">
        <v>1702</v>
      </c>
      <c r="I278" s="2" t="s">
        <v>1703</v>
      </c>
      <c r="J278" s="2" t="s">
        <v>34</v>
      </c>
      <c r="K278" s="2" t="s">
        <v>34</v>
      </c>
      <c r="L278" s="2" t="s">
        <v>1704</v>
      </c>
      <c r="M278" s="2" t="s">
        <v>34</v>
      </c>
      <c r="N278" s="2" t="s">
        <v>34</v>
      </c>
      <c r="O278" s="2" t="s">
        <v>34</v>
      </c>
      <c r="P278" s="2" t="s">
        <v>36</v>
      </c>
    </row>
    <row r="279" spans="1:16" x14ac:dyDescent="0.2">
      <c r="A279" s="2" t="s">
        <v>1705</v>
      </c>
      <c r="B279" s="2">
        <v>17</v>
      </c>
      <c r="C279" s="2">
        <v>6</v>
      </c>
      <c r="D279" s="2" t="s">
        <v>29</v>
      </c>
      <c r="E279" s="2">
        <v>973</v>
      </c>
      <c r="F279" s="2" t="s">
        <v>30</v>
      </c>
      <c r="G279" s="2" t="s">
        <v>1706</v>
      </c>
      <c r="H279" s="2" t="s">
        <v>1707</v>
      </c>
      <c r="I279" s="2" t="s">
        <v>1708</v>
      </c>
      <c r="J279" s="2" t="s">
        <v>34</v>
      </c>
      <c r="K279" s="2" t="s">
        <v>34</v>
      </c>
      <c r="L279" s="2" t="s">
        <v>1709</v>
      </c>
      <c r="M279" s="2" t="s">
        <v>34</v>
      </c>
      <c r="N279" s="2" t="s">
        <v>34</v>
      </c>
      <c r="O279" s="2" t="s">
        <v>34</v>
      </c>
      <c r="P279" s="2" t="s">
        <v>78</v>
      </c>
    </row>
    <row r="280" spans="1:16" x14ac:dyDescent="0.2">
      <c r="A280" s="2" t="s">
        <v>1710</v>
      </c>
      <c r="B280" s="2">
        <v>17</v>
      </c>
      <c r="C280" s="2">
        <v>7</v>
      </c>
      <c r="D280" s="2" t="s">
        <v>71</v>
      </c>
      <c r="E280" s="2">
        <v>1494</v>
      </c>
      <c r="F280" s="2" t="s">
        <v>38</v>
      </c>
      <c r="G280" s="2" t="s">
        <v>443</v>
      </c>
      <c r="H280" s="2" t="s">
        <v>1711</v>
      </c>
      <c r="I280" s="2" t="s">
        <v>1712</v>
      </c>
      <c r="J280" s="2" t="s">
        <v>875</v>
      </c>
      <c r="K280" s="3">
        <v>46205</v>
      </c>
      <c r="L280" s="2" t="s">
        <v>1713</v>
      </c>
      <c r="M280" s="2" t="s">
        <v>1714</v>
      </c>
      <c r="N280" s="2" t="s">
        <v>34</v>
      </c>
      <c r="O280" s="2" t="s">
        <v>1715</v>
      </c>
      <c r="P280" s="2" t="s">
        <v>78</v>
      </c>
    </row>
    <row r="281" spans="1:16" x14ac:dyDescent="0.2">
      <c r="A281" s="2" t="s">
        <v>1716</v>
      </c>
      <c r="B281" s="2">
        <v>17</v>
      </c>
      <c r="C281" s="2">
        <v>8</v>
      </c>
      <c r="D281" s="2" t="s">
        <v>71</v>
      </c>
      <c r="E281" s="2">
        <v>1326</v>
      </c>
      <c r="F281" s="2" t="s">
        <v>38</v>
      </c>
      <c r="G281" s="2" t="s">
        <v>39</v>
      </c>
      <c r="H281" s="2" t="s">
        <v>1717</v>
      </c>
      <c r="I281" s="2" t="s">
        <v>1718</v>
      </c>
      <c r="J281" s="2" t="s">
        <v>549</v>
      </c>
      <c r="K281" s="3">
        <v>46400</v>
      </c>
      <c r="L281" s="2" t="s">
        <v>1719</v>
      </c>
      <c r="M281" s="2" t="s">
        <v>34</v>
      </c>
      <c r="N281" s="2" t="s">
        <v>34</v>
      </c>
      <c r="O281" s="2" t="s">
        <v>1720</v>
      </c>
      <c r="P281" s="2" t="s">
        <v>78</v>
      </c>
    </row>
    <row r="282" spans="1:16" x14ac:dyDescent="0.2">
      <c r="A282" s="2" t="s">
        <v>1721</v>
      </c>
      <c r="B282" s="2">
        <v>17</v>
      </c>
      <c r="C282" s="2">
        <v>9</v>
      </c>
      <c r="D282" s="2" t="s">
        <v>71</v>
      </c>
      <c r="E282" s="2">
        <v>1321</v>
      </c>
      <c r="F282" s="2" t="s">
        <v>30</v>
      </c>
      <c r="G282" s="2" t="s">
        <v>151</v>
      </c>
      <c r="H282" s="2" t="s">
        <v>1722</v>
      </c>
      <c r="I282" s="2" t="s">
        <v>1723</v>
      </c>
      <c r="J282" s="2" t="s">
        <v>34</v>
      </c>
      <c r="K282" s="2" t="s">
        <v>34</v>
      </c>
      <c r="L282" s="2" t="s">
        <v>1724</v>
      </c>
      <c r="M282" s="2" t="s">
        <v>1725</v>
      </c>
      <c r="N282" s="2" t="s">
        <v>34</v>
      </c>
      <c r="O282" s="2" t="s">
        <v>1726</v>
      </c>
      <c r="P282" s="2" t="s">
        <v>78</v>
      </c>
    </row>
    <row r="283" spans="1:16" x14ac:dyDescent="0.2">
      <c r="A283" s="2" t="s">
        <v>1727</v>
      </c>
      <c r="B283" s="2">
        <v>17</v>
      </c>
      <c r="C283" s="2">
        <v>10</v>
      </c>
      <c r="D283" s="2" t="s">
        <v>71</v>
      </c>
      <c r="E283" s="2">
        <v>1325</v>
      </c>
      <c r="F283" s="2" t="s">
        <v>38</v>
      </c>
      <c r="G283" s="2" t="s">
        <v>736</v>
      </c>
      <c r="H283" s="2" t="s">
        <v>1728</v>
      </c>
      <c r="I283" s="2" t="s">
        <v>1729</v>
      </c>
      <c r="J283" s="2" t="s">
        <v>626</v>
      </c>
      <c r="K283" s="3">
        <v>46347</v>
      </c>
      <c r="L283" s="2" t="s">
        <v>1730</v>
      </c>
      <c r="M283" s="2" t="s">
        <v>1731</v>
      </c>
      <c r="N283" s="2" t="s">
        <v>34</v>
      </c>
      <c r="O283" s="2" t="s">
        <v>1732</v>
      </c>
      <c r="P283" s="2" t="s">
        <v>36</v>
      </c>
    </row>
    <row r="284" spans="1:16" x14ac:dyDescent="0.2">
      <c r="A284" s="2" t="s">
        <v>1733</v>
      </c>
      <c r="B284" s="2">
        <v>17</v>
      </c>
      <c r="C284" s="2">
        <v>11</v>
      </c>
      <c r="D284" s="2" t="s">
        <v>71</v>
      </c>
      <c r="E284" s="2">
        <v>1437</v>
      </c>
      <c r="F284" s="2" t="s">
        <v>38</v>
      </c>
      <c r="G284" s="2" t="s">
        <v>919</v>
      </c>
      <c r="H284" s="2" t="s">
        <v>1734</v>
      </c>
      <c r="I284" s="2" t="s">
        <v>1735</v>
      </c>
      <c r="J284" s="2" t="s">
        <v>1736</v>
      </c>
      <c r="K284" s="3">
        <v>46383</v>
      </c>
      <c r="L284" s="2" t="s">
        <v>1737</v>
      </c>
      <c r="M284" s="2" t="s">
        <v>1738</v>
      </c>
      <c r="N284" s="2" t="s">
        <v>34</v>
      </c>
      <c r="O284" s="2" t="s">
        <v>34</v>
      </c>
      <c r="P284" s="2" t="s">
        <v>36</v>
      </c>
    </row>
    <row r="285" spans="1:16" x14ac:dyDescent="0.2">
      <c r="A285" s="2" t="s">
        <v>1739</v>
      </c>
      <c r="B285" s="2">
        <v>17</v>
      </c>
      <c r="C285" s="2">
        <v>12</v>
      </c>
      <c r="D285" s="2" t="s">
        <v>71</v>
      </c>
      <c r="E285" s="2">
        <v>1353</v>
      </c>
      <c r="F285" s="2" t="s">
        <v>30</v>
      </c>
      <c r="G285" s="2" t="s">
        <v>504</v>
      </c>
      <c r="H285" s="2" t="s">
        <v>1740</v>
      </c>
      <c r="I285" s="2" t="s">
        <v>1741</v>
      </c>
      <c r="J285" s="2" t="s">
        <v>34</v>
      </c>
      <c r="K285" s="2" t="s">
        <v>34</v>
      </c>
      <c r="L285" s="2" t="s">
        <v>1742</v>
      </c>
      <c r="M285" s="2" t="s">
        <v>1743</v>
      </c>
      <c r="N285" s="2" t="s">
        <v>1744</v>
      </c>
      <c r="O285" s="2" t="s">
        <v>1745</v>
      </c>
      <c r="P285" s="2" t="s">
        <v>36</v>
      </c>
    </row>
    <row r="286" spans="1:16" x14ac:dyDescent="0.2">
      <c r="A286" s="2" t="s">
        <v>1746</v>
      </c>
      <c r="B286" s="2">
        <v>17</v>
      </c>
      <c r="C286" s="2">
        <v>13</v>
      </c>
      <c r="D286" s="2" t="s">
        <v>113</v>
      </c>
      <c r="E286" s="2">
        <v>1973</v>
      </c>
      <c r="F286" s="2" t="s">
        <v>38</v>
      </c>
      <c r="G286" s="2" t="s">
        <v>1747</v>
      </c>
      <c r="H286" s="2" t="s">
        <v>1748</v>
      </c>
      <c r="I286" s="2" t="s">
        <v>1749</v>
      </c>
      <c r="J286" s="2" t="s">
        <v>814</v>
      </c>
      <c r="K286" s="3">
        <v>46252</v>
      </c>
      <c r="L286" s="2" t="s">
        <v>1750</v>
      </c>
      <c r="M286" s="2" t="s">
        <v>1751</v>
      </c>
      <c r="N286" s="2" t="s">
        <v>34</v>
      </c>
      <c r="O286" s="2" t="s">
        <v>1752</v>
      </c>
      <c r="P286" s="2" t="s">
        <v>36</v>
      </c>
    </row>
    <row r="287" spans="1:16" x14ac:dyDescent="0.2">
      <c r="A287" s="2" t="s">
        <v>1753</v>
      </c>
      <c r="B287" s="2">
        <v>17</v>
      </c>
      <c r="C287" s="2">
        <v>14</v>
      </c>
      <c r="D287" s="2" t="s">
        <v>113</v>
      </c>
      <c r="E287" s="2">
        <v>2137</v>
      </c>
      <c r="F287" s="2" t="s">
        <v>30</v>
      </c>
      <c r="G287" s="2" t="s">
        <v>1754</v>
      </c>
      <c r="H287" s="2" t="s">
        <v>1755</v>
      </c>
      <c r="I287" s="2" t="s">
        <v>1756</v>
      </c>
      <c r="J287" s="2" t="s">
        <v>34</v>
      </c>
      <c r="K287" s="2" t="s">
        <v>34</v>
      </c>
      <c r="L287" s="2" t="s">
        <v>1757</v>
      </c>
      <c r="M287" s="2" t="s">
        <v>1758</v>
      </c>
      <c r="N287" s="2" t="s">
        <v>34</v>
      </c>
      <c r="O287" s="2" t="s">
        <v>34</v>
      </c>
      <c r="P287" s="2" t="s">
        <v>78</v>
      </c>
    </row>
    <row r="288" spans="1:16" x14ac:dyDescent="0.2">
      <c r="A288" s="2" t="s">
        <v>1759</v>
      </c>
      <c r="B288" s="2">
        <v>17</v>
      </c>
      <c r="C288" s="2">
        <v>15</v>
      </c>
      <c r="D288" s="2" t="s">
        <v>113</v>
      </c>
      <c r="E288" s="2">
        <v>1890</v>
      </c>
      <c r="F288" s="2" t="s">
        <v>38</v>
      </c>
      <c r="G288" s="2" t="s">
        <v>1760</v>
      </c>
      <c r="H288" s="2" t="s">
        <v>1761</v>
      </c>
      <c r="I288" s="2" t="s">
        <v>1762</v>
      </c>
      <c r="J288" s="2" t="s">
        <v>1763</v>
      </c>
      <c r="K288" s="3">
        <v>46234</v>
      </c>
      <c r="L288" s="2" t="s">
        <v>1764</v>
      </c>
      <c r="M288" s="2" t="s">
        <v>1765</v>
      </c>
      <c r="N288" s="2" t="s">
        <v>34</v>
      </c>
      <c r="O288" s="2" t="s">
        <v>34</v>
      </c>
      <c r="P288" s="2" t="s">
        <v>36</v>
      </c>
    </row>
    <row r="289" spans="1:16" x14ac:dyDescent="0.2">
      <c r="A289" s="2" t="s">
        <v>1766</v>
      </c>
      <c r="B289" s="2">
        <v>17</v>
      </c>
      <c r="C289" s="2">
        <v>16</v>
      </c>
      <c r="D289" s="2" t="s">
        <v>113</v>
      </c>
      <c r="E289" s="2">
        <v>1656</v>
      </c>
      <c r="F289" s="2" t="s">
        <v>38</v>
      </c>
      <c r="G289" s="2" t="s">
        <v>1767</v>
      </c>
      <c r="H289" s="2" t="s">
        <v>1768</v>
      </c>
      <c r="I289" s="2" t="s">
        <v>1769</v>
      </c>
      <c r="J289" s="2" t="s">
        <v>1770</v>
      </c>
      <c r="K289" s="3">
        <v>46290</v>
      </c>
      <c r="L289" s="2" t="s">
        <v>1771</v>
      </c>
      <c r="M289" s="2" t="s">
        <v>34</v>
      </c>
      <c r="N289" s="2" t="s">
        <v>34</v>
      </c>
      <c r="O289" s="2" t="s">
        <v>34</v>
      </c>
      <c r="P289" s="2" t="s">
        <v>36</v>
      </c>
    </row>
    <row r="290" spans="1:16" x14ac:dyDescent="0.2">
      <c r="A290" s="2" t="s">
        <v>1772</v>
      </c>
      <c r="B290" s="2">
        <v>17</v>
      </c>
      <c r="C290" s="2">
        <v>17</v>
      </c>
      <c r="D290" s="2" t="s">
        <v>144</v>
      </c>
      <c r="E290" s="2">
        <v>3614</v>
      </c>
      <c r="F290" s="2" t="s">
        <v>30</v>
      </c>
      <c r="G290" s="2" t="s">
        <v>1773</v>
      </c>
      <c r="H290" s="2" t="s">
        <v>1774</v>
      </c>
      <c r="I290" s="2" t="s">
        <v>1775</v>
      </c>
      <c r="J290" s="2" t="s">
        <v>34</v>
      </c>
      <c r="K290" s="2" t="s">
        <v>34</v>
      </c>
      <c r="L290" s="2" t="s">
        <v>1776</v>
      </c>
      <c r="M290" s="2" t="s">
        <v>1777</v>
      </c>
      <c r="N290" s="2" t="s">
        <v>34</v>
      </c>
      <c r="O290" s="2" t="s">
        <v>34</v>
      </c>
      <c r="P290" s="2" t="s">
        <v>36</v>
      </c>
    </row>
    <row r="291" spans="1:16" x14ac:dyDescent="0.2">
      <c r="A291" s="2" t="s">
        <v>1778</v>
      </c>
      <c r="B291" s="2">
        <v>18</v>
      </c>
      <c r="C291" s="2">
        <v>1</v>
      </c>
      <c r="D291" s="2" t="s">
        <v>29</v>
      </c>
      <c r="E291" s="2">
        <v>920</v>
      </c>
      <c r="F291" s="2" t="s">
        <v>38</v>
      </c>
      <c r="G291" s="2" t="s">
        <v>1779</v>
      </c>
      <c r="H291" s="2" t="s">
        <v>1780</v>
      </c>
      <c r="I291" s="2" t="s">
        <v>1781</v>
      </c>
      <c r="J291" s="2" t="s">
        <v>1782</v>
      </c>
      <c r="K291" s="3">
        <v>46131</v>
      </c>
      <c r="L291" s="2" t="s">
        <v>1783</v>
      </c>
      <c r="M291" s="2" t="s">
        <v>34</v>
      </c>
      <c r="N291" s="2" t="s">
        <v>1784</v>
      </c>
      <c r="O291" s="2" t="s">
        <v>1785</v>
      </c>
      <c r="P291" s="2" t="s">
        <v>36</v>
      </c>
    </row>
    <row r="292" spans="1:16" x14ac:dyDescent="0.2">
      <c r="A292" s="2" t="s">
        <v>1786</v>
      </c>
      <c r="B292" s="2">
        <v>18</v>
      </c>
      <c r="C292" s="2">
        <v>2</v>
      </c>
      <c r="D292" s="2" t="s">
        <v>29</v>
      </c>
      <c r="E292" s="2">
        <v>886</v>
      </c>
      <c r="F292" s="2" t="s">
        <v>30</v>
      </c>
      <c r="G292" s="2" t="s">
        <v>278</v>
      </c>
      <c r="H292" s="2" t="s">
        <v>1787</v>
      </c>
      <c r="I292" s="2" t="s">
        <v>1788</v>
      </c>
      <c r="J292" s="2" t="s">
        <v>34</v>
      </c>
      <c r="K292" s="2" t="s">
        <v>34</v>
      </c>
      <c r="L292" s="2" t="s">
        <v>1789</v>
      </c>
      <c r="M292" s="2" t="s">
        <v>34</v>
      </c>
      <c r="N292" s="2" t="s">
        <v>34</v>
      </c>
      <c r="O292" s="2" t="s">
        <v>1790</v>
      </c>
      <c r="P292" s="2" t="s">
        <v>36</v>
      </c>
    </row>
    <row r="293" spans="1:16" x14ac:dyDescent="0.2">
      <c r="A293" s="2" t="s">
        <v>1791</v>
      </c>
      <c r="B293" s="2">
        <v>18</v>
      </c>
      <c r="C293" s="2">
        <v>3</v>
      </c>
      <c r="D293" s="2" t="s">
        <v>29</v>
      </c>
      <c r="E293" s="2">
        <v>915</v>
      </c>
      <c r="F293" s="2" t="s">
        <v>30</v>
      </c>
      <c r="G293" s="2" t="s">
        <v>1773</v>
      </c>
      <c r="H293" s="2" t="s">
        <v>1792</v>
      </c>
      <c r="I293" s="2" t="s">
        <v>1793</v>
      </c>
      <c r="J293" s="2" t="s">
        <v>34</v>
      </c>
      <c r="K293" s="2" t="s">
        <v>34</v>
      </c>
      <c r="L293" s="2" t="s">
        <v>1794</v>
      </c>
      <c r="M293" s="2" t="s">
        <v>34</v>
      </c>
      <c r="N293" s="2" t="s">
        <v>34</v>
      </c>
      <c r="O293" s="2" t="s">
        <v>34</v>
      </c>
      <c r="P293" s="2" t="s">
        <v>78</v>
      </c>
    </row>
    <row r="294" spans="1:16" x14ac:dyDescent="0.2">
      <c r="A294" s="2" t="s">
        <v>1795</v>
      </c>
      <c r="B294" s="2">
        <v>18</v>
      </c>
      <c r="C294" s="2">
        <v>4</v>
      </c>
      <c r="D294" s="2" t="s">
        <v>29</v>
      </c>
      <c r="E294" s="2">
        <v>889</v>
      </c>
      <c r="F294" s="2" t="s">
        <v>30</v>
      </c>
      <c r="G294" s="2" t="s">
        <v>757</v>
      </c>
      <c r="H294" s="2" t="s">
        <v>1796</v>
      </c>
      <c r="I294" s="2" t="s">
        <v>1797</v>
      </c>
      <c r="J294" s="2" t="s">
        <v>34</v>
      </c>
      <c r="K294" s="2" t="s">
        <v>34</v>
      </c>
      <c r="L294" s="2" t="s">
        <v>1798</v>
      </c>
      <c r="M294" s="2" t="s">
        <v>34</v>
      </c>
      <c r="N294" s="2" t="s">
        <v>34</v>
      </c>
      <c r="O294" s="2" t="s">
        <v>1799</v>
      </c>
      <c r="P294" s="2" t="s">
        <v>36</v>
      </c>
    </row>
    <row r="295" spans="1:16" x14ac:dyDescent="0.2">
      <c r="A295" s="2" t="s">
        <v>1800</v>
      </c>
      <c r="B295" s="2">
        <v>18</v>
      </c>
      <c r="C295" s="2">
        <v>5</v>
      </c>
      <c r="D295" s="2" t="s">
        <v>29</v>
      </c>
      <c r="E295" s="2">
        <v>947</v>
      </c>
      <c r="F295" s="2" t="s">
        <v>38</v>
      </c>
      <c r="G295" s="2" t="s">
        <v>1622</v>
      </c>
      <c r="H295" s="2" t="s">
        <v>1801</v>
      </c>
      <c r="I295" s="2" t="s">
        <v>1802</v>
      </c>
      <c r="J295" s="2" t="s">
        <v>1803</v>
      </c>
      <c r="K295" s="3">
        <v>46383</v>
      </c>
      <c r="L295" s="2" t="s">
        <v>1804</v>
      </c>
      <c r="M295" s="2" t="s">
        <v>34</v>
      </c>
      <c r="N295" s="2" t="s">
        <v>1805</v>
      </c>
      <c r="O295" s="2" t="s">
        <v>1806</v>
      </c>
      <c r="P295" s="2" t="s">
        <v>36</v>
      </c>
    </row>
    <row r="296" spans="1:16" x14ac:dyDescent="0.2">
      <c r="A296" s="2" t="s">
        <v>1807</v>
      </c>
      <c r="B296" s="2">
        <v>18</v>
      </c>
      <c r="C296" s="2">
        <v>6</v>
      </c>
      <c r="D296" s="2" t="s">
        <v>29</v>
      </c>
      <c r="E296" s="2">
        <v>875</v>
      </c>
      <c r="F296" s="2" t="s">
        <v>30</v>
      </c>
      <c r="G296" s="2" t="s">
        <v>1808</v>
      </c>
      <c r="H296" s="2" t="s">
        <v>1809</v>
      </c>
      <c r="I296" s="2" t="s">
        <v>1810</v>
      </c>
      <c r="J296" s="2" t="s">
        <v>34</v>
      </c>
      <c r="K296" s="2" t="s">
        <v>34</v>
      </c>
      <c r="L296" s="2" t="s">
        <v>1811</v>
      </c>
      <c r="M296" s="2" t="s">
        <v>34</v>
      </c>
      <c r="N296" s="2" t="s">
        <v>34</v>
      </c>
      <c r="O296" s="2" t="s">
        <v>1812</v>
      </c>
      <c r="P296" s="2" t="s">
        <v>36</v>
      </c>
    </row>
    <row r="297" spans="1:16" x14ac:dyDescent="0.2">
      <c r="A297" s="2" t="s">
        <v>1813</v>
      </c>
      <c r="B297" s="2">
        <v>18</v>
      </c>
      <c r="C297" s="2">
        <v>7</v>
      </c>
      <c r="D297" s="2" t="s">
        <v>71</v>
      </c>
      <c r="E297" s="2">
        <v>1356</v>
      </c>
      <c r="F297" s="2" t="s">
        <v>30</v>
      </c>
      <c r="G297" s="2" t="s">
        <v>1814</v>
      </c>
      <c r="H297" s="2" t="s">
        <v>1815</v>
      </c>
      <c r="I297" s="2" t="s">
        <v>1816</v>
      </c>
      <c r="J297" s="2" t="s">
        <v>34</v>
      </c>
      <c r="K297" s="2" t="s">
        <v>34</v>
      </c>
      <c r="L297" s="2" t="s">
        <v>1817</v>
      </c>
      <c r="M297" s="2" t="s">
        <v>34</v>
      </c>
      <c r="N297" s="2" t="s">
        <v>34</v>
      </c>
      <c r="O297" s="2" t="s">
        <v>1818</v>
      </c>
      <c r="P297" s="2" t="s">
        <v>36</v>
      </c>
    </row>
    <row r="298" spans="1:16" x14ac:dyDescent="0.2">
      <c r="A298" s="2" t="s">
        <v>1819</v>
      </c>
      <c r="B298" s="2">
        <v>18</v>
      </c>
      <c r="C298" s="2">
        <v>8</v>
      </c>
      <c r="D298" s="2" t="s">
        <v>71</v>
      </c>
      <c r="E298" s="2">
        <v>1325</v>
      </c>
      <c r="F298" s="2" t="s">
        <v>30</v>
      </c>
      <c r="G298" s="2" t="s">
        <v>1820</v>
      </c>
      <c r="H298" s="2" t="s">
        <v>1821</v>
      </c>
      <c r="I298" s="2" t="s">
        <v>1822</v>
      </c>
      <c r="J298" s="2" t="s">
        <v>34</v>
      </c>
      <c r="K298" s="2" t="s">
        <v>34</v>
      </c>
      <c r="L298" s="2" t="s">
        <v>1823</v>
      </c>
      <c r="M298" s="2" t="s">
        <v>34</v>
      </c>
      <c r="N298" s="2" t="s">
        <v>34</v>
      </c>
      <c r="O298" s="2" t="s">
        <v>34</v>
      </c>
      <c r="P298" s="2" t="s">
        <v>36</v>
      </c>
    </row>
    <row r="299" spans="1:16" x14ac:dyDescent="0.2">
      <c r="A299" s="2" t="s">
        <v>1824</v>
      </c>
      <c r="B299" s="2">
        <v>18</v>
      </c>
      <c r="C299" s="2">
        <v>9</v>
      </c>
      <c r="D299" s="2" t="s">
        <v>71</v>
      </c>
      <c r="E299" s="2">
        <v>1265</v>
      </c>
      <c r="F299" s="2" t="s">
        <v>30</v>
      </c>
      <c r="G299" s="2" t="s">
        <v>1059</v>
      </c>
      <c r="H299" s="2" t="s">
        <v>1825</v>
      </c>
      <c r="I299" s="2" t="s">
        <v>1826</v>
      </c>
      <c r="J299" s="2" t="s">
        <v>34</v>
      </c>
      <c r="K299" s="2" t="s">
        <v>34</v>
      </c>
      <c r="L299" s="2" t="s">
        <v>1827</v>
      </c>
      <c r="M299" s="2" t="s">
        <v>34</v>
      </c>
      <c r="N299" s="2" t="s">
        <v>34</v>
      </c>
      <c r="O299" s="2" t="s">
        <v>1828</v>
      </c>
      <c r="P299" s="2" t="s">
        <v>36</v>
      </c>
    </row>
    <row r="300" spans="1:16" x14ac:dyDescent="0.2">
      <c r="A300" s="2" t="s">
        <v>1829</v>
      </c>
      <c r="B300" s="2">
        <v>18</v>
      </c>
      <c r="C300" s="2">
        <v>10</v>
      </c>
      <c r="D300" s="2" t="s">
        <v>71</v>
      </c>
      <c r="E300" s="2">
        <v>1514</v>
      </c>
      <c r="F300" s="2" t="s">
        <v>30</v>
      </c>
      <c r="G300" s="2" t="s">
        <v>1010</v>
      </c>
      <c r="H300" s="2" t="s">
        <v>1830</v>
      </c>
      <c r="I300" s="2" t="s">
        <v>1831</v>
      </c>
      <c r="J300" s="2" t="s">
        <v>34</v>
      </c>
      <c r="K300" s="2" t="s">
        <v>34</v>
      </c>
      <c r="L300" s="2" t="s">
        <v>1832</v>
      </c>
      <c r="M300" s="2" t="s">
        <v>34</v>
      </c>
      <c r="N300" s="2" t="s">
        <v>34</v>
      </c>
      <c r="O300" s="2" t="s">
        <v>34</v>
      </c>
      <c r="P300" s="2" t="s">
        <v>36</v>
      </c>
    </row>
    <row r="301" spans="1:16" x14ac:dyDescent="0.2">
      <c r="A301" s="2" t="s">
        <v>1833</v>
      </c>
      <c r="B301" s="2">
        <v>18</v>
      </c>
      <c r="C301" s="2">
        <v>11</v>
      </c>
      <c r="D301" s="2" t="s">
        <v>71</v>
      </c>
      <c r="E301" s="2">
        <v>1410</v>
      </c>
      <c r="F301" s="2" t="s">
        <v>30</v>
      </c>
      <c r="G301" s="2" t="s">
        <v>1834</v>
      </c>
      <c r="H301" s="2" t="s">
        <v>1835</v>
      </c>
      <c r="I301" s="2" t="s">
        <v>1836</v>
      </c>
      <c r="J301" s="2" t="s">
        <v>34</v>
      </c>
      <c r="K301" s="2" t="s">
        <v>34</v>
      </c>
      <c r="L301" s="2" t="s">
        <v>1837</v>
      </c>
      <c r="M301" s="2" t="s">
        <v>34</v>
      </c>
      <c r="N301" s="2" t="s">
        <v>34</v>
      </c>
      <c r="O301" s="2" t="s">
        <v>34</v>
      </c>
      <c r="P301" s="2" t="s">
        <v>36</v>
      </c>
    </row>
    <row r="302" spans="1:16" x14ac:dyDescent="0.2">
      <c r="A302" s="2" t="s">
        <v>1838</v>
      </c>
      <c r="B302" s="2">
        <v>18</v>
      </c>
      <c r="C302" s="2">
        <v>12</v>
      </c>
      <c r="D302" s="2" t="s">
        <v>71</v>
      </c>
      <c r="E302" s="2">
        <v>1287</v>
      </c>
      <c r="F302" s="2" t="s">
        <v>30</v>
      </c>
      <c r="G302" s="2" t="s">
        <v>1326</v>
      </c>
      <c r="H302" s="2" t="s">
        <v>1839</v>
      </c>
      <c r="I302" s="2" t="s">
        <v>1840</v>
      </c>
      <c r="J302" s="2" t="s">
        <v>34</v>
      </c>
      <c r="K302" s="2" t="s">
        <v>34</v>
      </c>
      <c r="L302" s="2" t="s">
        <v>1841</v>
      </c>
      <c r="M302" s="2" t="s">
        <v>34</v>
      </c>
      <c r="N302" s="2" t="s">
        <v>1842</v>
      </c>
      <c r="O302" s="2" t="s">
        <v>34</v>
      </c>
      <c r="P302" s="2" t="s">
        <v>36</v>
      </c>
    </row>
    <row r="303" spans="1:16" x14ac:dyDescent="0.2">
      <c r="A303" s="2" t="s">
        <v>1843</v>
      </c>
      <c r="B303" s="2">
        <v>18</v>
      </c>
      <c r="C303" s="2">
        <v>13</v>
      </c>
      <c r="D303" s="2" t="s">
        <v>113</v>
      </c>
      <c r="E303" s="2">
        <v>1918</v>
      </c>
      <c r="F303" s="2" t="s">
        <v>30</v>
      </c>
      <c r="G303" s="2" t="s">
        <v>1844</v>
      </c>
      <c r="H303" s="2" t="s">
        <v>1845</v>
      </c>
      <c r="I303" s="2" t="s">
        <v>1846</v>
      </c>
      <c r="J303" s="2" t="s">
        <v>34</v>
      </c>
      <c r="K303" s="2" t="s">
        <v>34</v>
      </c>
      <c r="L303" s="2" t="s">
        <v>1847</v>
      </c>
      <c r="M303" s="2" t="s">
        <v>34</v>
      </c>
      <c r="N303" s="2" t="s">
        <v>34</v>
      </c>
      <c r="O303" s="2" t="s">
        <v>1848</v>
      </c>
      <c r="P303" s="2" t="s">
        <v>36</v>
      </c>
    </row>
    <row r="304" spans="1:16" x14ac:dyDescent="0.2">
      <c r="A304" s="2" t="s">
        <v>1849</v>
      </c>
      <c r="B304" s="2">
        <v>18</v>
      </c>
      <c r="C304" s="2">
        <v>14</v>
      </c>
      <c r="D304" s="2" t="s">
        <v>113</v>
      </c>
      <c r="E304" s="2">
        <v>1784</v>
      </c>
      <c r="F304" s="2" t="s">
        <v>38</v>
      </c>
      <c r="G304" s="2" t="s">
        <v>904</v>
      </c>
      <c r="H304" s="2" t="s">
        <v>1850</v>
      </c>
      <c r="I304" s="2" t="s">
        <v>1851</v>
      </c>
      <c r="J304" s="2" t="s">
        <v>1852</v>
      </c>
      <c r="K304" s="3">
        <v>46290</v>
      </c>
      <c r="L304" s="2" t="s">
        <v>1853</v>
      </c>
      <c r="M304" s="2" t="s">
        <v>1854</v>
      </c>
      <c r="N304" s="2" t="s">
        <v>34</v>
      </c>
      <c r="O304" s="2" t="s">
        <v>34</v>
      </c>
      <c r="P304" s="2" t="s">
        <v>36</v>
      </c>
    </row>
    <row r="305" spans="1:16" x14ac:dyDescent="0.2">
      <c r="A305" s="2" t="s">
        <v>1855</v>
      </c>
      <c r="B305" s="2">
        <v>18</v>
      </c>
      <c r="C305" s="2">
        <v>15</v>
      </c>
      <c r="D305" s="2" t="s">
        <v>113</v>
      </c>
      <c r="E305" s="2">
        <v>1831</v>
      </c>
      <c r="F305" s="2" t="s">
        <v>30</v>
      </c>
      <c r="G305" s="2" t="s">
        <v>1856</v>
      </c>
      <c r="H305" s="2" t="s">
        <v>1857</v>
      </c>
      <c r="I305" s="2" t="s">
        <v>1858</v>
      </c>
      <c r="J305" s="2" t="s">
        <v>34</v>
      </c>
      <c r="K305" s="2" t="s">
        <v>34</v>
      </c>
      <c r="L305" s="2" t="s">
        <v>1859</v>
      </c>
      <c r="M305" s="2" t="s">
        <v>34</v>
      </c>
      <c r="N305" s="2" t="s">
        <v>34</v>
      </c>
      <c r="O305" s="2" t="s">
        <v>34</v>
      </c>
      <c r="P305" s="2" t="s">
        <v>36</v>
      </c>
    </row>
    <row r="306" spans="1:16" x14ac:dyDescent="0.2">
      <c r="A306" s="2" t="s">
        <v>1860</v>
      </c>
      <c r="B306" s="2">
        <v>18</v>
      </c>
      <c r="C306" s="2">
        <v>16</v>
      </c>
      <c r="D306" s="2" t="s">
        <v>113</v>
      </c>
      <c r="E306" s="2">
        <v>2143</v>
      </c>
      <c r="F306" s="2" t="s">
        <v>30</v>
      </c>
      <c r="G306" s="2" t="s">
        <v>1861</v>
      </c>
      <c r="H306" s="2" t="s">
        <v>1862</v>
      </c>
      <c r="I306" s="2" t="s">
        <v>1863</v>
      </c>
      <c r="J306" s="2" t="s">
        <v>34</v>
      </c>
      <c r="K306" s="2" t="s">
        <v>34</v>
      </c>
      <c r="L306" s="2" t="s">
        <v>1864</v>
      </c>
      <c r="M306" s="2" t="s">
        <v>1865</v>
      </c>
      <c r="N306" s="2" t="s">
        <v>34</v>
      </c>
      <c r="O306" s="2" t="s">
        <v>1866</v>
      </c>
      <c r="P306" s="2" t="s">
        <v>36</v>
      </c>
    </row>
    <row r="307" spans="1:16" x14ac:dyDescent="0.2">
      <c r="A307" s="2" t="s">
        <v>1867</v>
      </c>
      <c r="B307" s="2">
        <v>18</v>
      </c>
      <c r="C307" s="2">
        <v>17</v>
      </c>
      <c r="D307" s="2" t="s">
        <v>144</v>
      </c>
      <c r="E307" s="2">
        <v>3387</v>
      </c>
      <c r="F307" s="2" t="s">
        <v>30</v>
      </c>
      <c r="G307" s="2" t="s">
        <v>814</v>
      </c>
      <c r="H307" s="2" t="s">
        <v>1868</v>
      </c>
      <c r="I307" s="2" t="s">
        <v>1869</v>
      </c>
      <c r="J307" s="2" t="s">
        <v>34</v>
      </c>
      <c r="K307" s="2" t="s">
        <v>34</v>
      </c>
      <c r="L307" s="2" t="s">
        <v>1870</v>
      </c>
      <c r="M307" s="2" t="s">
        <v>34</v>
      </c>
      <c r="N307" s="2" t="s">
        <v>1871</v>
      </c>
      <c r="O307" s="2" t="s">
        <v>34</v>
      </c>
      <c r="P307" s="2" t="s">
        <v>36</v>
      </c>
    </row>
    <row r="308" spans="1:16" x14ac:dyDescent="0.2">
      <c r="A308" s="2" t="s">
        <v>1872</v>
      </c>
      <c r="B308" s="2">
        <v>19</v>
      </c>
      <c r="C308" s="2">
        <v>1</v>
      </c>
      <c r="D308" s="2" t="s">
        <v>29</v>
      </c>
      <c r="E308" s="2">
        <v>894</v>
      </c>
      <c r="F308" s="2" t="s">
        <v>30</v>
      </c>
      <c r="G308" s="2" t="s">
        <v>1873</v>
      </c>
      <c r="H308" s="2" t="s">
        <v>1874</v>
      </c>
      <c r="I308" s="2" t="s">
        <v>1875</v>
      </c>
      <c r="J308" s="2" t="s">
        <v>34</v>
      </c>
      <c r="K308" s="2" t="s">
        <v>34</v>
      </c>
      <c r="L308" s="2" t="s">
        <v>1876</v>
      </c>
      <c r="M308" s="2" t="s">
        <v>34</v>
      </c>
      <c r="N308" s="2" t="s">
        <v>34</v>
      </c>
      <c r="O308" s="2" t="s">
        <v>34</v>
      </c>
      <c r="P308" s="2" t="s">
        <v>36</v>
      </c>
    </row>
    <row r="309" spans="1:16" x14ac:dyDescent="0.2">
      <c r="A309" s="2" t="s">
        <v>1877</v>
      </c>
      <c r="B309" s="2">
        <v>19</v>
      </c>
      <c r="C309" s="2">
        <v>2</v>
      </c>
      <c r="D309" s="2" t="s">
        <v>29</v>
      </c>
      <c r="E309" s="2">
        <v>919</v>
      </c>
      <c r="F309" s="2" t="s">
        <v>30</v>
      </c>
      <c r="G309" s="2" t="s">
        <v>1878</v>
      </c>
      <c r="H309" s="2" t="s">
        <v>1879</v>
      </c>
      <c r="I309" s="2" t="s">
        <v>1880</v>
      </c>
      <c r="J309" s="2" t="s">
        <v>34</v>
      </c>
      <c r="K309" s="2" t="s">
        <v>34</v>
      </c>
      <c r="L309" s="2" t="s">
        <v>1881</v>
      </c>
      <c r="M309" s="2" t="s">
        <v>34</v>
      </c>
      <c r="N309" s="2" t="s">
        <v>34</v>
      </c>
      <c r="O309" s="2" t="s">
        <v>34</v>
      </c>
      <c r="P309" s="2" t="s">
        <v>36</v>
      </c>
    </row>
    <row r="310" spans="1:16" x14ac:dyDescent="0.2">
      <c r="A310" s="2" t="s">
        <v>1882</v>
      </c>
      <c r="B310" s="2">
        <v>19</v>
      </c>
      <c r="C310" s="2">
        <v>3</v>
      </c>
      <c r="D310" s="2" t="s">
        <v>29</v>
      </c>
      <c r="E310" s="2">
        <v>889</v>
      </c>
      <c r="F310" s="2" t="s">
        <v>30</v>
      </c>
      <c r="G310" s="2" t="s">
        <v>1883</v>
      </c>
      <c r="H310" s="2" t="s">
        <v>1884</v>
      </c>
      <c r="I310" s="2" t="s">
        <v>1885</v>
      </c>
      <c r="J310" s="2" t="s">
        <v>34</v>
      </c>
      <c r="K310" s="2" t="s">
        <v>34</v>
      </c>
      <c r="L310" s="2" t="s">
        <v>1886</v>
      </c>
      <c r="M310" s="2" t="s">
        <v>34</v>
      </c>
      <c r="N310" s="2" t="s">
        <v>34</v>
      </c>
      <c r="O310" s="2" t="s">
        <v>1887</v>
      </c>
      <c r="P310" s="2" t="s">
        <v>36</v>
      </c>
    </row>
    <row r="311" spans="1:16" x14ac:dyDescent="0.2">
      <c r="A311" s="2" t="s">
        <v>1888</v>
      </c>
      <c r="B311" s="2">
        <v>19</v>
      </c>
      <c r="C311" s="2">
        <v>4</v>
      </c>
      <c r="D311" s="2" t="s">
        <v>29</v>
      </c>
      <c r="E311" s="2">
        <v>978</v>
      </c>
      <c r="F311" s="2" t="s">
        <v>30</v>
      </c>
      <c r="G311" s="2" t="s">
        <v>571</v>
      </c>
      <c r="H311" s="2" t="s">
        <v>1889</v>
      </c>
      <c r="I311" s="2" t="s">
        <v>1890</v>
      </c>
      <c r="J311" s="2" t="s">
        <v>34</v>
      </c>
      <c r="K311" s="2" t="s">
        <v>34</v>
      </c>
      <c r="L311" s="2" t="s">
        <v>1891</v>
      </c>
      <c r="M311" s="2" t="s">
        <v>34</v>
      </c>
      <c r="N311" s="2" t="s">
        <v>34</v>
      </c>
      <c r="O311" s="2" t="s">
        <v>1892</v>
      </c>
      <c r="P311" s="2" t="s">
        <v>36</v>
      </c>
    </row>
    <row r="312" spans="1:16" x14ac:dyDescent="0.2">
      <c r="A312" s="2" t="s">
        <v>1893</v>
      </c>
      <c r="B312" s="2">
        <v>19</v>
      </c>
      <c r="C312" s="2">
        <v>5</v>
      </c>
      <c r="D312" s="2" t="s">
        <v>29</v>
      </c>
      <c r="E312" s="2">
        <v>846</v>
      </c>
      <c r="F312" s="2" t="s">
        <v>38</v>
      </c>
      <c r="G312" s="2" t="s">
        <v>1894</v>
      </c>
      <c r="H312" s="2" t="s">
        <v>1895</v>
      </c>
      <c r="I312" s="2" t="s">
        <v>1896</v>
      </c>
      <c r="J312" s="2" t="s">
        <v>1603</v>
      </c>
      <c r="K312" s="3">
        <v>46185</v>
      </c>
      <c r="L312" s="2" t="s">
        <v>1897</v>
      </c>
      <c r="M312" s="2" t="s">
        <v>34</v>
      </c>
      <c r="N312" s="2" t="s">
        <v>34</v>
      </c>
      <c r="O312" s="2" t="s">
        <v>34</v>
      </c>
      <c r="P312" s="2" t="s">
        <v>36</v>
      </c>
    </row>
    <row r="313" spans="1:16" x14ac:dyDescent="0.2">
      <c r="A313" s="2" t="s">
        <v>1898</v>
      </c>
      <c r="B313" s="2">
        <v>19</v>
      </c>
      <c r="C313" s="2">
        <v>6</v>
      </c>
      <c r="D313" s="2" t="s">
        <v>29</v>
      </c>
      <c r="E313" s="2">
        <v>947</v>
      </c>
      <c r="F313" s="2" t="s">
        <v>30</v>
      </c>
      <c r="G313" s="2" t="s">
        <v>1899</v>
      </c>
      <c r="H313" s="2" t="s">
        <v>1900</v>
      </c>
      <c r="I313" s="2" t="s">
        <v>1901</v>
      </c>
      <c r="J313" s="2" t="s">
        <v>34</v>
      </c>
      <c r="K313" s="2" t="s">
        <v>34</v>
      </c>
      <c r="L313" s="2" t="s">
        <v>1902</v>
      </c>
      <c r="M313" s="2" t="s">
        <v>34</v>
      </c>
      <c r="N313" s="2" t="s">
        <v>1903</v>
      </c>
      <c r="O313" s="2" t="s">
        <v>34</v>
      </c>
      <c r="P313" s="2" t="s">
        <v>36</v>
      </c>
    </row>
    <row r="314" spans="1:16" x14ac:dyDescent="0.2">
      <c r="A314" s="2" t="s">
        <v>1904</v>
      </c>
      <c r="B314" s="2">
        <v>19</v>
      </c>
      <c r="C314" s="2">
        <v>7</v>
      </c>
      <c r="D314" s="2" t="s">
        <v>71</v>
      </c>
      <c r="E314" s="2">
        <v>1458</v>
      </c>
      <c r="F314" s="2" t="s">
        <v>30</v>
      </c>
      <c r="G314" s="2" t="s">
        <v>1122</v>
      </c>
      <c r="H314" s="2" t="s">
        <v>1905</v>
      </c>
      <c r="I314" s="2" t="s">
        <v>1906</v>
      </c>
      <c r="J314" s="2" t="s">
        <v>34</v>
      </c>
      <c r="K314" s="2" t="s">
        <v>34</v>
      </c>
      <c r="L314" s="2" t="s">
        <v>1907</v>
      </c>
      <c r="M314" s="2" t="s">
        <v>34</v>
      </c>
      <c r="N314" s="2" t="s">
        <v>34</v>
      </c>
      <c r="O314" s="2" t="s">
        <v>34</v>
      </c>
      <c r="P314" s="2" t="s">
        <v>36</v>
      </c>
    </row>
    <row r="315" spans="1:16" x14ac:dyDescent="0.2">
      <c r="A315" s="2" t="s">
        <v>1908</v>
      </c>
      <c r="B315" s="2">
        <v>19</v>
      </c>
      <c r="C315" s="2">
        <v>8</v>
      </c>
      <c r="D315" s="2" t="s">
        <v>71</v>
      </c>
      <c r="E315" s="2">
        <v>1377</v>
      </c>
      <c r="F315" s="2" t="s">
        <v>38</v>
      </c>
      <c r="G315" s="2" t="s">
        <v>1909</v>
      </c>
      <c r="H315" s="2" t="s">
        <v>1910</v>
      </c>
      <c r="I315" s="2" t="s">
        <v>1911</v>
      </c>
      <c r="J315" s="2" t="s">
        <v>1912</v>
      </c>
      <c r="K315" s="3">
        <v>46488</v>
      </c>
      <c r="L315" s="2" t="s">
        <v>1913</v>
      </c>
      <c r="M315" s="2" t="s">
        <v>1914</v>
      </c>
      <c r="N315" s="2" t="s">
        <v>34</v>
      </c>
      <c r="O315" s="2" t="s">
        <v>34</v>
      </c>
      <c r="P315" s="2" t="s">
        <v>36</v>
      </c>
    </row>
    <row r="316" spans="1:16" x14ac:dyDescent="0.2">
      <c r="A316" s="2" t="s">
        <v>1915</v>
      </c>
      <c r="B316" s="2">
        <v>19</v>
      </c>
      <c r="C316" s="2">
        <v>9</v>
      </c>
      <c r="D316" s="2" t="s">
        <v>71</v>
      </c>
      <c r="E316" s="2">
        <v>1345</v>
      </c>
      <c r="F316" s="2" t="s">
        <v>38</v>
      </c>
      <c r="G316" s="2" t="s">
        <v>1097</v>
      </c>
      <c r="H316" s="2" t="s">
        <v>1916</v>
      </c>
      <c r="I316" s="2" t="s">
        <v>1917</v>
      </c>
      <c r="J316" s="2" t="s">
        <v>1918</v>
      </c>
      <c r="K316" s="3">
        <v>46163</v>
      </c>
      <c r="L316" s="2" t="s">
        <v>1919</v>
      </c>
      <c r="M316" s="2" t="s">
        <v>1920</v>
      </c>
      <c r="N316" s="2" t="s">
        <v>34</v>
      </c>
      <c r="O316" s="2" t="s">
        <v>1921</v>
      </c>
      <c r="P316" s="2" t="s">
        <v>36</v>
      </c>
    </row>
    <row r="317" spans="1:16" x14ac:dyDescent="0.2">
      <c r="A317" s="2" t="s">
        <v>1922</v>
      </c>
      <c r="B317" s="2">
        <v>19</v>
      </c>
      <c r="C317" s="2">
        <v>10</v>
      </c>
      <c r="D317" s="2" t="s">
        <v>71</v>
      </c>
      <c r="E317" s="2">
        <v>1237</v>
      </c>
      <c r="F317" s="2" t="s">
        <v>30</v>
      </c>
      <c r="G317" s="2" t="s">
        <v>1923</v>
      </c>
      <c r="H317" s="2" t="s">
        <v>1924</v>
      </c>
      <c r="I317" s="2" t="s">
        <v>1925</v>
      </c>
      <c r="J317" s="2" t="s">
        <v>34</v>
      </c>
      <c r="K317" s="2" t="s">
        <v>34</v>
      </c>
      <c r="L317" s="2" t="s">
        <v>1926</v>
      </c>
      <c r="M317" s="2" t="s">
        <v>34</v>
      </c>
      <c r="N317" s="2" t="s">
        <v>34</v>
      </c>
      <c r="O317" s="2" t="s">
        <v>34</v>
      </c>
      <c r="P317" s="2" t="s">
        <v>36</v>
      </c>
    </row>
    <row r="318" spans="1:16" x14ac:dyDescent="0.2">
      <c r="A318" s="2" t="s">
        <v>1927</v>
      </c>
      <c r="B318" s="2">
        <v>19</v>
      </c>
      <c r="C318" s="2">
        <v>11</v>
      </c>
      <c r="D318" s="2" t="s">
        <v>71</v>
      </c>
      <c r="E318" s="2">
        <v>1477</v>
      </c>
      <c r="F318" s="2" t="s">
        <v>30</v>
      </c>
      <c r="G318" s="2" t="s">
        <v>1928</v>
      </c>
      <c r="H318" s="2" t="s">
        <v>1929</v>
      </c>
      <c r="I318" s="2" t="s">
        <v>1930</v>
      </c>
      <c r="J318" s="2" t="s">
        <v>34</v>
      </c>
      <c r="K318" s="2" t="s">
        <v>34</v>
      </c>
      <c r="L318" s="2" t="s">
        <v>1931</v>
      </c>
      <c r="M318" s="2" t="s">
        <v>1932</v>
      </c>
      <c r="N318" s="2" t="s">
        <v>34</v>
      </c>
      <c r="O318" s="2" t="s">
        <v>34</v>
      </c>
      <c r="P318" s="2" t="s">
        <v>36</v>
      </c>
    </row>
    <row r="319" spans="1:16" x14ac:dyDescent="0.2">
      <c r="A319" s="2" t="s">
        <v>1933</v>
      </c>
      <c r="B319" s="2">
        <v>19</v>
      </c>
      <c r="C319" s="2">
        <v>12</v>
      </c>
      <c r="D319" s="2" t="s">
        <v>71</v>
      </c>
      <c r="E319" s="2">
        <v>1210</v>
      </c>
      <c r="F319" s="2" t="s">
        <v>30</v>
      </c>
      <c r="G319" s="2" t="s">
        <v>1934</v>
      </c>
      <c r="H319" s="2" t="s">
        <v>1935</v>
      </c>
      <c r="I319" s="2" t="s">
        <v>1936</v>
      </c>
      <c r="J319" s="2" t="s">
        <v>34</v>
      </c>
      <c r="K319" s="2" t="s">
        <v>34</v>
      </c>
      <c r="L319" s="2" t="s">
        <v>1937</v>
      </c>
      <c r="M319" s="2" t="s">
        <v>34</v>
      </c>
      <c r="N319" s="2" t="s">
        <v>34</v>
      </c>
      <c r="O319" s="2" t="s">
        <v>1938</v>
      </c>
      <c r="P319" s="2" t="s">
        <v>78</v>
      </c>
    </row>
    <row r="320" spans="1:16" x14ac:dyDescent="0.2">
      <c r="A320" s="2" t="s">
        <v>1939</v>
      </c>
      <c r="B320" s="2">
        <v>19</v>
      </c>
      <c r="C320" s="2">
        <v>13</v>
      </c>
      <c r="D320" s="2" t="s">
        <v>113</v>
      </c>
      <c r="E320" s="2">
        <v>1847</v>
      </c>
      <c r="F320" s="2" t="s">
        <v>38</v>
      </c>
      <c r="G320" s="2" t="s">
        <v>1940</v>
      </c>
      <c r="H320" s="2" t="s">
        <v>1941</v>
      </c>
      <c r="I320" s="2" t="s">
        <v>1942</v>
      </c>
      <c r="J320" s="2" t="s">
        <v>1943</v>
      </c>
      <c r="K320" s="3">
        <v>46140</v>
      </c>
      <c r="L320" s="2" t="s">
        <v>1944</v>
      </c>
      <c r="M320" s="2" t="s">
        <v>34</v>
      </c>
      <c r="N320" s="2" t="s">
        <v>34</v>
      </c>
      <c r="O320" s="2" t="s">
        <v>34</v>
      </c>
      <c r="P320" s="2" t="s">
        <v>36</v>
      </c>
    </row>
    <row r="321" spans="1:16" x14ac:dyDescent="0.2">
      <c r="A321" s="2" t="s">
        <v>1945</v>
      </c>
      <c r="B321" s="2">
        <v>19</v>
      </c>
      <c r="C321" s="2">
        <v>14</v>
      </c>
      <c r="D321" s="2" t="s">
        <v>113</v>
      </c>
      <c r="E321" s="2">
        <v>2006</v>
      </c>
      <c r="F321" s="2" t="s">
        <v>38</v>
      </c>
      <c r="G321" s="2" t="s">
        <v>1685</v>
      </c>
      <c r="H321" s="2" t="s">
        <v>1946</v>
      </c>
      <c r="I321" s="2" t="s">
        <v>1947</v>
      </c>
      <c r="J321" s="2" t="s">
        <v>1948</v>
      </c>
      <c r="K321" s="3">
        <v>46370</v>
      </c>
      <c r="L321" s="2" t="s">
        <v>1949</v>
      </c>
      <c r="M321" s="2" t="s">
        <v>1950</v>
      </c>
      <c r="N321" s="2" t="s">
        <v>34</v>
      </c>
      <c r="O321" s="2" t="s">
        <v>1951</v>
      </c>
      <c r="P321" s="2" t="s">
        <v>36</v>
      </c>
    </row>
    <row r="322" spans="1:16" x14ac:dyDescent="0.2">
      <c r="A322" s="2" t="s">
        <v>1952</v>
      </c>
      <c r="B322" s="2">
        <v>19</v>
      </c>
      <c r="C322" s="2">
        <v>15</v>
      </c>
      <c r="D322" s="2" t="s">
        <v>113</v>
      </c>
      <c r="E322" s="2">
        <v>1650</v>
      </c>
      <c r="F322" s="2" t="s">
        <v>30</v>
      </c>
      <c r="G322" s="2" t="s">
        <v>1953</v>
      </c>
      <c r="H322" s="2" t="s">
        <v>1954</v>
      </c>
      <c r="I322" s="2" t="s">
        <v>1955</v>
      </c>
      <c r="J322" s="2" t="s">
        <v>34</v>
      </c>
      <c r="K322" s="2" t="s">
        <v>34</v>
      </c>
      <c r="L322" s="2" t="s">
        <v>1956</v>
      </c>
      <c r="M322" s="2" t="s">
        <v>34</v>
      </c>
      <c r="N322" s="2" t="s">
        <v>34</v>
      </c>
      <c r="O322" s="2" t="s">
        <v>34</v>
      </c>
      <c r="P322" s="2" t="s">
        <v>36</v>
      </c>
    </row>
    <row r="323" spans="1:16" x14ac:dyDescent="0.2">
      <c r="A323" s="2" t="s">
        <v>1957</v>
      </c>
      <c r="B323" s="2">
        <v>19</v>
      </c>
      <c r="C323" s="2">
        <v>16</v>
      </c>
      <c r="D323" s="2" t="s">
        <v>113</v>
      </c>
      <c r="E323" s="2">
        <v>2046</v>
      </c>
      <c r="F323" s="2" t="s">
        <v>30</v>
      </c>
      <c r="G323" s="2" t="s">
        <v>1820</v>
      </c>
      <c r="H323" s="2" t="s">
        <v>1958</v>
      </c>
      <c r="I323" s="2" t="s">
        <v>1959</v>
      </c>
      <c r="J323" s="2" t="s">
        <v>34</v>
      </c>
      <c r="K323" s="2" t="s">
        <v>34</v>
      </c>
      <c r="L323" s="2" t="s">
        <v>1960</v>
      </c>
      <c r="M323" s="2" t="s">
        <v>1961</v>
      </c>
      <c r="N323" s="2" t="s">
        <v>34</v>
      </c>
      <c r="O323" s="2" t="s">
        <v>34</v>
      </c>
      <c r="P323" s="2" t="s">
        <v>36</v>
      </c>
    </row>
    <row r="324" spans="1:16" x14ac:dyDescent="0.2">
      <c r="A324" s="2" t="s">
        <v>1962</v>
      </c>
      <c r="B324" s="2">
        <v>19</v>
      </c>
      <c r="C324" s="2">
        <v>17</v>
      </c>
      <c r="D324" s="2" t="s">
        <v>144</v>
      </c>
      <c r="E324" s="2">
        <v>4149</v>
      </c>
      <c r="F324" s="2" t="s">
        <v>30</v>
      </c>
      <c r="G324" s="2" t="s">
        <v>1963</v>
      </c>
      <c r="H324" s="2" t="s">
        <v>1964</v>
      </c>
      <c r="I324" s="2" t="s">
        <v>1965</v>
      </c>
      <c r="J324" s="2" t="s">
        <v>34</v>
      </c>
      <c r="K324" s="2" t="s">
        <v>34</v>
      </c>
      <c r="L324" s="2" t="s">
        <v>1966</v>
      </c>
      <c r="M324" s="2" t="s">
        <v>1967</v>
      </c>
      <c r="N324" s="2" t="s">
        <v>34</v>
      </c>
      <c r="O324" s="2" t="s">
        <v>1968</v>
      </c>
      <c r="P324" s="2" t="s">
        <v>36</v>
      </c>
    </row>
    <row r="325" spans="1:16" x14ac:dyDescent="0.2">
      <c r="A325" s="2" t="s">
        <v>1969</v>
      </c>
      <c r="B325" s="2">
        <v>20</v>
      </c>
      <c r="C325" s="2">
        <v>1</v>
      </c>
      <c r="D325" s="2" t="s">
        <v>29</v>
      </c>
      <c r="E325" s="2">
        <v>919</v>
      </c>
      <c r="F325" s="2" t="s">
        <v>30</v>
      </c>
      <c r="G325" s="2" t="s">
        <v>1970</v>
      </c>
      <c r="H325" s="2" t="s">
        <v>1971</v>
      </c>
      <c r="I325" s="2" t="s">
        <v>1972</v>
      </c>
      <c r="J325" s="2" t="s">
        <v>34</v>
      </c>
      <c r="K325" s="2" t="s">
        <v>34</v>
      </c>
      <c r="L325" s="2" t="s">
        <v>1973</v>
      </c>
      <c r="M325" s="2" t="s">
        <v>34</v>
      </c>
      <c r="N325" s="2" t="s">
        <v>34</v>
      </c>
      <c r="O325" s="2" t="s">
        <v>1974</v>
      </c>
      <c r="P325" s="2" t="s">
        <v>36</v>
      </c>
    </row>
    <row r="326" spans="1:16" x14ac:dyDescent="0.2">
      <c r="A326" s="2" t="s">
        <v>1975</v>
      </c>
      <c r="B326" s="2">
        <v>20</v>
      </c>
      <c r="C326" s="2">
        <v>2</v>
      </c>
      <c r="D326" s="2" t="s">
        <v>29</v>
      </c>
      <c r="E326" s="2">
        <v>823</v>
      </c>
      <c r="F326" s="2" t="s">
        <v>30</v>
      </c>
      <c r="G326" s="2" t="s">
        <v>345</v>
      </c>
      <c r="H326" s="2" t="s">
        <v>1976</v>
      </c>
      <c r="I326" s="2" t="s">
        <v>1977</v>
      </c>
      <c r="J326" s="2" t="s">
        <v>34</v>
      </c>
      <c r="K326" s="2" t="s">
        <v>34</v>
      </c>
      <c r="L326" s="2" t="s">
        <v>1978</v>
      </c>
      <c r="M326" s="2" t="s">
        <v>34</v>
      </c>
      <c r="N326" s="2" t="s">
        <v>34</v>
      </c>
      <c r="O326" s="2" t="s">
        <v>1979</v>
      </c>
      <c r="P326" s="2" t="s">
        <v>78</v>
      </c>
    </row>
    <row r="327" spans="1:16" x14ac:dyDescent="0.2">
      <c r="A327" s="2" t="s">
        <v>1980</v>
      </c>
      <c r="B327" s="2">
        <v>20</v>
      </c>
      <c r="C327" s="2">
        <v>3</v>
      </c>
      <c r="D327" s="2" t="s">
        <v>29</v>
      </c>
      <c r="E327" s="2">
        <v>914</v>
      </c>
      <c r="F327" s="2" t="s">
        <v>30</v>
      </c>
      <c r="G327" s="2" t="s">
        <v>1981</v>
      </c>
      <c r="H327" s="2" t="s">
        <v>1982</v>
      </c>
      <c r="I327" s="2" t="s">
        <v>1983</v>
      </c>
      <c r="J327" s="2" t="s">
        <v>34</v>
      </c>
      <c r="K327" s="2" t="s">
        <v>34</v>
      </c>
      <c r="L327" s="2" t="s">
        <v>1984</v>
      </c>
      <c r="M327" s="2" t="s">
        <v>34</v>
      </c>
      <c r="N327" s="2" t="s">
        <v>34</v>
      </c>
      <c r="O327" s="2" t="s">
        <v>1985</v>
      </c>
      <c r="P327" s="2" t="s">
        <v>78</v>
      </c>
    </row>
    <row r="328" spans="1:16" x14ac:dyDescent="0.2">
      <c r="A328" s="2" t="s">
        <v>1986</v>
      </c>
      <c r="B328" s="2">
        <v>20</v>
      </c>
      <c r="C328" s="2">
        <v>4</v>
      </c>
      <c r="D328" s="2" t="s">
        <v>29</v>
      </c>
      <c r="E328" s="2">
        <v>844</v>
      </c>
      <c r="F328" s="2" t="s">
        <v>30</v>
      </c>
      <c r="G328" s="2" t="s">
        <v>1987</v>
      </c>
      <c r="H328" s="2" t="s">
        <v>1988</v>
      </c>
      <c r="I328" s="2" t="s">
        <v>1989</v>
      </c>
      <c r="J328" s="2" t="s">
        <v>34</v>
      </c>
      <c r="K328" s="2" t="s">
        <v>34</v>
      </c>
      <c r="L328" s="2" t="s">
        <v>1990</v>
      </c>
      <c r="M328" s="2" t="s">
        <v>34</v>
      </c>
      <c r="N328" s="2" t="s">
        <v>34</v>
      </c>
      <c r="O328" s="2" t="s">
        <v>34</v>
      </c>
      <c r="P328" s="2" t="s">
        <v>78</v>
      </c>
    </row>
    <row r="329" spans="1:16" x14ac:dyDescent="0.2">
      <c r="A329" s="2" t="s">
        <v>1991</v>
      </c>
      <c r="B329" s="2">
        <v>20</v>
      </c>
      <c r="C329" s="2">
        <v>5</v>
      </c>
      <c r="D329" s="2" t="s">
        <v>29</v>
      </c>
      <c r="E329" s="2">
        <v>962</v>
      </c>
      <c r="F329" s="2" t="s">
        <v>38</v>
      </c>
      <c r="G329" s="2" t="s">
        <v>1992</v>
      </c>
      <c r="H329" s="2" t="s">
        <v>1993</v>
      </c>
      <c r="I329" s="2" t="s">
        <v>1994</v>
      </c>
      <c r="J329" s="2" t="s">
        <v>1995</v>
      </c>
      <c r="K329" s="3">
        <v>46468</v>
      </c>
      <c r="L329" s="2" t="s">
        <v>1996</v>
      </c>
      <c r="M329" s="2" t="s">
        <v>34</v>
      </c>
      <c r="N329" s="2" t="s">
        <v>34</v>
      </c>
      <c r="O329" s="2" t="s">
        <v>34</v>
      </c>
      <c r="P329" s="2" t="s">
        <v>36</v>
      </c>
    </row>
    <row r="330" spans="1:16" x14ac:dyDescent="0.2">
      <c r="A330" s="2" t="s">
        <v>1997</v>
      </c>
      <c r="B330" s="2">
        <v>20</v>
      </c>
      <c r="C330" s="2">
        <v>6</v>
      </c>
      <c r="D330" s="2" t="s">
        <v>29</v>
      </c>
      <c r="E330" s="2">
        <v>922</v>
      </c>
      <c r="F330" s="2" t="s">
        <v>30</v>
      </c>
      <c r="G330" s="2" t="s">
        <v>1998</v>
      </c>
      <c r="H330" s="2" t="s">
        <v>1999</v>
      </c>
      <c r="I330" s="2" t="s">
        <v>2000</v>
      </c>
      <c r="J330" s="2" t="s">
        <v>34</v>
      </c>
      <c r="K330" s="2" t="s">
        <v>34</v>
      </c>
      <c r="L330" s="2" t="s">
        <v>2001</v>
      </c>
      <c r="M330" s="2" t="s">
        <v>34</v>
      </c>
      <c r="N330" s="2" t="s">
        <v>34</v>
      </c>
      <c r="O330" s="2" t="s">
        <v>34</v>
      </c>
      <c r="P330" s="2" t="s">
        <v>36</v>
      </c>
    </row>
    <row r="331" spans="1:16" x14ac:dyDescent="0.2">
      <c r="A331" s="2" t="s">
        <v>2002</v>
      </c>
      <c r="B331" s="2">
        <v>20</v>
      </c>
      <c r="C331" s="2">
        <v>7</v>
      </c>
      <c r="D331" s="2" t="s">
        <v>71</v>
      </c>
      <c r="E331" s="2">
        <v>1370</v>
      </c>
      <c r="F331" s="2" t="s">
        <v>30</v>
      </c>
      <c r="G331" s="2" t="s">
        <v>1808</v>
      </c>
      <c r="H331" s="2" t="s">
        <v>2003</v>
      </c>
      <c r="I331" s="2" t="s">
        <v>2004</v>
      </c>
      <c r="J331" s="2" t="s">
        <v>34</v>
      </c>
      <c r="K331" s="2" t="s">
        <v>34</v>
      </c>
      <c r="L331" s="2" t="s">
        <v>2005</v>
      </c>
      <c r="M331" s="2" t="s">
        <v>34</v>
      </c>
      <c r="N331" s="2" t="s">
        <v>34</v>
      </c>
      <c r="O331" s="2" t="s">
        <v>34</v>
      </c>
      <c r="P331" s="2" t="s">
        <v>36</v>
      </c>
    </row>
    <row r="332" spans="1:16" x14ac:dyDescent="0.2">
      <c r="A332" s="2" t="s">
        <v>2006</v>
      </c>
      <c r="B332" s="2">
        <v>20</v>
      </c>
      <c r="C332" s="2">
        <v>8</v>
      </c>
      <c r="D332" s="2" t="s">
        <v>71</v>
      </c>
      <c r="E332" s="2">
        <v>1364</v>
      </c>
      <c r="F332" s="2" t="s">
        <v>38</v>
      </c>
      <c r="G332" s="2" t="s">
        <v>2007</v>
      </c>
      <c r="H332" s="2" t="s">
        <v>2008</v>
      </c>
      <c r="I332" s="2" t="s">
        <v>2009</v>
      </c>
      <c r="J332" s="2" t="s">
        <v>1085</v>
      </c>
      <c r="K332" s="3">
        <v>46395</v>
      </c>
      <c r="L332" s="2" t="s">
        <v>2010</v>
      </c>
      <c r="M332" s="2" t="s">
        <v>2011</v>
      </c>
      <c r="N332" s="2" t="s">
        <v>34</v>
      </c>
      <c r="O332" s="2" t="s">
        <v>34</v>
      </c>
      <c r="P332" s="2" t="s">
        <v>36</v>
      </c>
    </row>
    <row r="333" spans="1:16" x14ac:dyDescent="0.2">
      <c r="A333" s="2" t="s">
        <v>2012</v>
      </c>
      <c r="B333" s="2">
        <v>20</v>
      </c>
      <c r="C333" s="2">
        <v>9</v>
      </c>
      <c r="D333" s="2" t="s">
        <v>71</v>
      </c>
      <c r="E333" s="2">
        <v>1289</v>
      </c>
      <c r="F333" s="2" t="s">
        <v>38</v>
      </c>
      <c r="G333" s="2" t="s">
        <v>2013</v>
      </c>
      <c r="H333" s="2" t="s">
        <v>2014</v>
      </c>
      <c r="I333" s="2" t="s">
        <v>2015</v>
      </c>
      <c r="J333" s="2" t="s">
        <v>2016</v>
      </c>
      <c r="K333" s="3">
        <v>46381</v>
      </c>
      <c r="L333" s="2" t="s">
        <v>2017</v>
      </c>
      <c r="M333" s="2" t="s">
        <v>2018</v>
      </c>
      <c r="N333" s="2" t="s">
        <v>34</v>
      </c>
      <c r="O333" s="2" t="s">
        <v>34</v>
      </c>
      <c r="P333" s="2" t="s">
        <v>36</v>
      </c>
    </row>
    <row r="334" spans="1:16" x14ac:dyDescent="0.2">
      <c r="A334" s="2" t="s">
        <v>2019</v>
      </c>
      <c r="B334" s="2">
        <v>20</v>
      </c>
      <c r="C334" s="2">
        <v>10</v>
      </c>
      <c r="D334" s="2" t="s">
        <v>71</v>
      </c>
      <c r="E334" s="2">
        <v>1259</v>
      </c>
      <c r="F334" s="2" t="s">
        <v>30</v>
      </c>
      <c r="G334" s="2" t="s">
        <v>80</v>
      </c>
      <c r="H334" s="2" t="s">
        <v>2020</v>
      </c>
      <c r="I334" s="2" t="s">
        <v>2021</v>
      </c>
      <c r="J334" s="2" t="s">
        <v>34</v>
      </c>
      <c r="K334" s="2" t="s">
        <v>34</v>
      </c>
      <c r="L334" s="2" t="s">
        <v>2022</v>
      </c>
      <c r="M334" s="2" t="s">
        <v>2023</v>
      </c>
      <c r="N334" s="2" t="s">
        <v>2024</v>
      </c>
      <c r="O334" s="2" t="s">
        <v>34</v>
      </c>
      <c r="P334" s="2" t="s">
        <v>36</v>
      </c>
    </row>
    <row r="335" spans="1:16" x14ac:dyDescent="0.2">
      <c r="A335" s="2" t="s">
        <v>2025</v>
      </c>
      <c r="B335" s="2">
        <v>20</v>
      </c>
      <c r="C335" s="2">
        <v>11</v>
      </c>
      <c r="D335" s="2" t="s">
        <v>71</v>
      </c>
      <c r="E335" s="2">
        <v>1219</v>
      </c>
      <c r="F335" s="2" t="s">
        <v>30</v>
      </c>
      <c r="G335" s="2" t="s">
        <v>2026</v>
      </c>
      <c r="H335" s="2" t="s">
        <v>2027</v>
      </c>
      <c r="I335" s="2" t="s">
        <v>2028</v>
      </c>
      <c r="J335" s="2" t="s">
        <v>34</v>
      </c>
      <c r="K335" s="2" t="s">
        <v>34</v>
      </c>
      <c r="L335" s="2" t="s">
        <v>2029</v>
      </c>
      <c r="M335" s="2" t="s">
        <v>34</v>
      </c>
      <c r="N335" s="2" t="s">
        <v>34</v>
      </c>
      <c r="O335" s="2" t="s">
        <v>34</v>
      </c>
      <c r="P335" s="2" t="s">
        <v>36</v>
      </c>
    </row>
    <row r="336" spans="1:16" x14ac:dyDescent="0.2">
      <c r="A336" s="2" t="s">
        <v>2030</v>
      </c>
      <c r="B336" s="2">
        <v>20</v>
      </c>
      <c r="C336" s="2">
        <v>12</v>
      </c>
      <c r="D336" s="2" t="s">
        <v>71</v>
      </c>
      <c r="E336" s="2">
        <v>1199</v>
      </c>
      <c r="F336" s="2" t="s">
        <v>38</v>
      </c>
      <c r="G336" s="2" t="s">
        <v>2031</v>
      </c>
      <c r="H336" s="2" t="s">
        <v>2032</v>
      </c>
      <c r="I336" s="2" t="s">
        <v>2033</v>
      </c>
      <c r="J336" s="2" t="s">
        <v>2034</v>
      </c>
      <c r="K336" s="3">
        <v>46318</v>
      </c>
      <c r="L336" s="2" t="s">
        <v>2035</v>
      </c>
      <c r="M336" s="2" t="s">
        <v>34</v>
      </c>
      <c r="N336" s="2" t="s">
        <v>34</v>
      </c>
      <c r="O336" s="2" t="s">
        <v>2036</v>
      </c>
      <c r="P336" s="2" t="s">
        <v>36</v>
      </c>
    </row>
    <row r="337" spans="1:16" x14ac:dyDescent="0.2">
      <c r="A337" s="2" t="s">
        <v>2037</v>
      </c>
      <c r="B337" s="2">
        <v>20</v>
      </c>
      <c r="C337" s="2">
        <v>13</v>
      </c>
      <c r="D337" s="2" t="s">
        <v>113</v>
      </c>
      <c r="E337" s="2">
        <v>2041</v>
      </c>
      <c r="F337" s="2" t="s">
        <v>30</v>
      </c>
      <c r="G337" s="2" t="s">
        <v>2038</v>
      </c>
      <c r="H337" s="2" t="s">
        <v>2039</v>
      </c>
      <c r="I337" s="2" t="s">
        <v>2040</v>
      </c>
      <c r="J337" s="2" t="s">
        <v>34</v>
      </c>
      <c r="K337" s="2" t="s">
        <v>34</v>
      </c>
      <c r="L337" s="2" t="s">
        <v>2041</v>
      </c>
      <c r="M337" s="2" t="s">
        <v>2042</v>
      </c>
      <c r="N337" s="2" t="s">
        <v>34</v>
      </c>
      <c r="O337" s="2" t="s">
        <v>2043</v>
      </c>
      <c r="P337" s="2" t="s">
        <v>36</v>
      </c>
    </row>
    <row r="338" spans="1:16" x14ac:dyDescent="0.2">
      <c r="A338" s="2" t="s">
        <v>2044</v>
      </c>
      <c r="B338" s="2">
        <v>20</v>
      </c>
      <c r="C338" s="2">
        <v>14</v>
      </c>
      <c r="D338" s="2" t="s">
        <v>113</v>
      </c>
      <c r="E338" s="2">
        <v>2106</v>
      </c>
      <c r="F338" s="2" t="s">
        <v>30</v>
      </c>
      <c r="G338" s="2" t="s">
        <v>1067</v>
      </c>
      <c r="H338" s="2" t="s">
        <v>2045</v>
      </c>
      <c r="I338" s="2" t="s">
        <v>2046</v>
      </c>
      <c r="J338" s="2" t="s">
        <v>34</v>
      </c>
      <c r="K338" s="2" t="s">
        <v>34</v>
      </c>
      <c r="L338" s="2" t="s">
        <v>2047</v>
      </c>
      <c r="M338" s="2" t="s">
        <v>2048</v>
      </c>
      <c r="N338" s="2" t="s">
        <v>34</v>
      </c>
      <c r="O338" s="2" t="s">
        <v>34</v>
      </c>
      <c r="P338" s="2" t="s">
        <v>36</v>
      </c>
    </row>
    <row r="339" spans="1:16" x14ac:dyDescent="0.2">
      <c r="A339" s="2" t="s">
        <v>2049</v>
      </c>
      <c r="B339" s="2">
        <v>20</v>
      </c>
      <c r="C339" s="2">
        <v>15</v>
      </c>
      <c r="D339" s="2" t="s">
        <v>113</v>
      </c>
      <c r="E339" s="2">
        <v>1700</v>
      </c>
      <c r="F339" s="2" t="s">
        <v>30</v>
      </c>
      <c r="G339" s="2" t="s">
        <v>369</v>
      </c>
      <c r="H339" s="2" t="s">
        <v>2050</v>
      </c>
      <c r="I339" s="2" t="s">
        <v>2051</v>
      </c>
      <c r="J339" s="2" t="s">
        <v>34</v>
      </c>
      <c r="K339" s="2" t="s">
        <v>34</v>
      </c>
      <c r="L339" s="2" t="s">
        <v>2052</v>
      </c>
      <c r="M339" s="2" t="s">
        <v>2053</v>
      </c>
      <c r="N339" s="2" t="s">
        <v>34</v>
      </c>
      <c r="O339" s="2" t="s">
        <v>34</v>
      </c>
      <c r="P339" s="2" t="s">
        <v>36</v>
      </c>
    </row>
    <row r="340" spans="1:16" x14ac:dyDescent="0.2">
      <c r="A340" s="2" t="s">
        <v>2054</v>
      </c>
      <c r="B340" s="2">
        <v>20</v>
      </c>
      <c r="C340" s="2">
        <v>16</v>
      </c>
      <c r="D340" s="2" t="s">
        <v>113</v>
      </c>
      <c r="E340" s="2">
        <v>2149</v>
      </c>
      <c r="F340" s="2" t="s">
        <v>30</v>
      </c>
      <c r="G340" s="2" t="s">
        <v>2055</v>
      </c>
      <c r="H340" s="2" t="s">
        <v>2056</v>
      </c>
      <c r="I340" s="2" t="s">
        <v>2057</v>
      </c>
      <c r="J340" s="2" t="s">
        <v>34</v>
      </c>
      <c r="K340" s="2" t="s">
        <v>34</v>
      </c>
      <c r="L340" s="2" t="s">
        <v>2058</v>
      </c>
      <c r="M340" s="2" t="s">
        <v>34</v>
      </c>
      <c r="N340" s="2" t="s">
        <v>34</v>
      </c>
      <c r="O340" s="2" t="s">
        <v>34</v>
      </c>
      <c r="P340" s="2" t="s">
        <v>36</v>
      </c>
    </row>
    <row r="341" spans="1:16" x14ac:dyDescent="0.2">
      <c r="A341" s="2" t="s">
        <v>2059</v>
      </c>
      <c r="B341" s="2">
        <v>20</v>
      </c>
      <c r="C341" s="2">
        <v>17</v>
      </c>
      <c r="D341" s="2" t="s">
        <v>144</v>
      </c>
      <c r="E341" s="2">
        <v>3030</v>
      </c>
      <c r="F341" s="2" t="s">
        <v>30</v>
      </c>
      <c r="G341" s="2" t="s">
        <v>2060</v>
      </c>
      <c r="H341" s="2" t="s">
        <v>2061</v>
      </c>
      <c r="I341" s="2" t="s">
        <v>2062</v>
      </c>
      <c r="J341" s="2" t="s">
        <v>34</v>
      </c>
      <c r="K341" s="2" t="s">
        <v>34</v>
      </c>
      <c r="L341" s="2" t="s">
        <v>2063</v>
      </c>
      <c r="M341" s="2" t="s">
        <v>2064</v>
      </c>
      <c r="N341" s="2" t="s">
        <v>2065</v>
      </c>
      <c r="O341" s="2" t="s">
        <v>34</v>
      </c>
      <c r="P341" s="2" t="s">
        <v>36</v>
      </c>
    </row>
    <row r="342" spans="1:16" x14ac:dyDescent="0.2">
      <c r="A342" s="2" t="s">
        <v>2066</v>
      </c>
      <c r="B342" s="2">
        <v>21</v>
      </c>
      <c r="C342" s="2">
        <v>1</v>
      </c>
      <c r="D342" s="2" t="s">
        <v>29</v>
      </c>
      <c r="E342" s="2">
        <v>909</v>
      </c>
      <c r="F342" s="2" t="s">
        <v>30</v>
      </c>
      <c r="G342" s="2" t="s">
        <v>2067</v>
      </c>
      <c r="H342" s="2" t="s">
        <v>2068</v>
      </c>
      <c r="I342" s="2" t="s">
        <v>2069</v>
      </c>
      <c r="J342" s="2" t="s">
        <v>34</v>
      </c>
      <c r="K342" s="2" t="s">
        <v>34</v>
      </c>
      <c r="L342" s="2" t="s">
        <v>2070</v>
      </c>
      <c r="M342" s="2" t="s">
        <v>34</v>
      </c>
      <c r="N342" s="2" t="s">
        <v>34</v>
      </c>
      <c r="O342" s="2" t="s">
        <v>34</v>
      </c>
      <c r="P342" s="2" t="s">
        <v>36</v>
      </c>
    </row>
    <row r="343" spans="1:16" x14ac:dyDescent="0.2">
      <c r="A343" s="2" t="s">
        <v>2071</v>
      </c>
      <c r="B343" s="2">
        <v>21</v>
      </c>
      <c r="C343" s="2">
        <v>2</v>
      </c>
      <c r="D343" s="2" t="s">
        <v>29</v>
      </c>
      <c r="E343" s="2">
        <v>841</v>
      </c>
      <c r="F343" s="2" t="s">
        <v>38</v>
      </c>
      <c r="G343" s="2" t="s">
        <v>2072</v>
      </c>
      <c r="H343" s="2" t="s">
        <v>2073</v>
      </c>
      <c r="I343" s="2" t="s">
        <v>2074</v>
      </c>
      <c r="J343" s="2" t="s">
        <v>2075</v>
      </c>
      <c r="K343" s="3">
        <v>46245</v>
      </c>
      <c r="L343" s="2" t="s">
        <v>2076</v>
      </c>
      <c r="M343" s="2" t="s">
        <v>34</v>
      </c>
      <c r="N343" s="2" t="s">
        <v>34</v>
      </c>
      <c r="O343" s="2" t="s">
        <v>2077</v>
      </c>
      <c r="P343" s="2" t="s">
        <v>36</v>
      </c>
    </row>
    <row r="344" spans="1:16" x14ac:dyDescent="0.2">
      <c r="A344" s="2" t="s">
        <v>2078</v>
      </c>
      <c r="B344" s="2">
        <v>21</v>
      </c>
      <c r="C344" s="2">
        <v>3</v>
      </c>
      <c r="D344" s="2" t="s">
        <v>29</v>
      </c>
      <c r="E344" s="2">
        <v>940</v>
      </c>
      <c r="F344" s="2" t="s">
        <v>38</v>
      </c>
      <c r="G344" s="2" t="s">
        <v>2079</v>
      </c>
      <c r="H344" s="2" t="s">
        <v>2080</v>
      </c>
      <c r="I344" s="2" t="s">
        <v>2081</v>
      </c>
      <c r="J344" s="2" t="s">
        <v>1918</v>
      </c>
      <c r="K344" s="3">
        <v>46493</v>
      </c>
      <c r="L344" s="2" t="s">
        <v>2082</v>
      </c>
      <c r="M344" s="2" t="s">
        <v>34</v>
      </c>
      <c r="N344" s="2" t="s">
        <v>34</v>
      </c>
      <c r="O344" s="2" t="s">
        <v>34</v>
      </c>
      <c r="P344" s="2" t="s">
        <v>78</v>
      </c>
    </row>
    <row r="345" spans="1:16" x14ac:dyDescent="0.2">
      <c r="A345" s="2" t="s">
        <v>2083</v>
      </c>
      <c r="B345" s="2">
        <v>21</v>
      </c>
      <c r="C345" s="2">
        <v>4</v>
      </c>
      <c r="D345" s="2" t="s">
        <v>29</v>
      </c>
      <c r="E345" s="2">
        <v>824</v>
      </c>
      <c r="F345" s="2" t="s">
        <v>30</v>
      </c>
      <c r="G345" s="2" t="s">
        <v>1085</v>
      </c>
      <c r="H345" s="2" t="s">
        <v>2084</v>
      </c>
      <c r="I345" s="2" t="s">
        <v>2085</v>
      </c>
      <c r="J345" s="2" t="s">
        <v>34</v>
      </c>
      <c r="K345" s="2" t="s">
        <v>34</v>
      </c>
      <c r="L345" s="2" t="s">
        <v>2086</v>
      </c>
      <c r="M345" s="2" t="s">
        <v>34</v>
      </c>
      <c r="N345" s="2" t="s">
        <v>34</v>
      </c>
      <c r="O345" s="2" t="s">
        <v>2087</v>
      </c>
      <c r="P345" s="2" t="s">
        <v>36</v>
      </c>
    </row>
    <row r="346" spans="1:16" x14ac:dyDescent="0.2">
      <c r="A346" s="2" t="s">
        <v>2088</v>
      </c>
      <c r="B346" s="2">
        <v>21</v>
      </c>
      <c r="C346" s="2">
        <v>5</v>
      </c>
      <c r="D346" s="2" t="s">
        <v>29</v>
      </c>
      <c r="E346" s="2">
        <v>939</v>
      </c>
      <c r="F346" s="2" t="s">
        <v>30</v>
      </c>
      <c r="G346" s="2" t="s">
        <v>2089</v>
      </c>
      <c r="H346" s="2" t="s">
        <v>2090</v>
      </c>
      <c r="I346" s="2" t="s">
        <v>2091</v>
      </c>
      <c r="J346" s="2" t="s">
        <v>34</v>
      </c>
      <c r="K346" s="2" t="s">
        <v>34</v>
      </c>
      <c r="L346" s="2" t="s">
        <v>2092</v>
      </c>
      <c r="M346" s="2" t="s">
        <v>34</v>
      </c>
      <c r="N346" s="2" t="s">
        <v>34</v>
      </c>
      <c r="O346" s="2" t="s">
        <v>34</v>
      </c>
      <c r="P346" s="2" t="s">
        <v>78</v>
      </c>
    </row>
    <row r="347" spans="1:16" x14ac:dyDescent="0.2">
      <c r="A347" s="2" t="s">
        <v>2093</v>
      </c>
      <c r="B347" s="2">
        <v>21</v>
      </c>
      <c r="C347" s="2">
        <v>6</v>
      </c>
      <c r="D347" s="2" t="s">
        <v>29</v>
      </c>
      <c r="E347" s="2">
        <v>824</v>
      </c>
      <c r="F347" s="2" t="s">
        <v>38</v>
      </c>
      <c r="G347" s="2" t="s">
        <v>2094</v>
      </c>
      <c r="H347" s="2" t="s">
        <v>2095</v>
      </c>
      <c r="I347" s="2" t="s">
        <v>2096</v>
      </c>
      <c r="J347" s="2" t="s">
        <v>2097</v>
      </c>
      <c r="K347" s="3">
        <v>46290</v>
      </c>
      <c r="L347" s="2" t="s">
        <v>2098</v>
      </c>
      <c r="M347" s="2" t="s">
        <v>34</v>
      </c>
      <c r="N347" s="2" t="s">
        <v>34</v>
      </c>
      <c r="O347" s="2" t="s">
        <v>34</v>
      </c>
      <c r="P347" s="2" t="s">
        <v>36</v>
      </c>
    </row>
    <row r="348" spans="1:16" x14ac:dyDescent="0.2">
      <c r="A348" s="2" t="s">
        <v>2099</v>
      </c>
      <c r="B348" s="2">
        <v>21</v>
      </c>
      <c r="C348" s="2">
        <v>7</v>
      </c>
      <c r="D348" s="2" t="s">
        <v>71</v>
      </c>
      <c r="E348" s="2">
        <v>1414</v>
      </c>
      <c r="F348" s="2" t="s">
        <v>30</v>
      </c>
      <c r="G348" s="2" t="s">
        <v>2100</v>
      </c>
      <c r="H348" s="2" t="s">
        <v>2101</v>
      </c>
      <c r="I348" s="2" t="s">
        <v>2102</v>
      </c>
      <c r="J348" s="2" t="s">
        <v>34</v>
      </c>
      <c r="K348" s="2" t="s">
        <v>34</v>
      </c>
      <c r="L348" s="2" t="s">
        <v>2103</v>
      </c>
      <c r="M348" s="2" t="s">
        <v>2104</v>
      </c>
      <c r="N348" s="2" t="s">
        <v>34</v>
      </c>
      <c r="O348" s="2" t="s">
        <v>2105</v>
      </c>
      <c r="P348" s="2" t="s">
        <v>36</v>
      </c>
    </row>
    <row r="349" spans="1:16" x14ac:dyDescent="0.2">
      <c r="A349" s="2" t="s">
        <v>2106</v>
      </c>
      <c r="B349" s="2">
        <v>21</v>
      </c>
      <c r="C349" s="2">
        <v>8</v>
      </c>
      <c r="D349" s="2" t="s">
        <v>71</v>
      </c>
      <c r="E349" s="2">
        <v>1361</v>
      </c>
      <c r="F349" s="2" t="s">
        <v>38</v>
      </c>
      <c r="G349" s="2" t="s">
        <v>2107</v>
      </c>
      <c r="H349" s="2" t="s">
        <v>2108</v>
      </c>
      <c r="I349" s="2" t="s">
        <v>2109</v>
      </c>
      <c r="J349" s="2" t="s">
        <v>2110</v>
      </c>
      <c r="K349" s="3">
        <v>46433</v>
      </c>
      <c r="L349" s="2" t="s">
        <v>2111</v>
      </c>
      <c r="M349" s="2" t="s">
        <v>34</v>
      </c>
      <c r="N349" s="2" t="s">
        <v>34</v>
      </c>
      <c r="O349" s="2" t="s">
        <v>34</v>
      </c>
      <c r="P349" s="2" t="s">
        <v>36</v>
      </c>
    </row>
    <row r="350" spans="1:16" x14ac:dyDescent="0.2">
      <c r="A350" s="2" t="s">
        <v>2112</v>
      </c>
      <c r="B350" s="2">
        <v>21</v>
      </c>
      <c r="C350" s="2">
        <v>9</v>
      </c>
      <c r="D350" s="2" t="s">
        <v>71</v>
      </c>
      <c r="E350" s="2">
        <v>1323</v>
      </c>
      <c r="F350" s="2" t="s">
        <v>30</v>
      </c>
      <c r="G350" s="2" t="s">
        <v>2113</v>
      </c>
      <c r="H350" s="2" t="s">
        <v>2114</v>
      </c>
      <c r="I350" s="2" t="s">
        <v>2115</v>
      </c>
      <c r="J350" s="2" t="s">
        <v>34</v>
      </c>
      <c r="K350" s="2" t="s">
        <v>34</v>
      </c>
      <c r="L350" s="2" t="s">
        <v>2116</v>
      </c>
      <c r="M350" s="2" t="s">
        <v>2117</v>
      </c>
      <c r="N350" s="2" t="s">
        <v>34</v>
      </c>
      <c r="O350" s="2" t="s">
        <v>34</v>
      </c>
      <c r="P350" s="2" t="s">
        <v>36</v>
      </c>
    </row>
    <row r="351" spans="1:16" x14ac:dyDescent="0.2">
      <c r="A351" s="2" t="s">
        <v>2118</v>
      </c>
      <c r="B351" s="2">
        <v>21</v>
      </c>
      <c r="C351" s="2">
        <v>10</v>
      </c>
      <c r="D351" s="2" t="s">
        <v>71</v>
      </c>
      <c r="E351" s="2">
        <v>1296</v>
      </c>
      <c r="F351" s="2" t="s">
        <v>30</v>
      </c>
      <c r="G351" s="2" t="s">
        <v>1320</v>
      </c>
      <c r="H351" s="2" t="s">
        <v>2119</v>
      </c>
      <c r="I351" s="2" t="s">
        <v>2120</v>
      </c>
      <c r="J351" s="2" t="s">
        <v>34</v>
      </c>
      <c r="K351" s="2" t="s">
        <v>34</v>
      </c>
      <c r="L351" s="2" t="s">
        <v>2121</v>
      </c>
      <c r="M351" s="2" t="s">
        <v>34</v>
      </c>
      <c r="N351" s="2" t="s">
        <v>34</v>
      </c>
      <c r="O351" s="2" t="s">
        <v>2122</v>
      </c>
      <c r="P351" s="2" t="s">
        <v>36</v>
      </c>
    </row>
    <row r="352" spans="1:16" x14ac:dyDescent="0.2">
      <c r="A352" s="2" t="s">
        <v>2123</v>
      </c>
      <c r="B352" s="2">
        <v>21</v>
      </c>
      <c r="C352" s="2">
        <v>11</v>
      </c>
      <c r="D352" s="2" t="s">
        <v>71</v>
      </c>
      <c r="E352" s="2">
        <v>1477</v>
      </c>
      <c r="F352" s="2" t="s">
        <v>30</v>
      </c>
      <c r="G352" s="2" t="s">
        <v>944</v>
      </c>
      <c r="H352" s="2" t="s">
        <v>2124</v>
      </c>
      <c r="I352" s="2" t="s">
        <v>2125</v>
      </c>
      <c r="J352" s="2" t="s">
        <v>34</v>
      </c>
      <c r="K352" s="2" t="s">
        <v>34</v>
      </c>
      <c r="L352" s="2" t="s">
        <v>2126</v>
      </c>
      <c r="M352" s="2" t="s">
        <v>2127</v>
      </c>
      <c r="N352" s="2" t="s">
        <v>34</v>
      </c>
      <c r="O352" s="2" t="s">
        <v>2128</v>
      </c>
      <c r="P352" s="2" t="s">
        <v>78</v>
      </c>
    </row>
    <row r="353" spans="1:16" x14ac:dyDescent="0.2">
      <c r="A353" s="2" t="s">
        <v>2129</v>
      </c>
      <c r="B353" s="2">
        <v>21</v>
      </c>
      <c r="C353" s="2">
        <v>12</v>
      </c>
      <c r="D353" s="2" t="s">
        <v>71</v>
      </c>
      <c r="E353" s="2">
        <v>1515</v>
      </c>
      <c r="F353" s="2" t="s">
        <v>30</v>
      </c>
      <c r="G353" s="2" t="s">
        <v>1502</v>
      </c>
      <c r="H353" s="2" t="s">
        <v>2130</v>
      </c>
      <c r="I353" s="2" t="s">
        <v>2131</v>
      </c>
      <c r="J353" s="2" t="s">
        <v>34</v>
      </c>
      <c r="K353" s="2" t="s">
        <v>34</v>
      </c>
      <c r="L353" s="2" t="s">
        <v>2132</v>
      </c>
      <c r="M353" s="2" t="s">
        <v>2133</v>
      </c>
      <c r="N353" s="2" t="s">
        <v>34</v>
      </c>
      <c r="O353" s="2" t="s">
        <v>2134</v>
      </c>
      <c r="P353" s="2" t="s">
        <v>36</v>
      </c>
    </row>
    <row r="354" spans="1:16" x14ac:dyDescent="0.2">
      <c r="A354" s="2" t="s">
        <v>2135</v>
      </c>
      <c r="B354" s="2">
        <v>21</v>
      </c>
      <c r="C354" s="2">
        <v>13</v>
      </c>
      <c r="D354" s="2" t="s">
        <v>113</v>
      </c>
      <c r="E354" s="2">
        <v>2071</v>
      </c>
      <c r="F354" s="2" t="s">
        <v>30</v>
      </c>
      <c r="G354" s="2" t="s">
        <v>2136</v>
      </c>
      <c r="H354" s="2" t="s">
        <v>2137</v>
      </c>
      <c r="I354" s="2" t="s">
        <v>2138</v>
      </c>
      <c r="J354" s="2" t="s">
        <v>34</v>
      </c>
      <c r="K354" s="2" t="s">
        <v>34</v>
      </c>
      <c r="L354" s="2" t="s">
        <v>2139</v>
      </c>
      <c r="M354" s="2" t="s">
        <v>34</v>
      </c>
      <c r="N354" s="2" t="s">
        <v>34</v>
      </c>
      <c r="O354" s="2" t="s">
        <v>34</v>
      </c>
      <c r="P354" s="2" t="s">
        <v>36</v>
      </c>
    </row>
    <row r="355" spans="1:16" x14ac:dyDescent="0.2">
      <c r="A355" s="2" t="s">
        <v>2140</v>
      </c>
      <c r="B355" s="2">
        <v>21</v>
      </c>
      <c r="C355" s="2">
        <v>14</v>
      </c>
      <c r="D355" s="2" t="s">
        <v>113</v>
      </c>
      <c r="E355" s="2">
        <v>1839</v>
      </c>
      <c r="F355" s="2" t="s">
        <v>38</v>
      </c>
      <c r="G355" s="2" t="s">
        <v>885</v>
      </c>
      <c r="H355" s="2" t="s">
        <v>2141</v>
      </c>
      <c r="I355" s="2" t="s">
        <v>2142</v>
      </c>
      <c r="J355" s="2" t="s">
        <v>760</v>
      </c>
      <c r="K355" s="3">
        <v>46414</v>
      </c>
      <c r="L355" s="2" t="s">
        <v>2143</v>
      </c>
      <c r="M355" s="2" t="s">
        <v>2144</v>
      </c>
      <c r="N355" s="2" t="s">
        <v>34</v>
      </c>
      <c r="O355" s="2" t="s">
        <v>2145</v>
      </c>
      <c r="P355" s="2" t="s">
        <v>36</v>
      </c>
    </row>
    <row r="356" spans="1:16" x14ac:dyDescent="0.2">
      <c r="A356" s="2" t="s">
        <v>2146</v>
      </c>
      <c r="B356" s="2">
        <v>21</v>
      </c>
      <c r="C356" s="2">
        <v>15</v>
      </c>
      <c r="D356" s="2" t="s">
        <v>113</v>
      </c>
      <c r="E356" s="2">
        <v>2164</v>
      </c>
      <c r="F356" s="2" t="s">
        <v>30</v>
      </c>
      <c r="G356" s="2" t="s">
        <v>2147</v>
      </c>
      <c r="H356" s="2" t="s">
        <v>2148</v>
      </c>
      <c r="I356" s="2" t="s">
        <v>2149</v>
      </c>
      <c r="J356" s="2" t="s">
        <v>34</v>
      </c>
      <c r="K356" s="2" t="s">
        <v>34</v>
      </c>
      <c r="L356" s="2" t="s">
        <v>2150</v>
      </c>
      <c r="M356" s="2" t="s">
        <v>2151</v>
      </c>
      <c r="N356" s="2" t="s">
        <v>34</v>
      </c>
      <c r="O356" s="2" t="s">
        <v>2152</v>
      </c>
      <c r="P356" s="2" t="s">
        <v>36</v>
      </c>
    </row>
    <row r="357" spans="1:16" x14ac:dyDescent="0.2">
      <c r="A357" s="2" t="s">
        <v>2153</v>
      </c>
      <c r="B357" s="2">
        <v>21</v>
      </c>
      <c r="C357" s="2">
        <v>16</v>
      </c>
      <c r="D357" s="2" t="s">
        <v>113</v>
      </c>
      <c r="E357" s="2">
        <v>2068</v>
      </c>
      <c r="F357" s="2" t="s">
        <v>38</v>
      </c>
      <c r="G357" s="2" t="s">
        <v>1670</v>
      </c>
      <c r="H357" s="2" t="s">
        <v>2154</v>
      </c>
      <c r="I357" s="2" t="s">
        <v>2155</v>
      </c>
      <c r="J357" s="2" t="s">
        <v>145</v>
      </c>
      <c r="K357" s="3">
        <v>46221</v>
      </c>
      <c r="L357" s="2" t="s">
        <v>2156</v>
      </c>
      <c r="M357" s="2" t="s">
        <v>2157</v>
      </c>
      <c r="N357" s="2" t="s">
        <v>34</v>
      </c>
      <c r="O357" s="2" t="s">
        <v>34</v>
      </c>
      <c r="P357" s="2" t="s">
        <v>78</v>
      </c>
    </row>
    <row r="358" spans="1:16" x14ac:dyDescent="0.2">
      <c r="A358" s="2" t="s">
        <v>2158</v>
      </c>
      <c r="B358" s="2">
        <v>21</v>
      </c>
      <c r="C358" s="2">
        <v>17</v>
      </c>
      <c r="D358" s="2" t="s">
        <v>144</v>
      </c>
      <c r="E358" s="2">
        <v>3305</v>
      </c>
      <c r="F358" s="2" t="s">
        <v>30</v>
      </c>
      <c r="G358" s="2" t="s">
        <v>2159</v>
      </c>
      <c r="H358" s="2" t="s">
        <v>2160</v>
      </c>
      <c r="I358" s="2" t="s">
        <v>2161</v>
      </c>
      <c r="J358" s="2" t="s">
        <v>34</v>
      </c>
      <c r="K358" s="2" t="s">
        <v>34</v>
      </c>
      <c r="L358" s="2" t="s">
        <v>2162</v>
      </c>
      <c r="M358" s="2" t="s">
        <v>2163</v>
      </c>
      <c r="N358" s="2" t="s">
        <v>34</v>
      </c>
      <c r="O358" s="2" t="s">
        <v>34</v>
      </c>
      <c r="P358" s="2" t="s">
        <v>78</v>
      </c>
    </row>
    <row r="359" spans="1:16" x14ac:dyDescent="0.2">
      <c r="A359" s="2" t="s">
        <v>2164</v>
      </c>
      <c r="B359" s="2">
        <v>22</v>
      </c>
      <c r="C359" s="2">
        <v>1</v>
      </c>
      <c r="D359" s="2" t="s">
        <v>29</v>
      </c>
      <c r="E359" s="2">
        <v>966</v>
      </c>
      <c r="F359" s="2" t="s">
        <v>30</v>
      </c>
      <c r="G359" s="2" t="s">
        <v>2165</v>
      </c>
      <c r="H359" s="2" t="s">
        <v>2166</v>
      </c>
      <c r="I359" s="2" t="s">
        <v>2167</v>
      </c>
      <c r="J359" s="2" t="s">
        <v>34</v>
      </c>
      <c r="K359" s="2" t="s">
        <v>34</v>
      </c>
      <c r="L359" s="2" t="s">
        <v>2168</v>
      </c>
      <c r="M359" s="2" t="s">
        <v>34</v>
      </c>
      <c r="N359" s="2" t="s">
        <v>2169</v>
      </c>
      <c r="O359" s="2" t="s">
        <v>2170</v>
      </c>
      <c r="P359" s="2" t="s">
        <v>36</v>
      </c>
    </row>
    <row r="360" spans="1:16" x14ac:dyDescent="0.2">
      <c r="A360" s="2" t="s">
        <v>2171</v>
      </c>
      <c r="B360" s="2">
        <v>22</v>
      </c>
      <c r="C360" s="2">
        <v>2</v>
      </c>
      <c r="D360" s="2" t="s">
        <v>29</v>
      </c>
      <c r="E360" s="2">
        <v>830</v>
      </c>
      <c r="F360" s="2" t="s">
        <v>30</v>
      </c>
      <c r="G360" s="2" t="s">
        <v>1352</v>
      </c>
      <c r="H360" s="2" t="s">
        <v>2172</v>
      </c>
      <c r="I360" s="2" t="s">
        <v>2173</v>
      </c>
      <c r="J360" s="2" t="s">
        <v>34</v>
      </c>
      <c r="K360" s="2" t="s">
        <v>34</v>
      </c>
      <c r="L360" s="2" t="s">
        <v>2174</v>
      </c>
      <c r="M360" s="2" t="s">
        <v>34</v>
      </c>
      <c r="N360" s="2" t="s">
        <v>34</v>
      </c>
      <c r="O360" s="2" t="s">
        <v>34</v>
      </c>
      <c r="P360" s="2" t="s">
        <v>36</v>
      </c>
    </row>
    <row r="361" spans="1:16" x14ac:dyDescent="0.2">
      <c r="A361" s="2" t="s">
        <v>2175</v>
      </c>
      <c r="B361" s="2">
        <v>22</v>
      </c>
      <c r="C361" s="2">
        <v>3</v>
      </c>
      <c r="D361" s="2" t="s">
        <v>29</v>
      </c>
      <c r="E361" s="2">
        <v>832</v>
      </c>
      <c r="F361" s="2" t="s">
        <v>30</v>
      </c>
      <c r="G361" s="2" t="s">
        <v>1534</v>
      </c>
      <c r="H361" s="2" t="s">
        <v>2176</v>
      </c>
      <c r="I361" s="2" t="s">
        <v>2177</v>
      </c>
      <c r="J361" s="2" t="s">
        <v>34</v>
      </c>
      <c r="K361" s="2" t="s">
        <v>34</v>
      </c>
      <c r="L361" s="2" t="s">
        <v>2178</v>
      </c>
      <c r="M361" s="2" t="s">
        <v>34</v>
      </c>
      <c r="N361" s="2" t="s">
        <v>34</v>
      </c>
      <c r="O361" s="2" t="s">
        <v>34</v>
      </c>
      <c r="P361" s="2" t="s">
        <v>36</v>
      </c>
    </row>
    <row r="362" spans="1:16" x14ac:dyDescent="0.2">
      <c r="A362" s="2" t="s">
        <v>2179</v>
      </c>
      <c r="B362" s="2">
        <v>22</v>
      </c>
      <c r="C362" s="2">
        <v>4</v>
      </c>
      <c r="D362" s="2" t="s">
        <v>29</v>
      </c>
      <c r="E362" s="2">
        <v>976</v>
      </c>
      <c r="F362" s="2" t="s">
        <v>30</v>
      </c>
      <c r="G362" s="2" t="s">
        <v>2180</v>
      </c>
      <c r="H362" s="2" t="s">
        <v>2181</v>
      </c>
      <c r="I362" s="2" t="s">
        <v>2182</v>
      </c>
      <c r="J362" s="2" t="s">
        <v>34</v>
      </c>
      <c r="K362" s="2" t="s">
        <v>34</v>
      </c>
      <c r="L362" s="2" t="s">
        <v>2183</v>
      </c>
      <c r="M362" s="2" t="s">
        <v>34</v>
      </c>
      <c r="N362" s="2" t="s">
        <v>34</v>
      </c>
      <c r="O362" s="2" t="s">
        <v>2184</v>
      </c>
      <c r="P362" s="2" t="s">
        <v>36</v>
      </c>
    </row>
    <row r="363" spans="1:16" x14ac:dyDescent="0.2">
      <c r="A363" s="2" t="s">
        <v>2185</v>
      </c>
      <c r="B363" s="2">
        <v>22</v>
      </c>
      <c r="C363" s="2">
        <v>5</v>
      </c>
      <c r="D363" s="2" t="s">
        <v>29</v>
      </c>
      <c r="E363" s="2">
        <v>969</v>
      </c>
      <c r="F363" s="2" t="s">
        <v>30</v>
      </c>
      <c r="G363" s="2" t="s">
        <v>2186</v>
      </c>
      <c r="H363" s="2" t="s">
        <v>2187</v>
      </c>
      <c r="I363" s="2" t="s">
        <v>2188</v>
      </c>
      <c r="J363" s="2" t="s">
        <v>34</v>
      </c>
      <c r="K363" s="2" t="s">
        <v>34</v>
      </c>
      <c r="L363" s="2" t="s">
        <v>2189</v>
      </c>
      <c r="M363" s="2" t="s">
        <v>34</v>
      </c>
      <c r="N363" s="2" t="s">
        <v>34</v>
      </c>
      <c r="O363" s="2" t="s">
        <v>2190</v>
      </c>
      <c r="P363" s="2" t="s">
        <v>36</v>
      </c>
    </row>
    <row r="364" spans="1:16" x14ac:dyDescent="0.2">
      <c r="A364" s="2" t="s">
        <v>2191</v>
      </c>
      <c r="B364" s="2">
        <v>22</v>
      </c>
      <c r="C364" s="2">
        <v>6</v>
      </c>
      <c r="D364" s="2" t="s">
        <v>29</v>
      </c>
      <c r="E364" s="2">
        <v>871</v>
      </c>
      <c r="F364" s="2" t="s">
        <v>30</v>
      </c>
      <c r="G364" s="2" t="s">
        <v>1844</v>
      </c>
      <c r="H364" s="2" t="s">
        <v>2192</v>
      </c>
      <c r="I364" s="2" t="s">
        <v>2193</v>
      </c>
      <c r="J364" s="2" t="s">
        <v>34</v>
      </c>
      <c r="K364" s="2" t="s">
        <v>34</v>
      </c>
      <c r="L364" s="2" t="s">
        <v>2194</v>
      </c>
      <c r="M364" s="2" t="s">
        <v>34</v>
      </c>
      <c r="N364" s="2" t="s">
        <v>34</v>
      </c>
      <c r="O364" s="2" t="s">
        <v>34</v>
      </c>
      <c r="P364" s="2" t="s">
        <v>36</v>
      </c>
    </row>
    <row r="365" spans="1:16" x14ac:dyDescent="0.2">
      <c r="A365" s="2" t="s">
        <v>2195</v>
      </c>
      <c r="B365" s="2">
        <v>22</v>
      </c>
      <c r="C365" s="2">
        <v>7</v>
      </c>
      <c r="D365" s="2" t="s">
        <v>71</v>
      </c>
      <c r="E365" s="2">
        <v>1238</v>
      </c>
      <c r="F365" s="2" t="s">
        <v>30</v>
      </c>
      <c r="G365" s="2" t="s">
        <v>2094</v>
      </c>
      <c r="H365" s="2" t="s">
        <v>2196</v>
      </c>
      <c r="I365" s="2" t="s">
        <v>2197</v>
      </c>
      <c r="J365" s="2" t="s">
        <v>34</v>
      </c>
      <c r="K365" s="2" t="s">
        <v>34</v>
      </c>
      <c r="L365" s="2" t="s">
        <v>2198</v>
      </c>
      <c r="M365" s="2" t="s">
        <v>2199</v>
      </c>
      <c r="N365" s="2" t="s">
        <v>34</v>
      </c>
      <c r="O365" s="2" t="s">
        <v>34</v>
      </c>
      <c r="P365" s="2" t="s">
        <v>78</v>
      </c>
    </row>
    <row r="366" spans="1:16" x14ac:dyDescent="0.2">
      <c r="A366" s="2" t="s">
        <v>2200</v>
      </c>
      <c r="B366" s="2">
        <v>22</v>
      </c>
      <c r="C366" s="2">
        <v>8</v>
      </c>
      <c r="D366" s="2" t="s">
        <v>71</v>
      </c>
      <c r="E366" s="2">
        <v>1461</v>
      </c>
      <c r="F366" s="2" t="s">
        <v>38</v>
      </c>
      <c r="G366" s="2" t="s">
        <v>485</v>
      </c>
      <c r="H366" s="2" t="s">
        <v>2201</v>
      </c>
      <c r="I366" s="2" t="s">
        <v>2202</v>
      </c>
      <c r="J366" s="2" t="s">
        <v>504</v>
      </c>
      <c r="K366" s="3">
        <v>46429</v>
      </c>
      <c r="L366" s="2" t="s">
        <v>2203</v>
      </c>
      <c r="M366" s="2" t="s">
        <v>2204</v>
      </c>
      <c r="N366" s="2" t="s">
        <v>34</v>
      </c>
      <c r="O366" s="2" t="s">
        <v>2205</v>
      </c>
      <c r="P366" s="2" t="s">
        <v>36</v>
      </c>
    </row>
    <row r="367" spans="1:16" x14ac:dyDescent="0.2">
      <c r="A367" s="2" t="s">
        <v>2206</v>
      </c>
      <c r="B367" s="2">
        <v>22</v>
      </c>
      <c r="C367" s="2">
        <v>9</v>
      </c>
      <c r="D367" s="2" t="s">
        <v>71</v>
      </c>
      <c r="E367" s="2">
        <v>1338</v>
      </c>
      <c r="F367" s="2" t="s">
        <v>30</v>
      </c>
      <c r="G367" s="2" t="s">
        <v>2097</v>
      </c>
      <c r="H367" s="2" t="s">
        <v>2207</v>
      </c>
      <c r="I367" s="2" t="s">
        <v>2208</v>
      </c>
      <c r="J367" s="2" t="s">
        <v>34</v>
      </c>
      <c r="K367" s="2" t="s">
        <v>34</v>
      </c>
      <c r="L367" s="2" t="s">
        <v>2209</v>
      </c>
      <c r="M367" s="2" t="s">
        <v>2210</v>
      </c>
      <c r="N367" s="2" t="s">
        <v>34</v>
      </c>
      <c r="O367" s="2" t="s">
        <v>2211</v>
      </c>
      <c r="P367" s="2" t="s">
        <v>36</v>
      </c>
    </row>
    <row r="368" spans="1:16" x14ac:dyDescent="0.2">
      <c r="A368" s="2" t="s">
        <v>2212</v>
      </c>
      <c r="B368" s="2">
        <v>22</v>
      </c>
      <c r="C368" s="2">
        <v>10</v>
      </c>
      <c r="D368" s="2" t="s">
        <v>71</v>
      </c>
      <c r="E368" s="2">
        <v>1434</v>
      </c>
      <c r="F368" s="2" t="s">
        <v>38</v>
      </c>
      <c r="G368" s="2" t="s">
        <v>189</v>
      </c>
      <c r="H368" s="2" t="s">
        <v>2213</v>
      </c>
      <c r="I368" s="2" t="s">
        <v>2214</v>
      </c>
      <c r="J368" s="2" t="s">
        <v>2215</v>
      </c>
      <c r="K368" s="3">
        <v>46233</v>
      </c>
      <c r="L368" s="2" t="s">
        <v>2216</v>
      </c>
      <c r="M368" s="2" t="s">
        <v>34</v>
      </c>
      <c r="N368" s="2" t="s">
        <v>34</v>
      </c>
      <c r="O368" s="2" t="s">
        <v>34</v>
      </c>
      <c r="P368" s="2" t="s">
        <v>36</v>
      </c>
    </row>
    <row r="369" spans="1:16" x14ac:dyDescent="0.2">
      <c r="A369" s="2" t="s">
        <v>2217</v>
      </c>
      <c r="B369" s="2">
        <v>22</v>
      </c>
      <c r="C369" s="2">
        <v>11</v>
      </c>
      <c r="D369" s="2" t="s">
        <v>71</v>
      </c>
      <c r="E369" s="2">
        <v>1305</v>
      </c>
      <c r="F369" s="2" t="s">
        <v>30</v>
      </c>
      <c r="G369" s="2" t="s">
        <v>1221</v>
      </c>
      <c r="H369" s="2" t="s">
        <v>2218</v>
      </c>
      <c r="I369" s="2" t="s">
        <v>2219</v>
      </c>
      <c r="J369" s="2" t="s">
        <v>34</v>
      </c>
      <c r="K369" s="2" t="s">
        <v>34</v>
      </c>
      <c r="L369" s="2" t="s">
        <v>2220</v>
      </c>
      <c r="M369" s="2" t="s">
        <v>2221</v>
      </c>
      <c r="N369" s="2" t="s">
        <v>2222</v>
      </c>
      <c r="O369" s="2" t="s">
        <v>2223</v>
      </c>
      <c r="P369" s="2" t="s">
        <v>36</v>
      </c>
    </row>
    <row r="370" spans="1:16" x14ac:dyDescent="0.2">
      <c r="A370" s="2" t="s">
        <v>2224</v>
      </c>
      <c r="B370" s="2">
        <v>22</v>
      </c>
      <c r="C370" s="2">
        <v>12</v>
      </c>
      <c r="D370" s="2" t="s">
        <v>71</v>
      </c>
      <c r="E370" s="2">
        <v>1196</v>
      </c>
      <c r="F370" s="2" t="s">
        <v>38</v>
      </c>
      <c r="G370" s="2" t="s">
        <v>2225</v>
      </c>
      <c r="H370" s="2" t="s">
        <v>2226</v>
      </c>
      <c r="I370" s="2" t="s">
        <v>2227</v>
      </c>
      <c r="J370" s="2" t="s">
        <v>42</v>
      </c>
      <c r="K370" s="3">
        <v>46194</v>
      </c>
      <c r="L370" s="2" t="s">
        <v>2228</v>
      </c>
      <c r="M370" s="2" t="s">
        <v>34</v>
      </c>
      <c r="N370" s="2" t="s">
        <v>34</v>
      </c>
      <c r="O370" s="2" t="s">
        <v>34</v>
      </c>
      <c r="P370" s="2" t="s">
        <v>78</v>
      </c>
    </row>
    <row r="371" spans="1:16" x14ac:dyDescent="0.2">
      <c r="A371" s="2" t="s">
        <v>2229</v>
      </c>
      <c r="B371" s="2">
        <v>22</v>
      </c>
      <c r="C371" s="2">
        <v>13</v>
      </c>
      <c r="D371" s="2" t="s">
        <v>113</v>
      </c>
      <c r="E371" s="2">
        <v>2018</v>
      </c>
      <c r="F371" s="2" t="s">
        <v>30</v>
      </c>
      <c r="G371" s="2" t="s">
        <v>2230</v>
      </c>
      <c r="H371" s="2" t="s">
        <v>2231</v>
      </c>
      <c r="I371" s="2" t="s">
        <v>2232</v>
      </c>
      <c r="J371" s="2" t="s">
        <v>34</v>
      </c>
      <c r="K371" s="2" t="s">
        <v>34</v>
      </c>
      <c r="L371" s="2" t="s">
        <v>2233</v>
      </c>
      <c r="M371" s="2" t="s">
        <v>2234</v>
      </c>
      <c r="N371" s="2" t="s">
        <v>2235</v>
      </c>
      <c r="O371" s="2" t="s">
        <v>2236</v>
      </c>
      <c r="P371" s="2" t="s">
        <v>36</v>
      </c>
    </row>
    <row r="372" spans="1:16" x14ac:dyDescent="0.2">
      <c r="A372" s="2" t="s">
        <v>2237</v>
      </c>
      <c r="B372" s="2">
        <v>22</v>
      </c>
      <c r="C372" s="2">
        <v>14</v>
      </c>
      <c r="D372" s="2" t="s">
        <v>113</v>
      </c>
      <c r="E372" s="2">
        <v>1949</v>
      </c>
      <c r="F372" s="2" t="s">
        <v>30</v>
      </c>
      <c r="G372" s="2" t="s">
        <v>2238</v>
      </c>
      <c r="H372" s="2" t="s">
        <v>2239</v>
      </c>
      <c r="I372" s="2" t="s">
        <v>2240</v>
      </c>
      <c r="J372" s="2" t="s">
        <v>34</v>
      </c>
      <c r="K372" s="2" t="s">
        <v>34</v>
      </c>
      <c r="L372" s="2" t="s">
        <v>2241</v>
      </c>
      <c r="M372" s="2" t="s">
        <v>2242</v>
      </c>
      <c r="N372" s="2" t="s">
        <v>34</v>
      </c>
      <c r="O372" s="2" t="s">
        <v>34</v>
      </c>
      <c r="P372" s="2" t="s">
        <v>36</v>
      </c>
    </row>
    <row r="373" spans="1:16" x14ac:dyDescent="0.2">
      <c r="A373" s="2" t="s">
        <v>2243</v>
      </c>
      <c r="B373" s="2">
        <v>22</v>
      </c>
      <c r="C373" s="2">
        <v>15</v>
      </c>
      <c r="D373" s="2" t="s">
        <v>113</v>
      </c>
      <c r="E373" s="2">
        <v>1761</v>
      </c>
      <c r="F373" s="2" t="s">
        <v>38</v>
      </c>
      <c r="G373" s="2" t="s">
        <v>2244</v>
      </c>
      <c r="H373" s="2" t="s">
        <v>2245</v>
      </c>
      <c r="I373" s="2" t="s">
        <v>2246</v>
      </c>
      <c r="J373" s="2" t="s">
        <v>2247</v>
      </c>
      <c r="K373" s="3">
        <v>46474</v>
      </c>
      <c r="L373" s="2" t="s">
        <v>2248</v>
      </c>
      <c r="M373" s="2" t="s">
        <v>34</v>
      </c>
      <c r="N373" s="2" t="s">
        <v>34</v>
      </c>
      <c r="O373" s="2" t="s">
        <v>34</v>
      </c>
      <c r="P373" s="2" t="s">
        <v>36</v>
      </c>
    </row>
    <row r="374" spans="1:16" x14ac:dyDescent="0.2">
      <c r="A374" s="2" t="s">
        <v>2249</v>
      </c>
      <c r="B374" s="2">
        <v>22</v>
      </c>
      <c r="C374" s="2">
        <v>16</v>
      </c>
      <c r="D374" s="2" t="s">
        <v>113</v>
      </c>
      <c r="E374" s="2">
        <v>2188</v>
      </c>
      <c r="F374" s="2" t="s">
        <v>38</v>
      </c>
      <c r="G374" s="2" t="s">
        <v>2250</v>
      </c>
      <c r="H374" s="2" t="s">
        <v>2251</v>
      </c>
      <c r="I374" s="2" t="s">
        <v>2252</v>
      </c>
      <c r="J374" s="2" t="s">
        <v>2253</v>
      </c>
      <c r="K374" s="3">
        <v>46410</v>
      </c>
      <c r="L374" s="2" t="s">
        <v>2254</v>
      </c>
      <c r="M374" s="2" t="s">
        <v>2255</v>
      </c>
      <c r="N374" s="2" t="s">
        <v>34</v>
      </c>
      <c r="O374" s="2" t="s">
        <v>34</v>
      </c>
      <c r="P374" s="2" t="s">
        <v>36</v>
      </c>
    </row>
    <row r="375" spans="1:16" x14ac:dyDescent="0.2">
      <c r="A375" s="2" t="s">
        <v>2256</v>
      </c>
      <c r="B375" s="2">
        <v>22</v>
      </c>
      <c r="C375" s="2">
        <v>17</v>
      </c>
      <c r="D375" s="2" t="s">
        <v>144</v>
      </c>
      <c r="E375" s="2">
        <v>3196</v>
      </c>
      <c r="F375" s="2" t="s">
        <v>30</v>
      </c>
      <c r="G375" s="2" t="s">
        <v>2257</v>
      </c>
      <c r="H375" s="2" t="s">
        <v>2258</v>
      </c>
      <c r="I375" s="2" t="s">
        <v>2259</v>
      </c>
      <c r="J375" s="2" t="s">
        <v>34</v>
      </c>
      <c r="K375" s="2" t="s">
        <v>34</v>
      </c>
      <c r="L375" s="2" t="s">
        <v>2260</v>
      </c>
      <c r="M375" s="2" t="s">
        <v>2261</v>
      </c>
      <c r="N375" s="2" t="s">
        <v>34</v>
      </c>
      <c r="O375" s="2" t="s">
        <v>34</v>
      </c>
      <c r="P375" s="2" t="s">
        <v>78</v>
      </c>
    </row>
    <row r="376" spans="1:16" x14ac:dyDescent="0.2">
      <c r="A376" s="2" t="s">
        <v>2262</v>
      </c>
      <c r="B376" s="2">
        <v>23</v>
      </c>
      <c r="C376" s="2">
        <v>1</v>
      </c>
      <c r="D376" s="2" t="s">
        <v>29</v>
      </c>
      <c r="E376" s="2">
        <v>925</v>
      </c>
      <c r="F376" s="2" t="s">
        <v>30</v>
      </c>
      <c r="G376" s="2" t="s">
        <v>2263</v>
      </c>
      <c r="H376" s="2" t="s">
        <v>2264</v>
      </c>
      <c r="I376" s="2" t="s">
        <v>2265</v>
      </c>
      <c r="J376" s="2" t="s">
        <v>34</v>
      </c>
      <c r="K376" s="2" t="s">
        <v>34</v>
      </c>
      <c r="L376" s="2" t="s">
        <v>2266</v>
      </c>
      <c r="M376" s="2" t="s">
        <v>34</v>
      </c>
      <c r="N376" s="2" t="s">
        <v>34</v>
      </c>
      <c r="O376" s="2" t="s">
        <v>2267</v>
      </c>
      <c r="P376" s="2" t="s">
        <v>36</v>
      </c>
    </row>
    <row r="377" spans="1:16" x14ac:dyDescent="0.2">
      <c r="A377" s="2" t="s">
        <v>2268</v>
      </c>
      <c r="B377" s="2">
        <v>23</v>
      </c>
      <c r="C377" s="2">
        <v>2</v>
      </c>
      <c r="D377" s="2" t="s">
        <v>29</v>
      </c>
      <c r="E377" s="2">
        <v>837</v>
      </c>
      <c r="F377" s="2" t="s">
        <v>30</v>
      </c>
      <c r="G377" s="2" t="s">
        <v>528</v>
      </c>
      <c r="H377" s="2" t="s">
        <v>2269</v>
      </c>
      <c r="I377" s="2" t="s">
        <v>2270</v>
      </c>
      <c r="J377" s="2" t="s">
        <v>34</v>
      </c>
      <c r="K377" s="2" t="s">
        <v>34</v>
      </c>
      <c r="L377" s="2" t="s">
        <v>2271</v>
      </c>
      <c r="M377" s="2" t="s">
        <v>34</v>
      </c>
      <c r="N377" s="2" t="s">
        <v>34</v>
      </c>
      <c r="O377" s="2" t="s">
        <v>2272</v>
      </c>
      <c r="P377" s="2" t="s">
        <v>36</v>
      </c>
    </row>
    <row r="378" spans="1:16" x14ac:dyDescent="0.2">
      <c r="A378" s="2" t="s">
        <v>2273</v>
      </c>
      <c r="B378" s="2">
        <v>23</v>
      </c>
      <c r="C378" s="2">
        <v>3</v>
      </c>
      <c r="D378" s="2" t="s">
        <v>29</v>
      </c>
      <c r="E378" s="2">
        <v>965</v>
      </c>
      <c r="F378" s="2" t="s">
        <v>30</v>
      </c>
      <c r="G378" s="2" t="s">
        <v>2274</v>
      </c>
      <c r="H378" s="2" t="s">
        <v>2275</v>
      </c>
      <c r="I378" s="2" t="s">
        <v>2276</v>
      </c>
      <c r="J378" s="2" t="s">
        <v>34</v>
      </c>
      <c r="K378" s="2" t="s">
        <v>34</v>
      </c>
      <c r="L378" s="2" t="s">
        <v>2277</v>
      </c>
      <c r="M378" s="2" t="s">
        <v>34</v>
      </c>
      <c r="N378" s="2" t="s">
        <v>34</v>
      </c>
      <c r="O378" s="2" t="s">
        <v>34</v>
      </c>
      <c r="P378" s="2" t="s">
        <v>36</v>
      </c>
    </row>
    <row r="379" spans="1:16" x14ac:dyDescent="0.2">
      <c r="A379" s="2" t="s">
        <v>2278</v>
      </c>
      <c r="B379" s="2">
        <v>23</v>
      </c>
      <c r="C379" s="2">
        <v>4</v>
      </c>
      <c r="D379" s="2" t="s">
        <v>29</v>
      </c>
      <c r="E379" s="2">
        <v>829</v>
      </c>
      <c r="F379" s="2" t="s">
        <v>30</v>
      </c>
      <c r="G379" s="2" t="s">
        <v>2279</v>
      </c>
      <c r="H379" s="2" t="s">
        <v>2280</v>
      </c>
      <c r="I379" s="2" t="s">
        <v>2281</v>
      </c>
      <c r="J379" s="2" t="s">
        <v>34</v>
      </c>
      <c r="K379" s="2" t="s">
        <v>34</v>
      </c>
      <c r="L379" s="2" t="s">
        <v>2282</v>
      </c>
      <c r="M379" s="2" t="s">
        <v>34</v>
      </c>
      <c r="N379" s="2" t="s">
        <v>34</v>
      </c>
      <c r="O379" s="2" t="s">
        <v>34</v>
      </c>
      <c r="P379" s="2" t="s">
        <v>36</v>
      </c>
    </row>
    <row r="380" spans="1:16" x14ac:dyDescent="0.2">
      <c r="A380" s="2" t="s">
        <v>2283</v>
      </c>
      <c r="B380" s="2">
        <v>23</v>
      </c>
      <c r="C380" s="2">
        <v>5</v>
      </c>
      <c r="D380" s="2" t="s">
        <v>29</v>
      </c>
      <c r="E380" s="2">
        <v>925</v>
      </c>
      <c r="F380" s="2" t="s">
        <v>30</v>
      </c>
      <c r="G380" s="2" t="s">
        <v>1650</v>
      </c>
      <c r="H380" s="2" t="s">
        <v>2284</v>
      </c>
      <c r="I380" s="2" t="s">
        <v>2285</v>
      </c>
      <c r="J380" s="2" t="s">
        <v>34</v>
      </c>
      <c r="K380" s="2" t="s">
        <v>34</v>
      </c>
      <c r="L380" s="2" t="s">
        <v>2286</v>
      </c>
      <c r="M380" s="2" t="s">
        <v>34</v>
      </c>
      <c r="N380" s="2" t="s">
        <v>2287</v>
      </c>
      <c r="O380" s="2" t="s">
        <v>34</v>
      </c>
      <c r="P380" s="2" t="s">
        <v>36</v>
      </c>
    </row>
    <row r="381" spans="1:16" x14ac:dyDescent="0.2">
      <c r="A381" s="2" t="s">
        <v>2288</v>
      </c>
      <c r="B381" s="2">
        <v>23</v>
      </c>
      <c r="C381" s="2">
        <v>6</v>
      </c>
      <c r="D381" s="2" t="s">
        <v>29</v>
      </c>
      <c r="E381" s="2">
        <v>904</v>
      </c>
      <c r="F381" s="2" t="s">
        <v>30</v>
      </c>
      <c r="G381" s="2" t="s">
        <v>893</v>
      </c>
      <c r="H381" s="2" t="s">
        <v>2289</v>
      </c>
      <c r="I381" s="2" t="s">
        <v>2290</v>
      </c>
      <c r="J381" s="2" t="s">
        <v>34</v>
      </c>
      <c r="K381" s="2" t="s">
        <v>34</v>
      </c>
      <c r="L381" s="2" t="s">
        <v>2291</v>
      </c>
      <c r="M381" s="2" t="s">
        <v>34</v>
      </c>
      <c r="N381" s="2" t="s">
        <v>34</v>
      </c>
      <c r="O381" s="2" t="s">
        <v>34</v>
      </c>
      <c r="P381" s="2" t="s">
        <v>78</v>
      </c>
    </row>
    <row r="382" spans="1:16" x14ac:dyDescent="0.2">
      <c r="A382" s="2" t="s">
        <v>2292</v>
      </c>
      <c r="B382" s="2">
        <v>23</v>
      </c>
      <c r="C382" s="2">
        <v>7</v>
      </c>
      <c r="D382" s="2" t="s">
        <v>71</v>
      </c>
      <c r="E382" s="2">
        <v>1490</v>
      </c>
      <c r="F382" s="2" t="s">
        <v>30</v>
      </c>
      <c r="G382" s="2" t="s">
        <v>2293</v>
      </c>
      <c r="H382" s="2" t="s">
        <v>2294</v>
      </c>
      <c r="I382" s="2" t="s">
        <v>2295</v>
      </c>
      <c r="J382" s="2" t="s">
        <v>34</v>
      </c>
      <c r="K382" s="2" t="s">
        <v>34</v>
      </c>
      <c r="L382" s="2" t="s">
        <v>2296</v>
      </c>
      <c r="M382" s="2" t="s">
        <v>34</v>
      </c>
      <c r="N382" s="2" t="s">
        <v>34</v>
      </c>
      <c r="O382" s="2" t="s">
        <v>34</v>
      </c>
      <c r="P382" s="2" t="s">
        <v>36</v>
      </c>
    </row>
    <row r="383" spans="1:16" x14ac:dyDescent="0.2">
      <c r="A383" s="2" t="s">
        <v>2297</v>
      </c>
      <c r="B383" s="2">
        <v>23</v>
      </c>
      <c r="C383" s="2">
        <v>8</v>
      </c>
      <c r="D383" s="2" t="s">
        <v>71</v>
      </c>
      <c r="E383" s="2">
        <v>1224</v>
      </c>
      <c r="F383" s="2" t="s">
        <v>30</v>
      </c>
      <c r="G383" s="2" t="s">
        <v>2298</v>
      </c>
      <c r="H383" s="2" t="s">
        <v>2299</v>
      </c>
      <c r="I383" s="2" t="s">
        <v>2300</v>
      </c>
      <c r="J383" s="2" t="s">
        <v>34</v>
      </c>
      <c r="K383" s="2" t="s">
        <v>34</v>
      </c>
      <c r="L383" s="2" t="s">
        <v>2301</v>
      </c>
      <c r="M383" s="2" t="s">
        <v>2302</v>
      </c>
      <c r="N383" s="2" t="s">
        <v>2303</v>
      </c>
      <c r="O383" s="2" t="s">
        <v>2304</v>
      </c>
      <c r="P383" s="2" t="s">
        <v>78</v>
      </c>
    </row>
    <row r="384" spans="1:16" x14ac:dyDescent="0.2">
      <c r="A384" s="2" t="s">
        <v>2305</v>
      </c>
      <c r="B384" s="2">
        <v>23</v>
      </c>
      <c r="C384" s="2">
        <v>9</v>
      </c>
      <c r="D384" s="2" t="s">
        <v>71</v>
      </c>
      <c r="E384" s="2">
        <v>1227</v>
      </c>
      <c r="F384" s="2" t="s">
        <v>30</v>
      </c>
      <c r="G384" s="2" t="s">
        <v>2306</v>
      </c>
      <c r="H384" s="2" t="s">
        <v>2307</v>
      </c>
      <c r="I384" s="2" t="s">
        <v>2308</v>
      </c>
      <c r="J384" s="2" t="s">
        <v>34</v>
      </c>
      <c r="K384" s="2" t="s">
        <v>34</v>
      </c>
      <c r="L384" s="2" t="s">
        <v>2309</v>
      </c>
      <c r="M384" s="2" t="s">
        <v>2310</v>
      </c>
      <c r="N384" s="2" t="s">
        <v>34</v>
      </c>
      <c r="O384" s="2" t="s">
        <v>2311</v>
      </c>
      <c r="P384" s="2" t="s">
        <v>36</v>
      </c>
    </row>
    <row r="385" spans="1:16" x14ac:dyDescent="0.2">
      <c r="A385" s="2" t="s">
        <v>2312</v>
      </c>
      <c r="B385" s="2">
        <v>23</v>
      </c>
      <c r="C385" s="2">
        <v>10</v>
      </c>
      <c r="D385" s="2" t="s">
        <v>71</v>
      </c>
      <c r="E385" s="2">
        <v>1338</v>
      </c>
      <c r="F385" s="2" t="s">
        <v>38</v>
      </c>
      <c r="G385" s="2" t="s">
        <v>2313</v>
      </c>
      <c r="H385" s="2" t="s">
        <v>2314</v>
      </c>
      <c r="I385" s="2" t="s">
        <v>2315</v>
      </c>
      <c r="J385" s="2" t="s">
        <v>2316</v>
      </c>
      <c r="K385" s="3">
        <v>46191</v>
      </c>
      <c r="L385" s="2" t="s">
        <v>2317</v>
      </c>
      <c r="M385" s="2" t="s">
        <v>34</v>
      </c>
      <c r="N385" s="2" t="s">
        <v>34</v>
      </c>
      <c r="O385" s="2" t="s">
        <v>34</v>
      </c>
      <c r="P385" s="2" t="s">
        <v>36</v>
      </c>
    </row>
    <row r="386" spans="1:16" x14ac:dyDescent="0.2">
      <c r="A386" s="2" t="s">
        <v>2318</v>
      </c>
      <c r="B386" s="2">
        <v>23</v>
      </c>
      <c r="C386" s="2">
        <v>11</v>
      </c>
      <c r="D386" s="2" t="s">
        <v>71</v>
      </c>
      <c r="E386" s="2">
        <v>1339</v>
      </c>
      <c r="F386" s="2" t="s">
        <v>38</v>
      </c>
      <c r="G386" s="2" t="s">
        <v>2319</v>
      </c>
      <c r="H386" s="2" t="s">
        <v>2320</v>
      </c>
      <c r="I386" s="2" t="s">
        <v>2321</v>
      </c>
      <c r="J386" s="2" t="s">
        <v>2322</v>
      </c>
      <c r="K386" s="3">
        <v>46171</v>
      </c>
      <c r="L386" s="2" t="s">
        <v>2323</v>
      </c>
      <c r="M386" s="2" t="s">
        <v>34</v>
      </c>
      <c r="N386" s="2" t="s">
        <v>2324</v>
      </c>
      <c r="O386" s="2" t="s">
        <v>34</v>
      </c>
      <c r="P386" s="2" t="s">
        <v>36</v>
      </c>
    </row>
    <row r="387" spans="1:16" x14ac:dyDescent="0.2">
      <c r="A387" s="2" t="s">
        <v>2325</v>
      </c>
      <c r="B387" s="2">
        <v>23</v>
      </c>
      <c r="C387" s="2">
        <v>12</v>
      </c>
      <c r="D387" s="2" t="s">
        <v>71</v>
      </c>
      <c r="E387" s="2">
        <v>1344</v>
      </c>
      <c r="F387" s="2" t="s">
        <v>30</v>
      </c>
      <c r="G387" s="2" t="s">
        <v>100</v>
      </c>
      <c r="H387" s="2" t="s">
        <v>2326</v>
      </c>
      <c r="I387" s="2" t="s">
        <v>2327</v>
      </c>
      <c r="J387" s="2" t="s">
        <v>34</v>
      </c>
      <c r="K387" s="2" t="s">
        <v>34</v>
      </c>
      <c r="L387" s="2" t="s">
        <v>2328</v>
      </c>
      <c r="M387" s="2" t="s">
        <v>34</v>
      </c>
      <c r="N387" s="2" t="s">
        <v>34</v>
      </c>
      <c r="O387" s="2" t="s">
        <v>34</v>
      </c>
      <c r="P387" s="2" t="s">
        <v>36</v>
      </c>
    </row>
    <row r="388" spans="1:16" x14ac:dyDescent="0.2">
      <c r="A388" s="2" t="s">
        <v>2329</v>
      </c>
      <c r="B388" s="2">
        <v>23</v>
      </c>
      <c r="C388" s="2">
        <v>13</v>
      </c>
      <c r="D388" s="2" t="s">
        <v>113</v>
      </c>
      <c r="E388" s="2">
        <v>2176</v>
      </c>
      <c r="F388" s="2" t="s">
        <v>30</v>
      </c>
      <c r="G388" s="2" t="s">
        <v>606</v>
      </c>
      <c r="H388" s="2" t="s">
        <v>2330</v>
      </c>
      <c r="I388" s="2" t="s">
        <v>2331</v>
      </c>
      <c r="J388" s="2" t="s">
        <v>34</v>
      </c>
      <c r="K388" s="2" t="s">
        <v>34</v>
      </c>
      <c r="L388" s="2" t="s">
        <v>2332</v>
      </c>
      <c r="M388" s="2" t="s">
        <v>2333</v>
      </c>
      <c r="N388" s="2" t="s">
        <v>34</v>
      </c>
      <c r="O388" s="2" t="s">
        <v>2334</v>
      </c>
      <c r="P388" s="2" t="s">
        <v>36</v>
      </c>
    </row>
    <row r="389" spans="1:16" x14ac:dyDescent="0.2">
      <c r="A389" s="2" t="s">
        <v>2335</v>
      </c>
      <c r="B389" s="2">
        <v>23</v>
      </c>
      <c r="C389" s="2">
        <v>14</v>
      </c>
      <c r="D389" s="2" t="s">
        <v>113</v>
      </c>
      <c r="E389" s="2">
        <v>1722</v>
      </c>
      <c r="F389" s="2" t="s">
        <v>30</v>
      </c>
      <c r="G389" s="2" t="s">
        <v>689</v>
      </c>
      <c r="H389" s="2" t="s">
        <v>2336</v>
      </c>
      <c r="I389" s="2" t="s">
        <v>2337</v>
      </c>
      <c r="J389" s="2" t="s">
        <v>34</v>
      </c>
      <c r="K389" s="2" t="s">
        <v>34</v>
      </c>
      <c r="L389" s="2" t="s">
        <v>2338</v>
      </c>
      <c r="M389" s="2" t="s">
        <v>2339</v>
      </c>
      <c r="N389" s="2" t="s">
        <v>34</v>
      </c>
      <c r="O389" s="2" t="s">
        <v>2340</v>
      </c>
      <c r="P389" s="2" t="s">
        <v>36</v>
      </c>
    </row>
    <row r="390" spans="1:16" x14ac:dyDescent="0.2">
      <c r="A390" s="2" t="s">
        <v>2341</v>
      </c>
      <c r="B390" s="2">
        <v>23</v>
      </c>
      <c r="C390" s="2">
        <v>15</v>
      </c>
      <c r="D390" s="2" t="s">
        <v>113</v>
      </c>
      <c r="E390" s="2">
        <v>1705</v>
      </c>
      <c r="F390" s="2" t="s">
        <v>30</v>
      </c>
      <c r="G390" s="2" t="s">
        <v>2342</v>
      </c>
      <c r="H390" s="2" t="s">
        <v>2343</v>
      </c>
      <c r="I390" s="2" t="s">
        <v>2344</v>
      </c>
      <c r="J390" s="2" t="s">
        <v>34</v>
      </c>
      <c r="K390" s="2" t="s">
        <v>34</v>
      </c>
      <c r="L390" s="2" t="s">
        <v>2345</v>
      </c>
      <c r="M390" s="2" t="s">
        <v>2346</v>
      </c>
      <c r="N390" s="2" t="s">
        <v>34</v>
      </c>
      <c r="O390" s="2" t="s">
        <v>34</v>
      </c>
      <c r="P390" s="2" t="s">
        <v>36</v>
      </c>
    </row>
    <row r="391" spans="1:16" x14ac:dyDescent="0.2">
      <c r="A391" s="2" t="s">
        <v>2347</v>
      </c>
      <c r="B391" s="2">
        <v>23</v>
      </c>
      <c r="C391" s="2">
        <v>16</v>
      </c>
      <c r="D391" s="2" t="s">
        <v>113</v>
      </c>
      <c r="E391" s="2">
        <v>1969</v>
      </c>
      <c r="F391" s="2" t="s">
        <v>38</v>
      </c>
      <c r="G391" s="2" t="s">
        <v>2348</v>
      </c>
      <c r="H391" s="2" t="s">
        <v>2349</v>
      </c>
      <c r="I391" s="2" t="s">
        <v>2350</v>
      </c>
      <c r="J391" s="2" t="s">
        <v>2351</v>
      </c>
      <c r="K391" s="3">
        <v>46367</v>
      </c>
      <c r="L391" s="2" t="s">
        <v>2352</v>
      </c>
      <c r="M391" s="2" t="s">
        <v>34</v>
      </c>
      <c r="N391" s="2" t="s">
        <v>34</v>
      </c>
      <c r="O391" s="2" t="s">
        <v>34</v>
      </c>
      <c r="P391" s="2" t="s">
        <v>36</v>
      </c>
    </row>
    <row r="392" spans="1:16" x14ac:dyDescent="0.2">
      <c r="A392" s="2" t="s">
        <v>2353</v>
      </c>
      <c r="B392" s="2">
        <v>23</v>
      </c>
      <c r="C392" s="2">
        <v>17</v>
      </c>
      <c r="D392" s="2" t="s">
        <v>144</v>
      </c>
      <c r="E392" s="2">
        <v>3435</v>
      </c>
      <c r="F392" s="2" t="s">
        <v>38</v>
      </c>
      <c r="G392" s="2" t="s">
        <v>2348</v>
      </c>
      <c r="H392" s="2" t="s">
        <v>2354</v>
      </c>
      <c r="I392" s="2" t="s">
        <v>2355</v>
      </c>
      <c r="J392" s="2" t="s">
        <v>250</v>
      </c>
      <c r="K392" s="3">
        <v>46222</v>
      </c>
      <c r="L392" s="2" t="s">
        <v>2356</v>
      </c>
      <c r="M392" s="2" t="s">
        <v>2357</v>
      </c>
      <c r="N392" s="2" t="s">
        <v>34</v>
      </c>
      <c r="O392" s="2" t="s">
        <v>2358</v>
      </c>
      <c r="P392" s="2" t="s">
        <v>36</v>
      </c>
    </row>
    <row r="393" spans="1:16" x14ac:dyDescent="0.2">
      <c r="A393" s="2" t="s">
        <v>2359</v>
      </c>
      <c r="B393" s="2">
        <v>24</v>
      </c>
      <c r="C393" s="2">
        <v>1</v>
      </c>
      <c r="D393" s="2" t="s">
        <v>29</v>
      </c>
      <c r="E393" s="2">
        <v>904</v>
      </c>
      <c r="F393" s="2" t="s">
        <v>30</v>
      </c>
      <c r="G393" s="2" t="s">
        <v>2360</v>
      </c>
      <c r="H393" s="2" t="s">
        <v>2361</v>
      </c>
      <c r="I393" s="2" t="s">
        <v>2362</v>
      </c>
      <c r="J393" s="2" t="s">
        <v>34</v>
      </c>
      <c r="K393" s="2" t="s">
        <v>34</v>
      </c>
      <c r="L393" s="2" t="s">
        <v>2363</v>
      </c>
      <c r="M393" s="2" t="s">
        <v>34</v>
      </c>
      <c r="N393" s="2" t="s">
        <v>34</v>
      </c>
      <c r="O393" s="2" t="s">
        <v>2364</v>
      </c>
      <c r="P393" s="2" t="s">
        <v>36</v>
      </c>
    </row>
    <row r="394" spans="1:16" x14ac:dyDescent="0.2">
      <c r="A394" s="2" t="s">
        <v>2365</v>
      </c>
      <c r="B394" s="2">
        <v>24</v>
      </c>
      <c r="C394" s="2">
        <v>2</v>
      </c>
      <c r="D394" s="2" t="s">
        <v>29</v>
      </c>
      <c r="E394" s="2">
        <v>909</v>
      </c>
      <c r="F394" s="2" t="s">
        <v>30</v>
      </c>
      <c r="G394" s="2" t="s">
        <v>2366</v>
      </c>
      <c r="H394" s="2" t="s">
        <v>2367</v>
      </c>
      <c r="I394" s="2" t="s">
        <v>2368</v>
      </c>
      <c r="J394" s="2" t="s">
        <v>34</v>
      </c>
      <c r="K394" s="2" t="s">
        <v>34</v>
      </c>
      <c r="L394" s="2" t="s">
        <v>2369</v>
      </c>
      <c r="M394" s="2" t="s">
        <v>34</v>
      </c>
      <c r="N394" s="2" t="s">
        <v>34</v>
      </c>
      <c r="O394" s="2" t="s">
        <v>34</v>
      </c>
      <c r="P394" s="2" t="s">
        <v>36</v>
      </c>
    </row>
    <row r="395" spans="1:16" x14ac:dyDescent="0.2">
      <c r="A395" s="2" t="s">
        <v>2370</v>
      </c>
      <c r="B395" s="2">
        <v>24</v>
      </c>
      <c r="C395" s="2">
        <v>3</v>
      </c>
      <c r="D395" s="2" t="s">
        <v>29</v>
      </c>
      <c r="E395" s="2">
        <v>897</v>
      </c>
      <c r="F395" s="2" t="s">
        <v>30</v>
      </c>
      <c r="G395" s="2" t="s">
        <v>2371</v>
      </c>
      <c r="H395" s="2" t="s">
        <v>2372</v>
      </c>
      <c r="I395" s="2" t="s">
        <v>2373</v>
      </c>
      <c r="J395" s="2" t="s">
        <v>34</v>
      </c>
      <c r="K395" s="2" t="s">
        <v>34</v>
      </c>
      <c r="L395" s="2" t="s">
        <v>2374</v>
      </c>
      <c r="M395" s="2" t="s">
        <v>34</v>
      </c>
      <c r="N395" s="2" t="s">
        <v>34</v>
      </c>
      <c r="O395" s="2" t="s">
        <v>2375</v>
      </c>
      <c r="P395" s="2" t="s">
        <v>36</v>
      </c>
    </row>
    <row r="396" spans="1:16" x14ac:dyDescent="0.2">
      <c r="A396" s="2" t="s">
        <v>2376</v>
      </c>
      <c r="B396" s="2">
        <v>24</v>
      </c>
      <c r="C396" s="2">
        <v>4</v>
      </c>
      <c r="D396" s="2" t="s">
        <v>29</v>
      </c>
      <c r="E396" s="2">
        <v>836</v>
      </c>
      <c r="F396" s="2" t="s">
        <v>30</v>
      </c>
      <c r="G396" s="2" t="s">
        <v>2377</v>
      </c>
      <c r="H396" s="2" t="s">
        <v>2378</v>
      </c>
      <c r="I396" s="2" t="s">
        <v>2379</v>
      </c>
      <c r="J396" s="2" t="s">
        <v>34</v>
      </c>
      <c r="K396" s="2" t="s">
        <v>34</v>
      </c>
      <c r="L396" s="2" t="s">
        <v>2380</v>
      </c>
      <c r="M396" s="2" t="s">
        <v>34</v>
      </c>
      <c r="N396" s="2" t="s">
        <v>34</v>
      </c>
      <c r="O396" s="2" t="s">
        <v>34</v>
      </c>
      <c r="P396" s="2" t="s">
        <v>36</v>
      </c>
    </row>
    <row r="397" spans="1:16" x14ac:dyDescent="0.2">
      <c r="A397" s="2" t="s">
        <v>2381</v>
      </c>
      <c r="B397" s="2">
        <v>24</v>
      </c>
      <c r="C397" s="2">
        <v>5</v>
      </c>
      <c r="D397" s="2" t="s">
        <v>29</v>
      </c>
      <c r="E397" s="2">
        <v>839</v>
      </c>
      <c r="F397" s="2" t="s">
        <v>30</v>
      </c>
      <c r="G397" s="2" t="s">
        <v>1779</v>
      </c>
      <c r="H397" s="2" t="s">
        <v>2382</v>
      </c>
      <c r="I397" s="2" t="s">
        <v>2383</v>
      </c>
      <c r="J397" s="2" t="s">
        <v>34</v>
      </c>
      <c r="K397" s="2" t="s">
        <v>34</v>
      </c>
      <c r="L397" s="2" t="s">
        <v>2384</v>
      </c>
      <c r="M397" s="2" t="s">
        <v>34</v>
      </c>
      <c r="N397" s="2" t="s">
        <v>34</v>
      </c>
      <c r="O397" s="2" t="s">
        <v>34</v>
      </c>
      <c r="P397" s="2" t="s">
        <v>36</v>
      </c>
    </row>
    <row r="398" spans="1:16" x14ac:dyDescent="0.2">
      <c r="A398" s="2" t="s">
        <v>2385</v>
      </c>
      <c r="B398" s="2">
        <v>24</v>
      </c>
      <c r="C398" s="2">
        <v>6</v>
      </c>
      <c r="D398" s="2" t="s">
        <v>29</v>
      </c>
      <c r="E398" s="2">
        <v>923</v>
      </c>
      <c r="F398" s="2" t="s">
        <v>38</v>
      </c>
      <c r="G398" s="2" t="s">
        <v>2386</v>
      </c>
      <c r="H398" s="2" t="s">
        <v>2387</v>
      </c>
      <c r="I398" s="2" t="s">
        <v>2388</v>
      </c>
      <c r="J398" s="2" t="s">
        <v>2389</v>
      </c>
      <c r="K398" s="3">
        <v>46426</v>
      </c>
      <c r="L398" s="2" t="s">
        <v>2390</v>
      </c>
      <c r="M398" s="2" t="s">
        <v>34</v>
      </c>
      <c r="N398" s="2" t="s">
        <v>34</v>
      </c>
      <c r="O398" s="2" t="s">
        <v>2391</v>
      </c>
      <c r="P398" s="2" t="s">
        <v>78</v>
      </c>
    </row>
    <row r="399" spans="1:16" x14ac:dyDescent="0.2">
      <c r="A399" s="2" t="s">
        <v>2392</v>
      </c>
      <c r="B399" s="2">
        <v>24</v>
      </c>
      <c r="C399" s="2">
        <v>7</v>
      </c>
      <c r="D399" s="2" t="s">
        <v>71</v>
      </c>
      <c r="E399" s="2">
        <v>1255</v>
      </c>
      <c r="F399" s="2" t="s">
        <v>30</v>
      </c>
      <c r="G399" s="2" t="s">
        <v>707</v>
      </c>
      <c r="H399" s="2" t="s">
        <v>2393</v>
      </c>
      <c r="I399" s="2" t="s">
        <v>2394</v>
      </c>
      <c r="J399" s="2" t="s">
        <v>34</v>
      </c>
      <c r="K399" s="2" t="s">
        <v>34</v>
      </c>
      <c r="L399" s="2" t="s">
        <v>2395</v>
      </c>
      <c r="M399" s="2" t="s">
        <v>2396</v>
      </c>
      <c r="N399" s="2" t="s">
        <v>34</v>
      </c>
      <c r="O399" s="2" t="s">
        <v>2397</v>
      </c>
      <c r="P399" s="2" t="s">
        <v>36</v>
      </c>
    </row>
    <row r="400" spans="1:16" x14ac:dyDescent="0.2">
      <c r="A400" s="2" t="s">
        <v>2398</v>
      </c>
      <c r="B400" s="2">
        <v>24</v>
      </c>
      <c r="C400" s="2">
        <v>8</v>
      </c>
      <c r="D400" s="2" t="s">
        <v>71</v>
      </c>
      <c r="E400" s="2">
        <v>1335</v>
      </c>
      <c r="F400" s="2" t="s">
        <v>38</v>
      </c>
      <c r="G400" s="2" t="s">
        <v>2399</v>
      </c>
      <c r="H400" s="2" t="s">
        <v>2400</v>
      </c>
      <c r="I400" s="2" t="s">
        <v>2401</v>
      </c>
      <c r="J400" s="2" t="s">
        <v>2402</v>
      </c>
      <c r="K400" s="3">
        <v>46309</v>
      </c>
      <c r="L400" s="2" t="s">
        <v>2403</v>
      </c>
      <c r="M400" s="2" t="s">
        <v>34</v>
      </c>
      <c r="N400" s="2" t="s">
        <v>34</v>
      </c>
      <c r="O400" s="2" t="s">
        <v>2404</v>
      </c>
      <c r="P400" s="2" t="s">
        <v>78</v>
      </c>
    </row>
    <row r="401" spans="1:16" x14ac:dyDescent="0.2">
      <c r="A401" s="2" t="s">
        <v>2405</v>
      </c>
      <c r="B401" s="2">
        <v>24</v>
      </c>
      <c r="C401" s="2">
        <v>9</v>
      </c>
      <c r="D401" s="2" t="s">
        <v>71</v>
      </c>
      <c r="E401" s="2">
        <v>1466</v>
      </c>
      <c r="F401" s="2" t="s">
        <v>38</v>
      </c>
      <c r="G401" s="2" t="s">
        <v>2406</v>
      </c>
      <c r="H401" s="2" t="s">
        <v>2407</v>
      </c>
      <c r="I401" s="2" t="s">
        <v>2408</v>
      </c>
      <c r="J401" s="2" t="s">
        <v>2409</v>
      </c>
      <c r="K401" s="3">
        <v>46473</v>
      </c>
      <c r="L401" s="2" t="s">
        <v>2410</v>
      </c>
      <c r="M401" s="2" t="s">
        <v>2411</v>
      </c>
      <c r="N401" s="2" t="s">
        <v>34</v>
      </c>
      <c r="O401" s="2" t="s">
        <v>2412</v>
      </c>
      <c r="P401" s="2" t="s">
        <v>36</v>
      </c>
    </row>
    <row r="402" spans="1:16" x14ac:dyDescent="0.2">
      <c r="A402" s="2" t="s">
        <v>2413</v>
      </c>
      <c r="B402" s="2">
        <v>24</v>
      </c>
      <c r="C402" s="2">
        <v>10</v>
      </c>
      <c r="D402" s="2" t="s">
        <v>71</v>
      </c>
      <c r="E402" s="2">
        <v>1288</v>
      </c>
      <c r="F402" s="2" t="s">
        <v>30</v>
      </c>
      <c r="G402" s="2" t="s">
        <v>2414</v>
      </c>
      <c r="H402" s="2" t="s">
        <v>2415</v>
      </c>
      <c r="I402" s="2" t="s">
        <v>2416</v>
      </c>
      <c r="J402" s="2" t="s">
        <v>34</v>
      </c>
      <c r="K402" s="2" t="s">
        <v>34</v>
      </c>
      <c r="L402" s="2" t="s">
        <v>2417</v>
      </c>
      <c r="M402" s="2" t="s">
        <v>34</v>
      </c>
      <c r="N402" s="2" t="s">
        <v>34</v>
      </c>
      <c r="O402" s="2" t="s">
        <v>2418</v>
      </c>
      <c r="P402" s="2" t="s">
        <v>36</v>
      </c>
    </row>
    <row r="403" spans="1:16" x14ac:dyDescent="0.2">
      <c r="A403" s="2" t="s">
        <v>2419</v>
      </c>
      <c r="B403" s="2">
        <v>24</v>
      </c>
      <c r="C403" s="2">
        <v>11</v>
      </c>
      <c r="D403" s="2" t="s">
        <v>71</v>
      </c>
      <c r="E403" s="2">
        <v>1248</v>
      </c>
      <c r="F403" s="2" t="s">
        <v>30</v>
      </c>
      <c r="G403" s="2" t="s">
        <v>2420</v>
      </c>
      <c r="H403" s="2" t="s">
        <v>2421</v>
      </c>
      <c r="I403" s="2" t="s">
        <v>2422</v>
      </c>
      <c r="J403" s="2" t="s">
        <v>34</v>
      </c>
      <c r="K403" s="2" t="s">
        <v>34</v>
      </c>
      <c r="L403" s="2" t="s">
        <v>2423</v>
      </c>
      <c r="M403" s="2" t="s">
        <v>34</v>
      </c>
      <c r="N403" s="2" t="s">
        <v>34</v>
      </c>
      <c r="O403" s="2" t="s">
        <v>34</v>
      </c>
      <c r="P403" s="2" t="s">
        <v>36</v>
      </c>
    </row>
    <row r="404" spans="1:16" x14ac:dyDescent="0.2">
      <c r="A404" s="2" t="s">
        <v>2424</v>
      </c>
      <c r="B404" s="2">
        <v>24</v>
      </c>
      <c r="C404" s="2">
        <v>12</v>
      </c>
      <c r="D404" s="2" t="s">
        <v>71</v>
      </c>
      <c r="E404" s="2">
        <v>1508</v>
      </c>
      <c r="F404" s="2" t="s">
        <v>38</v>
      </c>
      <c r="G404" s="2" t="s">
        <v>1369</v>
      </c>
      <c r="H404" s="2" t="s">
        <v>2425</v>
      </c>
      <c r="I404" s="2" t="s">
        <v>2426</v>
      </c>
      <c r="J404" s="2" t="s">
        <v>2427</v>
      </c>
      <c r="K404" s="3">
        <v>46400</v>
      </c>
      <c r="L404" s="2" t="s">
        <v>2428</v>
      </c>
      <c r="M404" s="2" t="s">
        <v>2429</v>
      </c>
      <c r="N404" s="2" t="s">
        <v>34</v>
      </c>
      <c r="O404" s="2" t="s">
        <v>34</v>
      </c>
      <c r="P404" s="2" t="s">
        <v>36</v>
      </c>
    </row>
    <row r="405" spans="1:16" x14ac:dyDescent="0.2">
      <c r="A405" s="2" t="s">
        <v>2430</v>
      </c>
      <c r="B405" s="2">
        <v>24</v>
      </c>
      <c r="C405" s="2">
        <v>13</v>
      </c>
      <c r="D405" s="2" t="s">
        <v>113</v>
      </c>
      <c r="E405" s="2">
        <v>2084</v>
      </c>
      <c r="F405" s="2" t="s">
        <v>30</v>
      </c>
      <c r="G405" s="2" t="s">
        <v>899</v>
      </c>
      <c r="H405" s="2" t="s">
        <v>2431</v>
      </c>
      <c r="I405" s="2" t="s">
        <v>2432</v>
      </c>
      <c r="J405" s="2" t="s">
        <v>34</v>
      </c>
      <c r="K405" s="2" t="s">
        <v>34</v>
      </c>
      <c r="L405" s="2" t="s">
        <v>2433</v>
      </c>
      <c r="M405" s="2" t="s">
        <v>34</v>
      </c>
      <c r="N405" s="2" t="s">
        <v>34</v>
      </c>
      <c r="O405" s="2" t="s">
        <v>34</v>
      </c>
      <c r="P405" s="2" t="s">
        <v>78</v>
      </c>
    </row>
    <row r="406" spans="1:16" x14ac:dyDescent="0.2">
      <c r="A406" s="2" t="s">
        <v>2434</v>
      </c>
      <c r="B406" s="2">
        <v>24</v>
      </c>
      <c r="C406" s="2">
        <v>14</v>
      </c>
      <c r="D406" s="2" t="s">
        <v>113</v>
      </c>
      <c r="E406" s="2">
        <v>1684</v>
      </c>
      <c r="F406" s="2" t="s">
        <v>30</v>
      </c>
      <c r="G406" s="2" t="s">
        <v>1027</v>
      </c>
      <c r="H406" s="2" t="s">
        <v>2435</v>
      </c>
      <c r="I406" s="2" t="s">
        <v>2436</v>
      </c>
      <c r="J406" s="2" t="s">
        <v>34</v>
      </c>
      <c r="K406" s="2" t="s">
        <v>34</v>
      </c>
      <c r="L406" s="2" t="s">
        <v>2437</v>
      </c>
      <c r="M406" s="2" t="s">
        <v>2438</v>
      </c>
      <c r="N406" s="2" t="s">
        <v>34</v>
      </c>
      <c r="O406" s="2" t="s">
        <v>34</v>
      </c>
      <c r="P406" s="2" t="s">
        <v>36</v>
      </c>
    </row>
    <row r="407" spans="1:16" x14ac:dyDescent="0.2">
      <c r="A407" s="2" t="s">
        <v>2439</v>
      </c>
      <c r="B407" s="2">
        <v>24</v>
      </c>
      <c r="C407" s="2">
        <v>15</v>
      </c>
      <c r="D407" s="2" t="s">
        <v>113</v>
      </c>
      <c r="E407" s="2">
        <v>2126</v>
      </c>
      <c r="F407" s="2" t="s">
        <v>30</v>
      </c>
      <c r="G407" s="2" t="s">
        <v>2440</v>
      </c>
      <c r="H407" s="2" t="s">
        <v>2441</v>
      </c>
      <c r="I407" s="2" t="s">
        <v>2442</v>
      </c>
      <c r="J407" s="2" t="s">
        <v>34</v>
      </c>
      <c r="K407" s="2" t="s">
        <v>34</v>
      </c>
      <c r="L407" s="2" t="s">
        <v>2443</v>
      </c>
      <c r="M407" s="2" t="s">
        <v>2444</v>
      </c>
      <c r="N407" s="2" t="s">
        <v>34</v>
      </c>
      <c r="O407" s="2" t="s">
        <v>34</v>
      </c>
      <c r="P407" s="2" t="s">
        <v>78</v>
      </c>
    </row>
    <row r="408" spans="1:16" x14ac:dyDescent="0.2">
      <c r="A408" s="2" t="s">
        <v>2445</v>
      </c>
      <c r="B408" s="2">
        <v>24</v>
      </c>
      <c r="C408" s="2">
        <v>16</v>
      </c>
      <c r="D408" s="2" t="s">
        <v>113</v>
      </c>
      <c r="E408" s="2">
        <v>1969</v>
      </c>
      <c r="F408" s="2" t="s">
        <v>30</v>
      </c>
      <c r="G408" s="2" t="s">
        <v>689</v>
      </c>
      <c r="H408" s="2" t="s">
        <v>2446</v>
      </c>
      <c r="I408" s="2" t="s">
        <v>2447</v>
      </c>
      <c r="J408" s="2" t="s">
        <v>34</v>
      </c>
      <c r="K408" s="2" t="s">
        <v>34</v>
      </c>
      <c r="L408" s="2" t="s">
        <v>2448</v>
      </c>
      <c r="M408" s="2" t="s">
        <v>34</v>
      </c>
      <c r="N408" s="2" t="s">
        <v>34</v>
      </c>
      <c r="O408" s="2" t="s">
        <v>34</v>
      </c>
      <c r="P408" s="2" t="s">
        <v>36</v>
      </c>
    </row>
    <row r="409" spans="1:16" x14ac:dyDescent="0.2">
      <c r="A409" s="2" t="s">
        <v>2449</v>
      </c>
      <c r="B409" s="2">
        <v>24</v>
      </c>
      <c r="C409" s="2">
        <v>17</v>
      </c>
      <c r="D409" s="2" t="s">
        <v>144</v>
      </c>
      <c r="E409" s="2">
        <v>3403</v>
      </c>
      <c r="F409" s="2" t="s">
        <v>30</v>
      </c>
      <c r="G409" s="2" t="s">
        <v>2450</v>
      </c>
      <c r="H409" s="2" t="s">
        <v>2451</v>
      </c>
      <c r="I409" s="2" t="s">
        <v>2452</v>
      </c>
      <c r="J409" s="2" t="s">
        <v>34</v>
      </c>
      <c r="K409" s="2" t="s">
        <v>34</v>
      </c>
      <c r="L409" s="2" t="s">
        <v>2453</v>
      </c>
      <c r="M409" s="2" t="s">
        <v>2454</v>
      </c>
      <c r="N409" s="2" t="s">
        <v>34</v>
      </c>
      <c r="O409" s="2" t="s">
        <v>34</v>
      </c>
      <c r="P409" s="2" t="s">
        <v>36</v>
      </c>
    </row>
    <row r="410" spans="1:16" x14ac:dyDescent="0.2">
      <c r="A410" s="2" t="s">
        <v>2455</v>
      </c>
      <c r="B410" s="2">
        <v>25</v>
      </c>
      <c r="C410" s="2">
        <v>1</v>
      </c>
      <c r="D410" s="2" t="s">
        <v>29</v>
      </c>
      <c r="E410" s="2">
        <v>941</v>
      </c>
      <c r="F410" s="2" t="s">
        <v>30</v>
      </c>
      <c r="G410" s="2" t="s">
        <v>2456</v>
      </c>
      <c r="H410" s="2" t="s">
        <v>2457</v>
      </c>
      <c r="I410" s="2" t="s">
        <v>2458</v>
      </c>
      <c r="J410" s="2" t="s">
        <v>34</v>
      </c>
      <c r="K410" s="2" t="s">
        <v>34</v>
      </c>
      <c r="L410" s="2" t="s">
        <v>2459</v>
      </c>
      <c r="M410" s="2" t="s">
        <v>34</v>
      </c>
      <c r="N410" s="2" t="s">
        <v>2460</v>
      </c>
      <c r="O410" s="2" t="s">
        <v>34</v>
      </c>
      <c r="P410" s="2" t="s">
        <v>36</v>
      </c>
    </row>
    <row r="411" spans="1:16" x14ac:dyDescent="0.2">
      <c r="A411" s="2" t="s">
        <v>2461</v>
      </c>
      <c r="B411" s="2">
        <v>25</v>
      </c>
      <c r="C411" s="2">
        <v>2</v>
      </c>
      <c r="D411" s="2" t="s">
        <v>29</v>
      </c>
      <c r="E411" s="2">
        <v>852</v>
      </c>
      <c r="F411" s="2" t="s">
        <v>30</v>
      </c>
      <c r="G411" s="2" t="s">
        <v>2462</v>
      </c>
      <c r="H411" s="2" t="s">
        <v>2463</v>
      </c>
      <c r="I411" s="2" t="s">
        <v>2464</v>
      </c>
      <c r="J411" s="2" t="s">
        <v>34</v>
      </c>
      <c r="K411" s="2" t="s">
        <v>34</v>
      </c>
      <c r="L411" s="2" t="s">
        <v>2465</v>
      </c>
      <c r="M411" s="2" t="s">
        <v>34</v>
      </c>
      <c r="N411" s="2" t="s">
        <v>34</v>
      </c>
      <c r="O411" s="2" t="s">
        <v>2466</v>
      </c>
      <c r="P411" s="2" t="s">
        <v>36</v>
      </c>
    </row>
    <row r="412" spans="1:16" x14ac:dyDescent="0.2">
      <c r="A412" s="2" t="s">
        <v>2467</v>
      </c>
      <c r="B412" s="2">
        <v>25</v>
      </c>
      <c r="C412" s="2">
        <v>3</v>
      </c>
      <c r="D412" s="2" t="s">
        <v>29</v>
      </c>
      <c r="E412" s="2">
        <v>974</v>
      </c>
      <c r="F412" s="2" t="s">
        <v>30</v>
      </c>
      <c r="G412" s="2" t="s">
        <v>2468</v>
      </c>
      <c r="H412" s="2" t="s">
        <v>2469</v>
      </c>
      <c r="I412" s="2" t="s">
        <v>2470</v>
      </c>
      <c r="J412" s="2" t="s">
        <v>34</v>
      </c>
      <c r="K412" s="2" t="s">
        <v>34</v>
      </c>
      <c r="L412" s="2" t="s">
        <v>2471</v>
      </c>
      <c r="M412" s="2" t="s">
        <v>34</v>
      </c>
      <c r="N412" s="2" t="s">
        <v>34</v>
      </c>
      <c r="O412" s="2" t="s">
        <v>2472</v>
      </c>
      <c r="P412" s="2" t="s">
        <v>36</v>
      </c>
    </row>
    <row r="413" spans="1:16" x14ac:dyDescent="0.2">
      <c r="A413" s="2" t="s">
        <v>2473</v>
      </c>
      <c r="B413" s="2">
        <v>25</v>
      </c>
      <c r="C413" s="2">
        <v>4</v>
      </c>
      <c r="D413" s="2" t="s">
        <v>29</v>
      </c>
      <c r="E413" s="2">
        <v>955</v>
      </c>
      <c r="F413" s="2" t="s">
        <v>38</v>
      </c>
      <c r="G413" s="2" t="s">
        <v>2474</v>
      </c>
      <c r="H413" s="2" t="s">
        <v>2475</v>
      </c>
      <c r="I413" s="2" t="s">
        <v>2476</v>
      </c>
      <c r="J413" s="2" t="s">
        <v>1963</v>
      </c>
      <c r="K413" s="3">
        <v>46348</v>
      </c>
      <c r="L413" s="2" t="s">
        <v>2477</v>
      </c>
      <c r="M413" s="2" t="s">
        <v>34</v>
      </c>
      <c r="N413" s="2" t="s">
        <v>34</v>
      </c>
      <c r="O413" s="2" t="s">
        <v>34</v>
      </c>
      <c r="P413" s="2" t="s">
        <v>36</v>
      </c>
    </row>
    <row r="414" spans="1:16" x14ac:dyDescent="0.2">
      <c r="A414" s="2" t="s">
        <v>2478</v>
      </c>
      <c r="B414" s="2">
        <v>25</v>
      </c>
      <c r="C414" s="2">
        <v>5</v>
      </c>
      <c r="D414" s="2" t="s">
        <v>29</v>
      </c>
      <c r="E414" s="2">
        <v>862</v>
      </c>
      <c r="F414" s="2" t="s">
        <v>30</v>
      </c>
      <c r="G414" s="2" t="s">
        <v>875</v>
      </c>
      <c r="H414" s="2" t="s">
        <v>2479</v>
      </c>
      <c r="I414" s="2" t="s">
        <v>2480</v>
      </c>
      <c r="J414" s="2" t="s">
        <v>34</v>
      </c>
      <c r="K414" s="2" t="s">
        <v>34</v>
      </c>
      <c r="L414" s="2" t="s">
        <v>2481</v>
      </c>
      <c r="M414" s="2" t="s">
        <v>34</v>
      </c>
      <c r="N414" s="2" t="s">
        <v>34</v>
      </c>
      <c r="O414" s="2" t="s">
        <v>2482</v>
      </c>
      <c r="P414" s="2" t="s">
        <v>36</v>
      </c>
    </row>
    <row r="415" spans="1:16" x14ac:dyDescent="0.2">
      <c r="A415" s="2" t="s">
        <v>2483</v>
      </c>
      <c r="B415" s="2">
        <v>25</v>
      </c>
      <c r="C415" s="2">
        <v>6</v>
      </c>
      <c r="D415" s="2" t="s">
        <v>29</v>
      </c>
      <c r="E415" s="2">
        <v>897</v>
      </c>
      <c r="F415" s="2" t="s">
        <v>30</v>
      </c>
      <c r="G415" s="2" t="s">
        <v>2484</v>
      </c>
      <c r="H415" s="2" t="s">
        <v>2485</v>
      </c>
      <c r="I415" s="2" t="s">
        <v>2486</v>
      </c>
      <c r="J415" s="2" t="s">
        <v>34</v>
      </c>
      <c r="K415" s="2" t="s">
        <v>34</v>
      </c>
      <c r="L415" s="2" t="s">
        <v>2487</v>
      </c>
      <c r="M415" s="2" t="s">
        <v>34</v>
      </c>
      <c r="N415" s="2" t="s">
        <v>34</v>
      </c>
      <c r="O415" s="2" t="s">
        <v>34</v>
      </c>
      <c r="P415" s="2" t="s">
        <v>78</v>
      </c>
    </row>
    <row r="416" spans="1:16" x14ac:dyDescent="0.2">
      <c r="A416" s="2" t="s">
        <v>2488</v>
      </c>
      <c r="B416" s="2">
        <v>25</v>
      </c>
      <c r="C416" s="2">
        <v>7</v>
      </c>
      <c r="D416" s="2" t="s">
        <v>71</v>
      </c>
      <c r="E416" s="2">
        <v>1327</v>
      </c>
      <c r="F416" s="2" t="s">
        <v>30</v>
      </c>
      <c r="G416" s="2" t="s">
        <v>2316</v>
      </c>
      <c r="H416" s="2" t="s">
        <v>2489</v>
      </c>
      <c r="I416" s="2" t="s">
        <v>2490</v>
      </c>
      <c r="J416" s="2" t="s">
        <v>34</v>
      </c>
      <c r="K416" s="2" t="s">
        <v>34</v>
      </c>
      <c r="L416" s="2" t="s">
        <v>2491</v>
      </c>
      <c r="M416" s="2" t="s">
        <v>34</v>
      </c>
      <c r="N416" s="2" t="s">
        <v>34</v>
      </c>
      <c r="O416" s="2" t="s">
        <v>2492</v>
      </c>
      <c r="P416" s="2" t="s">
        <v>36</v>
      </c>
    </row>
    <row r="417" spans="1:16" x14ac:dyDescent="0.2">
      <c r="A417" s="2" t="s">
        <v>2493</v>
      </c>
      <c r="B417" s="2">
        <v>25</v>
      </c>
      <c r="C417" s="2">
        <v>8</v>
      </c>
      <c r="D417" s="2" t="s">
        <v>71</v>
      </c>
      <c r="E417" s="2">
        <v>1492</v>
      </c>
      <c r="F417" s="2" t="s">
        <v>30</v>
      </c>
      <c r="G417" s="2" t="s">
        <v>821</v>
      </c>
      <c r="H417" s="2" t="s">
        <v>2494</v>
      </c>
      <c r="I417" s="2" t="s">
        <v>2495</v>
      </c>
      <c r="J417" s="2" t="s">
        <v>34</v>
      </c>
      <c r="K417" s="2" t="s">
        <v>34</v>
      </c>
      <c r="L417" s="2" t="s">
        <v>2496</v>
      </c>
      <c r="M417" s="2" t="s">
        <v>2497</v>
      </c>
      <c r="N417" s="2" t="s">
        <v>34</v>
      </c>
      <c r="O417" s="2" t="s">
        <v>34</v>
      </c>
      <c r="P417" s="2" t="s">
        <v>36</v>
      </c>
    </row>
    <row r="418" spans="1:16" x14ac:dyDescent="0.2">
      <c r="A418" s="2" t="s">
        <v>2498</v>
      </c>
      <c r="B418" s="2">
        <v>25</v>
      </c>
      <c r="C418" s="2">
        <v>9</v>
      </c>
      <c r="D418" s="2" t="s">
        <v>71</v>
      </c>
      <c r="E418" s="2">
        <v>1481</v>
      </c>
      <c r="F418" s="2" t="s">
        <v>30</v>
      </c>
      <c r="G418" s="2" t="s">
        <v>363</v>
      </c>
      <c r="H418" s="2" t="s">
        <v>2499</v>
      </c>
      <c r="I418" s="2" t="s">
        <v>2500</v>
      </c>
      <c r="J418" s="2" t="s">
        <v>34</v>
      </c>
      <c r="K418" s="2" t="s">
        <v>34</v>
      </c>
      <c r="L418" s="2" t="s">
        <v>2501</v>
      </c>
      <c r="M418" s="2" t="s">
        <v>2502</v>
      </c>
      <c r="N418" s="2" t="s">
        <v>2503</v>
      </c>
      <c r="O418" s="2" t="s">
        <v>2504</v>
      </c>
      <c r="P418" s="2" t="s">
        <v>36</v>
      </c>
    </row>
    <row r="419" spans="1:16" x14ac:dyDescent="0.2">
      <c r="A419" s="2" t="s">
        <v>2505</v>
      </c>
      <c r="B419" s="2">
        <v>25</v>
      </c>
      <c r="C419" s="2">
        <v>10</v>
      </c>
      <c r="D419" s="2" t="s">
        <v>71</v>
      </c>
      <c r="E419" s="2">
        <v>1230</v>
      </c>
      <c r="F419" s="2" t="s">
        <v>38</v>
      </c>
      <c r="G419" s="2" t="s">
        <v>2506</v>
      </c>
      <c r="H419" s="2" t="s">
        <v>2507</v>
      </c>
      <c r="I419" s="2" t="s">
        <v>2508</v>
      </c>
      <c r="J419" s="2" t="s">
        <v>2509</v>
      </c>
      <c r="K419" s="3">
        <v>46251</v>
      </c>
      <c r="L419" s="2" t="s">
        <v>2510</v>
      </c>
      <c r="M419" s="2" t="s">
        <v>2511</v>
      </c>
      <c r="N419" s="2" t="s">
        <v>2512</v>
      </c>
      <c r="O419" s="2" t="s">
        <v>34</v>
      </c>
      <c r="P419" s="2" t="s">
        <v>36</v>
      </c>
    </row>
    <row r="420" spans="1:16" x14ac:dyDescent="0.2">
      <c r="A420" s="2" t="s">
        <v>2513</v>
      </c>
      <c r="B420" s="2">
        <v>25</v>
      </c>
      <c r="C420" s="2">
        <v>11</v>
      </c>
      <c r="D420" s="2" t="s">
        <v>71</v>
      </c>
      <c r="E420" s="2">
        <v>1486</v>
      </c>
      <c r="F420" s="2" t="s">
        <v>30</v>
      </c>
      <c r="G420" s="2" t="s">
        <v>2514</v>
      </c>
      <c r="H420" s="2" t="s">
        <v>2515</v>
      </c>
      <c r="I420" s="2" t="s">
        <v>2516</v>
      </c>
      <c r="J420" s="2" t="s">
        <v>34</v>
      </c>
      <c r="K420" s="2" t="s">
        <v>34</v>
      </c>
      <c r="L420" s="2" t="s">
        <v>2517</v>
      </c>
      <c r="M420" s="2" t="s">
        <v>2518</v>
      </c>
      <c r="N420" s="2" t="s">
        <v>34</v>
      </c>
      <c r="O420" s="2" t="s">
        <v>34</v>
      </c>
      <c r="P420" s="2" t="s">
        <v>78</v>
      </c>
    </row>
    <row r="421" spans="1:16" x14ac:dyDescent="0.2">
      <c r="A421" s="2" t="s">
        <v>2519</v>
      </c>
      <c r="B421" s="2">
        <v>25</v>
      </c>
      <c r="C421" s="2">
        <v>12</v>
      </c>
      <c r="D421" s="2" t="s">
        <v>71</v>
      </c>
      <c r="E421" s="2">
        <v>1236</v>
      </c>
      <c r="F421" s="2" t="s">
        <v>30</v>
      </c>
      <c r="G421" s="2" t="s">
        <v>532</v>
      </c>
      <c r="H421" s="2" t="s">
        <v>2520</v>
      </c>
      <c r="I421" s="2" t="s">
        <v>2521</v>
      </c>
      <c r="J421" s="2" t="s">
        <v>34</v>
      </c>
      <c r="K421" s="2" t="s">
        <v>34</v>
      </c>
      <c r="L421" s="2" t="s">
        <v>2522</v>
      </c>
      <c r="M421" s="2" t="s">
        <v>2523</v>
      </c>
      <c r="N421" s="2" t="s">
        <v>34</v>
      </c>
      <c r="O421" s="2" t="s">
        <v>34</v>
      </c>
      <c r="P421" s="2" t="s">
        <v>36</v>
      </c>
    </row>
    <row r="422" spans="1:16" x14ac:dyDescent="0.2">
      <c r="A422" s="2" t="s">
        <v>2524</v>
      </c>
      <c r="B422" s="2">
        <v>25</v>
      </c>
      <c r="C422" s="2">
        <v>13</v>
      </c>
      <c r="D422" s="2" t="s">
        <v>113</v>
      </c>
      <c r="E422" s="2">
        <v>1815</v>
      </c>
      <c r="F422" s="2" t="s">
        <v>30</v>
      </c>
      <c r="G422" s="2" t="s">
        <v>2525</v>
      </c>
      <c r="H422" s="2" t="s">
        <v>2526</v>
      </c>
      <c r="I422" s="2" t="s">
        <v>2527</v>
      </c>
      <c r="J422" s="2" t="s">
        <v>34</v>
      </c>
      <c r="K422" s="2" t="s">
        <v>34</v>
      </c>
      <c r="L422" s="2" t="s">
        <v>2528</v>
      </c>
      <c r="M422" s="2" t="s">
        <v>2529</v>
      </c>
      <c r="N422" s="2" t="s">
        <v>34</v>
      </c>
      <c r="O422" s="2" t="s">
        <v>34</v>
      </c>
      <c r="P422" s="2" t="s">
        <v>78</v>
      </c>
    </row>
    <row r="423" spans="1:16" x14ac:dyDescent="0.2">
      <c r="A423" s="2" t="s">
        <v>2530</v>
      </c>
      <c r="B423" s="2">
        <v>25</v>
      </c>
      <c r="C423" s="2">
        <v>14</v>
      </c>
      <c r="D423" s="2" t="s">
        <v>113</v>
      </c>
      <c r="E423" s="2">
        <v>1721</v>
      </c>
      <c r="F423" s="2" t="s">
        <v>38</v>
      </c>
      <c r="G423" s="2" t="s">
        <v>543</v>
      </c>
      <c r="H423" s="2" t="s">
        <v>2531</v>
      </c>
      <c r="I423" s="2" t="s">
        <v>2532</v>
      </c>
      <c r="J423" s="2" t="s">
        <v>1116</v>
      </c>
      <c r="K423" s="3">
        <v>46440</v>
      </c>
      <c r="L423" s="2" t="s">
        <v>2533</v>
      </c>
      <c r="M423" s="2" t="s">
        <v>2534</v>
      </c>
      <c r="N423" s="2" t="s">
        <v>34</v>
      </c>
      <c r="O423" s="2" t="s">
        <v>34</v>
      </c>
      <c r="P423" s="2" t="s">
        <v>36</v>
      </c>
    </row>
    <row r="424" spans="1:16" x14ac:dyDescent="0.2">
      <c r="A424" s="2" t="s">
        <v>2535</v>
      </c>
      <c r="B424" s="2">
        <v>25</v>
      </c>
      <c r="C424" s="2">
        <v>15</v>
      </c>
      <c r="D424" s="2" t="s">
        <v>113</v>
      </c>
      <c r="E424" s="2">
        <v>1915</v>
      </c>
      <c r="F424" s="2" t="s">
        <v>30</v>
      </c>
      <c r="G424" s="2" t="s">
        <v>2536</v>
      </c>
      <c r="H424" s="2" t="s">
        <v>2537</v>
      </c>
      <c r="I424" s="2" t="s">
        <v>2538</v>
      </c>
      <c r="J424" s="2" t="s">
        <v>34</v>
      </c>
      <c r="K424" s="2" t="s">
        <v>34</v>
      </c>
      <c r="L424" s="2" t="s">
        <v>2539</v>
      </c>
      <c r="M424" s="2" t="s">
        <v>34</v>
      </c>
      <c r="N424" s="2" t="s">
        <v>2540</v>
      </c>
      <c r="O424" s="2" t="s">
        <v>34</v>
      </c>
      <c r="P424" s="2" t="s">
        <v>36</v>
      </c>
    </row>
    <row r="425" spans="1:16" x14ac:dyDescent="0.2">
      <c r="A425" s="2" t="s">
        <v>2541</v>
      </c>
      <c r="B425" s="2">
        <v>25</v>
      </c>
      <c r="C425" s="2">
        <v>16</v>
      </c>
      <c r="D425" s="2" t="s">
        <v>113</v>
      </c>
      <c r="E425" s="2">
        <v>2049</v>
      </c>
      <c r="F425" s="2" t="s">
        <v>30</v>
      </c>
      <c r="G425" s="2" t="s">
        <v>2542</v>
      </c>
      <c r="H425" s="2" t="s">
        <v>2543</v>
      </c>
      <c r="I425" s="2" t="s">
        <v>2544</v>
      </c>
      <c r="J425" s="2" t="s">
        <v>34</v>
      </c>
      <c r="K425" s="2" t="s">
        <v>34</v>
      </c>
      <c r="L425" s="2" t="s">
        <v>2545</v>
      </c>
      <c r="M425" s="2" t="s">
        <v>2546</v>
      </c>
      <c r="N425" s="2" t="s">
        <v>34</v>
      </c>
      <c r="O425" s="2" t="s">
        <v>2547</v>
      </c>
      <c r="P425" s="2" t="s">
        <v>36</v>
      </c>
    </row>
    <row r="426" spans="1:16" x14ac:dyDescent="0.2">
      <c r="A426" s="2" t="s">
        <v>2548</v>
      </c>
      <c r="B426" s="2">
        <v>25</v>
      </c>
      <c r="C426" s="2">
        <v>17</v>
      </c>
      <c r="D426" s="2" t="s">
        <v>144</v>
      </c>
      <c r="E426" s="2">
        <v>2943</v>
      </c>
      <c r="F426" s="2" t="s">
        <v>30</v>
      </c>
      <c r="G426" s="2" t="s">
        <v>2549</v>
      </c>
      <c r="H426" s="2" t="s">
        <v>2550</v>
      </c>
      <c r="I426" s="2" t="s">
        <v>2551</v>
      </c>
      <c r="J426" s="2" t="s">
        <v>34</v>
      </c>
      <c r="K426" s="2" t="s">
        <v>34</v>
      </c>
      <c r="L426" s="2" t="s">
        <v>2552</v>
      </c>
      <c r="M426" s="2" t="s">
        <v>2553</v>
      </c>
      <c r="N426" s="2" t="s">
        <v>34</v>
      </c>
      <c r="O426" s="2" t="s">
        <v>34</v>
      </c>
      <c r="P426" s="2" t="s">
        <v>78</v>
      </c>
    </row>
    <row r="427" spans="1:16" x14ac:dyDescent="0.2">
      <c r="A427" s="2" t="s">
        <v>2554</v>
      </c>
      <c r="B427" s="2">
        <v>26</v>
      </c>
      <c r="C427" s="2">
        <v>1</v>
      </c>
      <c r="D427" s="2" t="s">
        <v>29</v>
      </c>
      <c r="E427" s="2">
        <v>911</v>
      </c>
      <c r="F427" s="2" t="s">
        <v>30</v>
      </c>
      <c r="G427" s="2" t="s">
        <v>193</v>
      </c>
      <c r="H427" s="2" t="s">
        <v>2555</v>
      </c>
      <c r="I427" s="2" t="s">
        <v>2556</v>
      </c>
      <c r="J427" s="2" t="s">
        <v>34</v>
      </c>
      <c r="K427" s="2" t="s">
        <v>34</v>
      </c>
      <c r="L427" s="2" t="s">
        <v>2557</v>
      </c>
      <c r="M427" s="2" t="s">
        <v>34</v>
      </c>
      <c r="N427" s="2" t="s">
        <v>34</v>
      </c>
      <c r="O427" s="2" t="s">
        <v>2558</v>
      </c>
      <c r="P427" s="2" t="s">
        <v>36</v>
      </c>
    </row>
    <row r="428" spans="1:16" x14ac:dyDescent="0.2">
      <c r="A428" s="2" t="s">
        <v>2559</v>
      </c>
      <c r="B428" s="2">
        <v>26</v>
      </c>
      <c r="C428" s="2">
        <v>2</v>
      </c>
      <c r="D428" s="2" t="s">
        <v>29</v>
      </c>
      <c r="E428" s="2">
        <v>937</v>
      </c>
      <c r="F428" s="2" t="s">
        <v>30</v>
      </c>
      <c r="G428" s="2" t="s">
        <v>2113</v>
      </c>
      <c r="H428" s="2" t="s">
        <v>2560</v>
      </c>
      <c r="I428" s="2" t="s">
        <v>2561</v>
      </c>
      <c r="J428" s="2" t="s">
        <v>34</v>
      </c>
      <c r="K428" s="2" t="s">
        <v>34</v>
      </c>
      <c r="L428" s="2" t="s">
        <v>2562</v>
      </c>
      <c r="M428" s="2" t="s">
        <v>34</v>
      </c>
      <c r="N428" s="2" t="s">
        <v>34</v>
      </c>
      <c r="O428" s="2" t="s">
        <v>2563</v>
      </c>
      <c r="P428" s="2" t="s">
        <v>78</v>
      </c>
    </row>
    <row r="429" spans="1:16" x14ac:dyDescent="0.2">
      <c r="A429" s="2" t="s">
        <v>2564</v>
      </c>
      <c r="B429" s="2">
        <v>26</v>
      </c>
      <c r="C429" s="2">
        <v>3</v>
      </c>
      <c r="D429" s="2" t="s">
        <v>29</v>
      </c>
      <c r="E429" s="2">
        <v>911</v>
      </c>
      <c r="F429" s="2" t="s">
        <v>30</v>
      </c>
      <c r="G429" s="2" t="s">
        <v>955</v>
      </c>
      <c r="H429" s="2" t="s">
        <v>2565</v>
      </c>
      <c r="I429" s="2" t="s">
        <v>2566</v>
      </c>
      <c r="J429" s="2" t="s">
        <v>34</v>
      </c>
      <c r="K429" s="2" t="s">
        <v>34</v>
      </c>
      <c r="L429" s="2" t="s">
        <v>2567</v>
      </c>
      <c r="M429" s="2" t="s">
        <v>34</v>
      </c>
      <c r="N429" s="2" t="s">
        <v>2568</v>
      </c>
      <c r="O429" s="2" t="s">
        <v>2569</v>
      </c>
      <c r="P429" s="2" t="s">
        <v>78</v>
      </c>
    </row>
    <row r="430" spans="1:16" x14ac:dyDescent="0.2">
      <c r="A430" s="2" t="s">
        <v>2570</v>
      </c>
      <c r="B430" s="2">
        <v>26</v>
      </c>
      <c r="C430" s="2">
        <v>4</v>
      </c>
      <c r="D430" s="2" t="s">
        <v>29</v>
      </c>
      <c r="E430" s="2">
        <v>881</v>
      </c>
      <c r="F430" s="2" t="s">
        <v>38</v>
      </c>
      <c r="G430" s="2" t="s">
        <v>2571</v>
      </c>
      <c r="H430" s="2" t="s">
        <v>2572</v>
      </c>
      <c r="I430" s="2" t="s">
        <v>2573</v>
      </c>
      <c r="J430" s="2" t="s">
        <v>2574</v>
      </c>
      <c r="K430" s="3">
        <v>46499</v>
      </c>
      <c r="L430" s="2" t="s">
        <v>2575</v>
      </c>
      <c r="M430" s="2" t="s">
        <v>34</v>
      </c>
      <c r="N430" s="2" t="s">
        <v>2576</v>
      </c>
      <c r="O430" s="2" t="s">
        <v>34</v>
      </c>
      <c r="P430" s="2" t="s">
        <v>36</v>
      </c>
    </row>
    <row r="431" spans="1:16" x14ac:dyDescent="0.2">
      <c r="A431" s="2" t="s">
        <v>2577</v>
      </c>
      <c r="B431" s="2">
        <v>26</v>
      </c>
      <c r="C431" s="2">
        <v>5</v>
      </c>
      <c r="D431" s="2" t="s">
        <v>29</v>
      </c>
      <c r="E431" s="2">
        <v>906</v>
      </c>
      <c r="F431" s="2" t="s">
        <v>30</v>
      </c>
      <c r="G431" s="2" t="s">
        <v>1394</v>
      </c>
      <c r="H431" s="2" t="s">
        <v>2578</v>
      </c>
      <c r="I431" s="2" t="s">
        <v>2579</v>
      </c>
      <c r="J431" s="2" t="s">
        <v>34</v>
      </c>
      <c r="K431" s="2" t="s">
        <v>34</v>
      </c>
      <c r="L431" s="2" t="s">
        <v>2580</v>
      </c>
      <c r="M431" s="2" t="s">
        <v>34</v>
      </c>
      <c r="N431" s="2" t="s">
        <v>34</v>
      </c>
      <c r="O431" s="2" t="s">
        <v>34</v>
      </c>
      <c r="P431" s="2" t="s">
        <v>78</v>
      </c>
    </row>
    <row r="432" spans="1:16" x14ac:dyDescent="0.2">
      <c r="A432" s="2" t="s">
        <v>2581</v>
      </c>
      <c r="B432" s="2">
        <v>26</v>
      </c>
      <c r="C432" s="2">
        <v>6</v>
      </c>
      <c r="D432" s="2" t="s">
        <v>29</v>
      </c>
      <c r="E432" s="2">
        <v>957</v>
      </c>
      <c r="F432" s="2" t="s">
        <v>30</v>
      </c>
      <c r="G432" s="2" t="s">
        <v>2582</v>
      </c>
      <c r="H432" s="2" t="s">
        <v>2583</v>
      </c>
      <c r="I432" s="2" t="s">
        <v>2584</v>
      </c>
      <c r="J432" s="2" t="s">
        <v>34</v>
      </c>
      <c r="K432" s="2" t="s">
        <v>34</v>
      </c>
      <c r="L432" s="2" t="s">
        <v>2585</v>
      </c>
      <c r="M432" s="2" t="s">
        <v>34</v>
      </c>
      <c r="N432" s="2" t="s">
        <v>34</v>
      </c>
      <c r="O432" s="2" t="s">
        <v>34</v>
      </c>
      <c r="P432" s="2" t="s">
        <v>78</v>
      </c>
    </row>
    <row r="433" spans="1:16" x14ac:dyDescent="0.2">
      <c r="A433" s="2" t="s">
        <v>2586</v>
      </c>
      <c r="B433" s="2">
        <v>26</v>
      </c>
      <c r="C433" s="2">
        <v>7</v>
      </c>
      <c r="D433" s="2" t="s">
        <v>71</v>
      </c>
      <c r="E433" s="2">
        <v>1304</v>
      </c>
      <c r="F433" s="2" t="s">
        <v>30</v>
      </c>
      <c r="G433" s="2" t="s">
        <v>2587</v>
      </c>
      <c r="H433" s="2" t="s">
        <v>2588</v>
      </c>
      <c r="I433" s="2" t="s">
        <v>2589</v>
      </c>
      <c r="J433" s="2" t="s">
        <v>34</v>
      </c>
      <c r="K433" s="2" t="s">
        <v>34</v>
      </c>
      <c r="L433" s="2" t="s">
        <v>2590</v>
      </c>
      <c r="M433" s="2" t="s">
        <v>2591</v>
      </c>
      <c r="N433" s="2" t="s">
        <v>34</v>
      </c>
      <c r="O433" s="2" t="s">
        <v>34</v>
      </c>
      <c r="P433" s="2" t="s">
        <v>36</v>
      </c>
    </row>
    <row r="434" spans="1:16" x14ac:dyDescent="0.2">
      <c r="A434" s="2" t="s">
        <v>2592</v>
      </c>
      <c r="B434" s="2">
        <v>26</v>
      </c>
      <c r="C434" s="2">
        <v>8</v>
      </c>
      <c r="D434" s="2" t="s">
        <v>71</v>
      </c>
      <c r="E434" s="2">
        <v>1212</v>
      </c>
      <c r="F434" s="2" t="s">
        <v>30</v>
      </c>
      <c r="G434" s="2" t="s">
        <v>2593</v>
      </c>
      <c r="H434" s="2" t="s">
        <v>2594</v>
      </c>
      <c r="I434" s="2" t="s">
        <v>2595</v>
      </c>
      <c r="J434" s="2" t="s">
        <v>34</v>
      </c>
      <c r="K434" s="2" t="s">
        <v>34</v>
      </c>
      <c r="L434" s="2" t="s">
        <v>2596</v>
      </c>
      <c r="M434" s="2" t="s">
        <v>2597</v>
      </c>
      <c r="N434" s="2" t="s">
        <v>34</v>
      </c>
      <c r="O434" s="2" t="s">
        <v>34</v>
      </c>
      <c r="P434" s="2" t="s">
        <v>78</v>
      </c>
    </row>
    <row r="435" spans="1:16" x14ac:dyDescent="0.2">
      <c r="A435" s="2" t="s">
        <v>2598</v>
      </c>
      <c r="B435" s="2">
        <v>26</v>
      </c>
      <c r="C435" s="2">
        <v>9</v>
      </c>
      <c r="D435" s="2" t="s">
        <v>71</v>
      </c>
      <c r="E435" s="2">
        <v>1346</v>
      </c>
      <c r="F435" s="2" t="s">
        <v>30</v>
      </c>
      <c r="G435" s="2" t="s">
        <v>723</v>
      </c>
      <c r="H435" s="2" t="s">
        <v>2599</v>
      </c>
      <c r="I435" s="2" t="s">
        <v>2600</v>
      </c>
      <c r="J435" s="2" t="s">
        <v>34</v>
      </c>
      <c r="K435" s="2" t="s">
        <v>34</v>
      </c>
      <c r="L435" s="2" t="s">
        <v>2601</v>
      </c>
      <c r="M435" s="2" t="s">
        <v>34</v>
      </c>
      <c r="N435" s="2" t="s">
        <v>2602</v>
      </c>
      <c r="O435" s="2" t="s">
        <v>2603</v>
      </c>
      <c r="P435" s="2" t="s">
        <v>36</v>
      </c>
    </row>
    <row r="436" spans="1:16" x14ac:dyDescent="0.2">
      <c r="A436" s="2" t="s">
        <v>2604</v>
      </c>
      <c r="B436" s="2">
        <v>26</v>
      </c>
      <c r="C436" s="2">
        <v>10</v>
      </c>
      <c r="D436" s="2" t="s">
        <v>71</v>
      </c>
      <c r="E436" s="2">
        <v>1241</v>
      </c>
      <c r="F436" s="2" t="s">
        <v>38</v>
      </c>
      <c r="G436" s="2" t="s">
        <v>2342</v>
      </c>
      <c r="H436" s="2" t="s">
        <v>2605</v>
      </c>
      <c r="I436" s="2" t="s">
        <v>2606</v>
      </c>
      <c r="J436" s="2" t="s">
        <v>606</v>
      </c>
      <c r="K436" s="3">
        <v>46199</v>
      </c>
      <c r="L436" s="2" t="s">
        <v>2607</v>
      </c>
      <c r="M436" s="2" t="s">
        <v>2608</v>
      </c>
      <c r="N436" s="2" t="s">
        <v>34</v>
      </c>
      <c r="O436" s="2" t="s">
        <v>34</v>
      </c>
      <c r="P436" s="2" t="s">
        <v>78</v>
      </c>
    </row>
    <row r="437" spans="1:16" x14ac:dyDescent="0.2">
      <c r="A437" s="2" t="s">
        <v>2609</v>
      </c>
      <c r="B437" s="2">
        <v>26</v>
      </c>
      <c r="C437" s="2">
        <v>11</v>
      </c>
      <c r="D437" s="2" t="s">
        <v>71</v>
      </c>
      <c r="E437" s="2">
        <v>1372</v>
      </c>
      <c r="F437" s="2" t="s">
        <v>38</v>
      </c>
      <c r="G437" s="2" t="s">
        <v>65</v>
      </c>
      <c r="H437" s="2" t="s">
        <v>2610</v>
      </c>
      <c r="I437" s="2" t="s">
        <v>2611</v>
      </c>
      <c r="J437" s="2" t="s">
        <v>1923</v>
      </c>
      <c r="K437" s="3">
        <v>46175</v>
      </c>
      <c r="L437" s="2" t="s">
        <v>2612</v>
      </c>
      <c r="M437" s="2" t="s">
        <v>2613</v>
      </c>
      <c r="N437" s="2" t="s">
        <v>34</v>
      </c>
      <c r="O437" s="2" t="s">
        <v>2614</v>
      </c>
      <c r="P437" s="2" t="s">
        <v>78</v>
      </c>
    </row>
    <row r="438" spans="1:16" x14ac:dyDescent="0.2">
      <c r="A438" s="2" t="s">
        <v>2615</v>
      </c>
      <c r="B438" s="2">
        <v>26</v>
      </c>
      <c r="C438" s="2">
        <v>12</v>
      </c>
      <c r="D438" s="2" t="s">
        <v>71</v>
      </c>
      <c r="E438" s="2">
        <v>1244</v>
      </c>
      <c r="F438" s="2" t="s">
        <v>30</v>
      </c>
      <c r="G438" s="2" t="s">
        <v>2616</v>
      </c>
      <c r="H438" s="2" t="s">
        <v>2617</v>
      </c>
      <c r="I438" s="2" t="s">
        <v>2618</v>
      </c>
      <c r="J438" s="2" t="s">
        <v>34</v>
      </c>
      <c r="K438" s="2" t="s">
        <v>34</v>
      </c>
      <c r="L438" s="2" t="s">
        <v>2619</v>
      </c>
      <c r="M438" s="2" t="s">
        <v>2620</v>
      </c>
      <c r="N438" s="2" t="s">
        <v>34</v>
      </c>
      <c r="O438" s="2" t="s">
        <v>34</v>
      </c>
      <c r="P438" s="2" t="s">
        <v>36</v>
      </c>
    </row>
    <row r="439" spans="1:16" x14ac:dyDescent="0.2">
      <c r="A439" s="2" t="s">
        <v>2621</v>
      </c>
      <c r="B439" s="2">
        <v>26</v>
      </c>
      <c r="C439" s="2">
        <v>13</v>
      </c>
      <c r="D439" s="2" t="s">
        <v>113</v>
      </c>
      <c r="E439" s="2">
        <v>1740</v>
      </c>
      <c r="F439" s="2" t="s">
        <v>38</v>
      </c>
      <c r="G439" s="2" t="s">
        <v>385</v>
      </c>
      <c r="H439" s="2" t="s">
        <v>2622</v>
      </c>
      <c r="I439" s="2" t="s">
        <v>2623</v>
      </c>
      <c r="J439" s="2" t="s">
        <v>928</v>
      </c>
      <c r="K439" s="3">
        <v>46372</v>
      </c>
      <c r="L439" s="2" t="s">
        <v>2624</v>
      </c>
      <c r="M439" s="2" t="s">
        <v>2625</v>
      </c>
      <c r="N439" s="2" t="s">
        <v>34</v>
      </c>
      <c r="O439" s="2" t="s">
        <v>34</v>
      </c>
      <c r="P439" s="2" t="s">
        <v>36</v>
      </c>
    </row>
    <row r="440" spans="1:16" x14ac:dyDescent="0.2">
      <c r="A440" s="2" t="s">
        <v>2626</v>
      </c>
      <c r="B440" s="2">
        <v>26</v>
      </c>
      <c r="C440" s="2">
        <v>14</v>
      </c>
      <c r="D440" s="2" t="s">
        <v>113</v>
      </c>
      <c r="E440" s="2">
        <v>1874</v>
      </c>
      <c r="F440" s="2" t="s">
        <v>38</v>
      </c>
      <c r="G440" s="2" t="s">
        <v>2627</v>
      </c>
      <c r="H440" s="2" t="s">
        <v>2628</v>
      </c>
      <c r="I440" s="2" t="s">
        <v>2629</v>
      </c>
      <c r="J440" s="2" t="s">
        <v>117</v>
      </c>
      <c r="K440" s="3">
        <v>46218</v>
      </c>
      <c r="L440" s="2" t="s">
        <v>2630</v>
      </c>
      <c r="M440" s="2" t="s">
        <v>34</v>
      </c>
      <c r="N440" s="2" t="s">
        <v>34</v>
      </c>
      <c r="O440" s="2" t="s">
        <v>34</v>
      </c>
      <c r="P440" s="2" t="s">
        <v>36</v>
      </c>
    </row>
    <row r="441" spans="1:16" x14ac:dyDescent="0.2">
      <c r="A441" s="2" t="s">
        <v>2631</v>
      </c>
      <c r="B441" s="2">
        <v>26</v>
      </c>
      <c r="C441" s="2">
        <v>15</v>
      </c>
      <c r="D441" s="2" t="s">
        <v>113</v>
      </c>
      <c r="E441" s="2">
        <v>1694</v>
      </c>
      <c r="F441" s="2" t="s">
        <v>30</v>
      </c>
      <c r="G441" s="2" t="s">
        <v>1452</v>
      </c>
      <c r="H441" s="2" t="s">
        <v>2632</v>
      </c>
      <c r="I441" s="2" t="s">
        <v>2633</v>
      </c>
      <c r="J441" s="2" t="s">
        <v>34</v>
      </c>
      <c r="K441" s="2" t="s">
        <v>34</v>
      </c>
      <c r="L441" s="2" t="s">
        <v>2634</v>
      </c>
      <c r="M441" s="2" t="s">
        <v>2635</v>
      </c>
      <c r="N441" s="2" t="s">
        <v>34</v>
      </c>
      <c r="O441" s="2" t="s">
        <v>2636</v>
      </c>
      <c r="P441" s="2" t="s">
        <v>36</v>
      </c>
    </row>
    <row r="442" spans="1:16" x14ac:dyDescent="0.2">
      <c r="A442" s="2" t="s">
        <v>2637</v>
      </c>
      <c r="B442" s="2">
        <v>26</v>
      </c>
      <c r="C442" s="2">
        <v>16</v>
      </c>
      <c r="D442" s="2" t="s">
        <v>113</v>
      </c>
      <c r="E442" s="2">
        <v>1703</v>
      </c>
      <c r="F442" s="2" t="s">
        <v>30</v>
      </c>
      <c r="G442" s="2" t="s">
        <v>1209</v>
      </c>
      <c r="H442" s="2" t="s">
        <v>2638</v>
      </c>
      <c r="I442" s="2" t="s">
        <v>2639</v>
      </c>
      <c r="J442" s="2" t="s">
        <v>34</v>
      </c>
      <c r="K442" s="2" t="s">
        <v>34</v>
      </c>
      <c r="L442" s="2" t="s">
        <v>2640</v>
      </c>
      <c r="M442" s="2" t="s">
        <v>2641</v>
      </c>
      <c r="N442" s="2" t="s">
        <v>34</v>
      </c>
      <c r="O442" s="2" t="s">
        <v>2642</v>
      </c>
      <c r="P442" s="2" t="s">
        <v>36</v>
      </c>
    </row>
    <row r="443" spans="1:16" x14ac:dyDescent="0.2">
      <c r="A443" s="2" t="s">
        <v>2643</v>
      </c>
      <c r="B443" s="2">
        <v>26</v>
      </c>
      <c r="C443" s="2">
        <v>17</v>
      </c>
      <c r="D443" s="2" t="s">
        <v>144</v>
      </c>
      <c r="E443" s="2">
        <v>3658</v>
      </c>
      <c r="F443" s="2" t="s">
        <v>30</v>
      </c>
      <c r="G443" s="2" t="s">
        <v>2644</v>
      </c>
      <c r="H443" s="2" t="s">
        <v>2645</v>
      </c>
      <c r="I443" s="2" t="s">
        <v>2646</v>
      </c>
      <c r="J443" s="2" t="s">
        <v>34</v>
      </c>
      <c r="K443" s="2" t="s">
        <v>34</v>
      </c>
      <c r="L443" s="2" t="s">
        <v>2647</v>
      </c>
      <c r="M443" s="2" t="s">
        <v>2648</v>
      </c>
      <c r="N443" s="2" t="s">
        <v>2649</v>
      </c>
      <c r="O443" s="2" t="s">
        <v>2650</v>
      </c>
      <c r="P443" s="2" t="s">
        <v>36</v>
      </c>
    </row>
    <row r="444" spans="1:16" x14ac:dyDescent="0.2">
      <c r="A444" s="2" t="s">
        <v>2651</v>
      </c>
      <c r="B444" s="2">
        <v>27</v>
      </c>
      <c r="C444" s="2">
        <v>1</v>
      </c>
      <c r="D444" s="2" t="s">
        <v>29</v>
      </c>
      <c r="E444" s="2">
        <v>871</v>
      </c>
      <c r="F444" s="2" t="s">
        <v>30</v>
      </c>
      <c r="G444" s="2" t="s">
        <v>556</v>
      </c>
      <c r="H444" s="2" t="s">
        <v>2652</v>
      </c>
      <c r="I444" s="2" t="s">
        <v>2653</v>
      </c>
      <c r="J444" s="2" t="s">
        <v>34</v>
      </c>
      <c r="K444" s="2" t="s">
        <v>34</v>
      </c>
      <c r="L444" s="2" t="s">
        <v>2654</v>
      </c>
      <c r="M444" s="2" t="s">
        <v>34</v>
      </c>
      <c r="N444" s="2" t="s">
        <v>34</v>
      </c>
      <c r="O444" s="2" t="s">
        <v>34</v>
      </c>
      <c r="P444" s="2" t="s">
        <v>78</v>
      </c>
    </row>
    <row r="445" spans="1:16" x14ac:dyDescent="0.2">
      <c r="A445" s="2" t="s">
        <v>2655</v>
      </c>
      <c r="B445" s="2">
        <v>27</v>
      </c>
      <c r="C445" s="2">
        <v>2</v>
      </c>
      <c r="D445" s="2" t="s">
        <v>29</v>
      </c>
      <c r="E445" s="2">
        <v>936</v>
      </c>
      <c r="F445" s="2" t="s">
        <v>30</v>
      </c>
      <c r="G445" s="2" t="s">
        <v>412</v>
      </c>
      <c r="H445" s="2" t="s">
        <v>2656</v>
      </c>
      <c r="I445" s="2" t="s">
        <v>2657</v>
      </c>
      <c r="J445" s="2" t="s">
        <v>34</v>
      </c>
      <c r="K445" s="2" t="s">
        <v>34</v>
      </c>
      <c r="L445" s="2" t="s">
        <v>2658</v>
      </c>
      <c r="M445" s="2" t="s">
        <v>34</v>
      </c>
      <c r="N445" s="2" t="s">
        <v>34</v>
      </c>
      <c r="O445" s="2" t="s">
        <v>34</v>
      </c>
      <c r="P445" s="2" t="s">
        <v>36</v>
      </c>
    </row>
    <row r="446" spans="1:16" x14ac:dyDescent="0.2">
      <c r="A446" s="2" t="s">
        <v>2659</v>
      </c>
      <c r="B446" s="2">
        <v>27</v>
      </c>
      <c r="C446" s="2">
        <v>3</v>
      </c>
      <c r="D446" s="2" t="s">
        <v>29</v>
      </c>
      <c r="E446" s="2">
        <v>852</v>
      </c>
      <c r="F446" s="2" t="s">
        <v>30</v>
      </c>
      <c r="G446" s="2" t="s">
        <v>2660</v>
      </c>
      <c r="H446" s="2" t="s">
        <v>2661</v>
      </c>
      <c r="I446" s="2" t="s">
        <v>2662</v>
      </c>
      <c r="J446" s="2" t="s">
        <v>34</v>
      </c>
      <c r="K446" s="2" t="s">
        <v>34</v>
      </c>
      <c r="L446" s="2" t="s">
        <v>2663</v>
      </c>
      <c r="M446" s="2" t="s">
        <v>34</v>
      </c>
      <c r="N446" s="2" t="s">
        <v>34</v>
      </c>
      <c r="O446" s="2" t="s">
        <v>34</v>
      </c>
      <c r="P446" s="2" t="s">
        <v>36</v>
      </c>
    </row>
    <row r="447" spans="1:16" x14ac:dyDescent="0.2">
      <c r="A447" s="2" t="s">
        <v>2664</v>
      </c>
      <c r="B447" s="2">
        <v>27</v>
      </c>
      <c r="C447" s="2">
        <v>4</v>
      </c>
      <c r="D447" s="2" t="s">
        <v>29</v>
      </c>
      <c r="E447" s="2">
        <v>895</v>
      </c>
      <c r="F447" s="2" t="s">
        <v>38</v>
      </c>
      <c r="G447" s="2" t="s">
        <v>2665</v>
      </c>
      <c r="H447" s="2" t="s">
        <v>2666</v>
      </c>
      <c r="I447" s="2" t="s">
        <v>2667</v>
      </c>
      <c r="J447" s="2" t="s">
        <v>2668</v>
      </c>
      <c r="K447" s="3">
        <v>46217</v>
      </c>
      <c r="L447" s="2" t="s">
        <v>2669</v>
      </c>
      <c r="M447" s="2" t="s">
        <v>34</v>
      </c>
      <c r="N447" s="2" t="s">
        <v>34</v>
      </c>
      <c r="O447" s="2" t="s">
        <v>2670</v>
      </c>
      <c r="P447" s="2" t="s">
        <v>78</v>
      </c>
    </row>
    <row r="448" spans="1:16" x14ac:dyDescent="0.2">
      <c r="A448" s="2" t="s">
        <v>2671</v>
      </c>
      <c r="B448" s="2">
        <v>27</v>
      </c>
      <c r="C448" s="2">
        <v>5</v>
      </c>
      <c r="D448" s="2" t="s">
        <v>29</v>
      </c>
      <c r="E448" s="2">
        <v>875</v>
      </c>
      <c r="F448" s="2" t="s">
        <v>30</v>
      </c>
      <c r="G448" s="2" t="s">
        <v>128</v>
      </c>
      <c r="H448" s="2" t="s">
        <v>2672</v>
      </c>
      <c r="I448" s="2" t="s">
        <v>2673</v>
      </c>
      <c r="J448" s="2" t="s">
        <v>34</v>
      </c>
      <c r="K448" s="2" t="s">
        <v>34</v>
      </c>
      <c r="L448" s="2" t="s">
        <v>2674</v>
      </c>
      <c r="M448" s="2" t="s">
        <v>34</v>
      </c>
      <c r="N448" s="2" t="s">
        <v>34</v>
      </c>
      <c r="O448" s="2" t="s">
        <v>34</v>
      </c>
      <c r="P448" s="2" t="s">
        <v>36</v>
      </c>
    </row>
    <row r="449" spans="1:16" x14ac:dyDescent="0.2">
      <c r="A449" s="2" t="s">
        <v>2675</v>
      </c>
      <c r="B449" s="2">
        <v>27</v>
      </c>
      <c r="C449" s="2">
        <v>6</v>
      </c>
      <c r="D449" s="2" t="s">
        <v>29</v>
      </c>
      <c r="E449" s="2">
        <v>968</v>
      </c>
      <c r="F449" s="2" t="s">
        <v>38</v>
      </c>
      <c r="G449" s="2" t="s">
        <v>2676</v>
      </c>
      <c r="H449" s="2" t="s">
        <v>2677</v>
      </c>
      <c r="I449" s="2" t="s">
        <v>2678</v>
      </c>
      <c r="J449" s="2" t="s">
        <v>2679</v>
      </c>
      <c r="K449" s="3">
        <v>46471</v>
      </c>
      <c r="L449" s="2" t="s">
        <v>2680</v>
      </c>
      <c r="M449" s="2" t="s">
        <v>34</v>
      </c>
      <c r="N449" s="2" t="s">
        <v>34</v>
      </c>
      <c r="O449" s="2" t="s">
        <v>2681</v>
      </c>
      <c r="P449" s="2" t="s">
        <v>36</v>
      </c>
    </row>
    <row r="450" spans="1:16" x14ac:dyDescent="0.2">
      <c r="A450" s="2" t="s">
        <v>2682</v>
      </c>
      <c r="B450" s="2">
        <v>27</v>
      </c>
      <c r="C450" s="2">
        <v>7</v>
      </c>
      <c r="D450" s="2" t="s">
        <v>71</v>
      </c>
      <c r="E450" s="2">
        <v>1411</v>
      </c>
      <c r="F450" s="2" t="s">
        <v>30</v>
      </c>
      <c r="G450" s="2" t="s">
        <v>528</v>
      </c>
      <c r="H450" s="2" t="s">
        <v>2683</v>
      </c>
      <c r="I450" s="2" t="s">
        <v>2684</v>
      </c>
      <c r="J450" s="2" t="s">
        <v>34</v>
      </c>
      <c r="K450" s="2" t="s">
        <v>34</v>
      </c>
      <c r="L450" s="2" t="s">
        <v>2685</v>
      </c>
      <c r="M450" s="2" t="s">
        <v>34</v>
      </c>
      <c r="N450" s="2" t="s">
        <v>34</v>
      </c>
      <c r="O450" s="2" t="s">
        <v>2686</v>
      </c>
      <c r="P450" s="2" t="s">
        <v>36</v>
      </c>
    </row>
    <row r="451" spans="1:16" x14ac:dyDescent="0.2">
      <c r="A451" s="2" t="s">
        <v>2687</v>
      </c>
      <c r="B451" s="2">
        <v>27</v>
      </c>
      <c r="C451" s="2">
        <v>8</v>
      </c>
      <c r="D451" s="2" t="s">
        <v>71</v>
      </c>
      <c r="E451" s="2">
        <v>1511</v>
      </c>
      <c r="F451" s="2" t="s">
        <v>30</v>
      </c>
      <c r="G451" s="2" t="s">
        <v>2688</v>
      </c>
      <c r="H451" s="2" t="s">
        <v>2689</v>
      </c>
      <c r="I451" s="2" t="s">
        <v>2690</v>
      </c>
      <c r="J451" s="2" t="s">
        <v>34</v>
      </c>
      <c r="K451" s="2" t="s">
        <v>34</v>
      </c>
      <c r="L451" s="2" t="s">
        <v>2691</v>
      </c>
      <c r="M451" s="2" t="s">
        <v>34</v>
      </c>
      <c r="N451" s="2" t="s">
        <v>34</v>
      </c>
      <c r="O451" s="2" t="s">
        <v>34</v>
      </c>
      <c r="P451" s="2" t="s">
        <v>36</v>
      </c>
    </row>
    <row r="452" spans="1:16" x14ac:dyDescent="0.2">
      <c r="A452" s="2" t="s">
        <v>2692</v>
      </c>
      <c r="B452" s="2">
        <v>27</v>
      </c>
      <c r="C452" s="2">
        <v>9</v>
      </c>
      <c r="D452" s="2" t="s">
        <v>71</v>
      </c>
      <c r="E452" s="2">
        <v>1417</v>
      </c>
      <c r="F452" s="2" t="s">
        <v>30</v>
      </c>
      <c r="G452" s="2" t="s">
        <v>233</v>
      </c>
      <c r="H452" s="2" t="s">
        <v>2693</v>
      </c>
      <c r="I452" s="2" t="s">
        <v>2694</v>
      </c>
      <c r="J452" s="2" t="s">
        <v>34</v>
      </c>
      <c r="K452" s="2" t="s">
        <v>34</v>
      </c>
      <c r="L452" s="2" t="s">
        <v>2695</v>
      </c>
      <c r="M452" s="2" t="s">
        <v>34</v>
      </c>
      <c r="N452" s="2" t="s">
        <v>2696</v>
      </c>
      <c r="O452" s="2" t="s">
        <v>34</v>
      </c>
      <c r="P452" s="2" t="s">
        <v>36</v>
      </c>
    </row>
    <row r="453" spans="1:16" x14ac:dyDescent="0.2">
      <c r="A453" s="2" t="s">
        <v>2697</v>
      </c>
      <c r="B453" s="2">
        <v>27</v>
      </c>
      <c r="C453" s="2">
        <v>10</v>
      </c>
      <c r="D453" s="2" t="s">
        <v>71</v>
      </c>
      <c r="E453" s="2">
        <v>1350</v>
      </c>
      <c r="F453" s="2" t="s">
        <v>30</v>
      </c>
      <c r="G453" s="2" t="s">
        <v>2698</v>
      </c>
      <c r="H453" s="2" t="s">
        <v>2699</v>
      </c>
      <c r="I453" s="2" t="s">
        <v>2700</v>
      </c>
      <c r="J453" s="2" t="s">
        <v>34</v>
      </c>
      <c r="K453" s="2" t="s">
        <v>34</v>
      </c>
      <c r="L453" s="2" t="s">
        <v>2701</v>
      </c>
      <c r="M453" s="2" t="s">
        <v>34</v>
      </c>
      <c r="N453" s="2" t="s">
        <v>34</v>
      </c>
      <c r="O453" s="2" t="s">
        <v>34</v>
      </c>
      <c r="P453" s="2" t="s">
        <v>36</v>
      </c>
    </row>
    <row r="454" spans="1:16" x14ac:dyDescent="0.2">
      <c r="A454" s="2" t="s">
        <v>2702</v>
      </c>
      <c r="B454" s="2">
        <v>27</v>
      </c>
      <c r="C454" s="2">
        <v>11</v>
      </c>
      <c r="D454" s="2" t="s">
        <v>71</v>
      </c>
      <c r="E454" s="2">
        <v>1497</v>
      </c>
      <c r="F454" s="2" t="s">
        <v>30</v>
      </c>
      <c r="G454" s="2" t="s">
        <v>2703</v>
      </c>
      <c r="H454" s="2" t="s">
        <v>2704</v>
      </c>
      <c r="I454" s="2" t="s">
        <v>2705</v>
      </c>
      <c r="J454" s="2" t="s">
        <v>34</v>
      </c>
      <c r="K454" s="2" t="s">
        <v>34</v>
      </c>
      <c r="L454" s="2" t="s">
        <v>2706</v>
      </c>
      <c r="M454" s="2" t="s">
        <v>2707</v>
      </c>
      <c r="N454" s="2" t="s">
        <v>34</v>
      </c>
      <c r="O454" s="2" t="s">
        <v>2708</v>
      </c>
      <c r="P454" s="2" t="s">
        <v>36</v>
      </c>
    </row>
    <row r="455" spans="1:16" x14ac:dyDescent="0.2">
      <c r="A455" s="2" t="s">
        <v>2709</v>
      </c>
      <c r="B455" s="2">
        <v>27</v>
      </c>
      <c r="C455" s="2">
        <v>12</v>
      </c>
      <c r="D455" s="2" t="s">
        <v>71</v>
      </c>
      <c r="E455" s="2">
        <v>1367</v>
      </c>
      <c r="F455" s="2" t="s">
        <v>30</v>
      </c>
      <c r="G455" s="2" t="s">
        <v>325</v>
      </c>
      <c r="H455" s="2" t="s">
        <v>2710</v>
      </c>
      <c r="I455" s="2" t="s">
        <v>2711</v>
      </c>
      <c r="J455" s="2" t="s">
        <v>34</v>
      </c>
      <c r="K455" s="2" t="s">
        <v>34</v>
      </c>
      <c r="L455" s="2" t="s">
        <v>2712</v>
      </c>
      <c r="M455" s="2" t="s">
        <v>2713</v>
      </c>
      <c r="N455" s="2" t="s">
        <v>34</v>
      </c>
      <c r="O455" s="2" t="s">
        <v>34</v>
      </c>
      <c r="P455" s="2" t="s">
        <v>36</v>
      </c>
    </row>
    <row r="456" spans="1:16" x14ac:dyDescent="0.2">
      <c r="A456" s="2" t="s">
        <v>2714</v>
      </c>
      <c r="B456" s="2">
        <v>27</v>
      </c>
      <c r="C456" s="2">
        <v>13</v>
      </c>
      <c r="D456" s="2" t="s">
        <v>113</v>
      </c>
      <c r="E456" s="2">
        <v>2139</v>
      </c>
      <c r="F456" s="2" t="s">
        <v>38</v>
      </c>
      <c r="G456" s="2" t="s">
        <v>491</v>
      </c>
      <c r="H456" s="2" t="s">
        <v>2715</v>
      </c>
      <c r="I456" s="2" t="s">
        <v>2716</v>
      </c>
      <c r="J456" s="2" t="s">
        <v>2717</v>
      </c>
      <c r="K456" s="3">
        <v>46492</v>
      </c>
      <c r="L456" s="2" t="s">
        <v>2718</v>
      </c>
      <c r="M456" s="2" t="s">
        <v>2719</v>
      </c>
      <c r="N456" s="2" t="s">
        <v>34</v>
      </c>
      <c r="O456" s="2" t="s">
        <v>34</v>
      </c>
      <c r="P456" s="2" t="s">
        <v>36</v>
      </c>
    </row>
    <row r="457" spans="1:16" x14ac:dyDescent="0.2">
      <c r="A457" s="2" t="s">
        <v>2720</v>
      </c>
      <c r="B457" s="2">
        <v>27</v>
      </c>
      <c r="C457" s="2">
        <v>14</v>
      </c>
      <c r="D457" s="2" t="s">
        <v>113</v>
      </c>
      <c r="E457" s="2">
        <v>2031</v>
      </c>
      <c r="F457" s="2" t="s">
        <v>30</v>
      </c>
      <c r="G457" s="2" t="s">
        <v>39</v>
      </c>
      <c r="H457" s="2" t="s">
        <v>2721</v>
      </c>
      <c r="I457" s="2" t="s">
        <v>2722</v>
      </c>
      <c r="J457" s="2" t="s">
        <v>34</v>
      </c>
      <c r="K457" s="2" t="s">
        <v>34</v>
      </c>
      <c r="L457" s="2" t="s">
        <v>2723</v>
      </c>
      <c r="M457" s="2" t="s">
        <v>34</v>
      </c>
      <c r="N457" s="2" t="s">
        <v>34</v>
      </c>
      <c r="O457" s="2" t="s">
        <v>34</v>
      </c>
      <c r="P457" s="2" t="s">
        <v>78</v>
      </c>
    </row>
    <row r="458" spans="1:16" x14ac:dyDescent="0.2">
      <c r="A458" s="2" t="s">
        <v>2724</v>
      </c>
      <c r="B458" s="2">
        <v>27</v>
      </c>
      <c r="C458" s="2">
        <v>15</v>
      </c>
      <c r="D458" s="2" t="s">
        <v>113</v>
      </c>
      <c r="E458" s="2">
        <v>2026</v>
      </c>
      <c r="F458" s="2" t="s">
        <v>38</v>
      </c>
      <c r="G458" s="2" t="s">
        <v>2725</v>
      </c>
      <c r="H458" s="2" t="s">
        <v>2726</v>
      </c>
      <c r="I458" s="2" t="s">
        <v>2727</v>
      </c>
      <c r="J458" s="2" t="s">
        <v>1179</v>
      </c>
      <c r="K458" s="3">
        <v>46337</v>
      </c>
      <c r="L458" s="2" t="s">
        <v>2728</v>
      </c>
      <c r="M458" s="2" t="s">
        <v>2729</v>
      </c>
      <c r="N458" s="2" t="s">
        <v>34</v>
      </c>
      <c r="O458" s="2" t="s">
        <v>34</v>
      </c>
      <c r="P458" s="2" t="s">
        <v>78</v>
      </c>
    </row>
    <row r="459" spans="1:16" x14ac:dyDescent="0.2">
      <c r="A459" s="2" t="s">
        <v>2730</v>
      </c>
      <c r="B459" s="2">
        <v>27</v>
      </c>
      <c r="C459" s="2">
        <v>16</v>
      </c>
      <c r="D459" s="2" t="s">
        <v>113</v>
      </c>
      <c r="E459" s="2">
        <v>1932</v>
      </c>
      <c r="F459" s="2" t="s">
        <v>38</v>
      </c>
      <c r="G459" s="2" t="s">
        <v>2731</v>
      </c>
      <c r="H459" s="2" t="s">
        <v>2732</v>
      </c>
      <c r="I459" s="2" t="s">
        <v>2733</v>
      </c>
      <c r="J459" s="2" t="s">
        <v>2734</v>
      </c>
      <c r="K459" s="3">
        <v>46385</v>
      </c>
      <c r="L459" s="2" t="s">
        <v>2735</v>
      </c>
      <c r="M459" s="2" t="s">
        <v>2736</v>
      </c>
      <c r="N459" s="2" t="s">
        <v>34</v>
      </c>
      <c r="O459" s="2" t="s">
        <v>2737</v>
      </c>
      <c r="P459" s="2" t="s">
        <v>78</v>
      </c>
    </row>
    <row r="460" spans="1:16" x14ac:dyDescent="0.2">
      <c r="A460" s="2" t="s">
        <v>2738</v>
      </c>
      <c r="B460" s="2">
        <v>27</v>
      </c>
      <c r="C460" s="2">
        <v>17</v>
      </c>
      <c r="D460" s="2" t="s">
        <v>144</v>
      </c>
      <c r="E460" s="2">
        <v>3709</v>
      </c>
      <c r="F460" s="2" t="s">
        <v>38</v>
      </c>
      <c r="G460" s="2" t="s">
        <v>2739</v>
      </c>
      <c r="H460" s="2" t="s">
        <v>2740</v>
      </c>
      <c r="I460" s="2" t="s">
        <v>2741</v>
      </c>
      <c r="J460" s="2" t="s">
        <v>2742</v>
      </c>
      <c r="K460" s="3">
        <v>46132</v>
      </c>
      <c r="L460" s="2" t="s">
        <v>2743</v>
      </c>
      <c r="M460" s="2" t="s">
        <v>2744</v>
      </c>
      <c r="N460" s="2" t="s">
        <v>34</v>
      </c>
      <c r="O460" s="2" t="s">
        <v>2745</v>
      </c>
      <c r="P460" s="2" t="s">
        <v>36</v>
      </c>
    </row>
    <row r="461" spans="1:16" x14ac:dyDescent="0.2">
      <c r="A461" s="2" t="s">
        <v>2746</v>
      </c>
      <c r="B461" s="2">
        <v>28</v>
      </c>
      <c r="C461" s="2">
        <v>1</v>
      </c>
      <c r="D461" s="2" t="s">
        <v>29</v>
      </c>
      <c r="E461" s="2">
        <v>903</v>
      </c>
      <c r="F461" s="2" t="s">
        <v>30</v>
      </c>
      <c r="G461" s="2" t="s">
        <v>923</v>
      </c>
      <c r="H461" s="2" t="s">
        <v>2747</v>
      </c>
      <c r="I461" s="2" t="s">
        <v>2748</v>
      </c>
      <c r="J461" s="2" t="s">
        <v>34</v>
      </c>
      <c r="K461" s="2" t="s">
        <v>34</v>
      </c>
      <c r="L461" s="2" t="s">
        <v>2749</v>
      </c>
      <c r="M461" s="2" t="s">
        <v>34</v>
      </c>
      <c r="N461" s="2" t="s">
        <v>34</v>
      </c>
      <c r="O461" s="2" t="s">
        <v>2750</v>
      </c>
      <c r="P461" s="2" t="s">
        <v>36</v>
      </c>
    </row>
    <row r="462" spans="1:16" x14ac:dyDescent="0.2">
      <c r="A462" s="2" t="s">
        <v>2751</v>
      </c>
      <c r="B462" s="2">
        <v>28</v>
      </c>
      <c r="C462" s="2">
        <v>2</v>
      </c>
      <c r="D462" s="2" t="s">
        <v>29</v>
      </c>
      <c r="E462" s="2">
        <v>886</v>
      </c>
      <c r="F462" s="2" t="s">
        <v>38</v>
      </c>
      <c r="G462" s="2" t="s">
        <v>449</v>
      </c>
      <c r="H462" s="2" t="s">
        <v>2752</v>
      </c>
      <c r="I462" s="2" t="s">
        <v>2753</v>
      </c>
      <c r="J462" s="2" t="s">
        <v>273</v>
      </c>
      <c r="K462" s="3">
        <v>46284</v>
      </c>
      <c r="L462" s="2" t="s">
        <v>2754</v>
      </c>
      <c r="M462" s="2" t="s">
        <v>34</v>
      </c>
      <c r="N462" s="2" t="s">
        <v>34</v>
      </c>
      <c r="O462" s="2" t="s">
        <v>34</v>
      </c>
      <c r="P462" s="2" t="s">
        <v>78</v>
      </c>
    </row>
    <row r="463" spans="1:16" x14ac:dyDescent="0.2">
      <c r="A463" s="2" t="s">
        <v>2755</v>
      </c>
      <c r="B463" s="2">
        <v>28</v>
      </c>
      <c r="C463" s="2">
        <v>3</v>
      </c>
      <c r="D463" s="2" t="s">
        <v>29</v>
      </c>
      <c r="E463" s="2">
        <v>957</v>
      </c>
      <c r="F463" s="2" t="s">
        <v>38</v>
      </c>
      <c r="G463" s="2" t="s">
        <v>944</v>
      </c>
      <c r="H463" s="2" t="s">
        <v>2756</v>
      </c>
      <c r="I463" s="2" t="s">
        <v>2757</v>
      </c>
      <c r="J463" s="2" t="s">
        <v>2351</v>
      </c>
      <c r="K463" s="3">
        <v>46190</v>
      </c>
      <c r="L463" s="2" t="s">
        <v>2758</v>
      </c>
      <c r="M463" s="2" t="s">
        <v>34</v>
      </c>
      <c r="N463" s="2" t="s">
        <v>2759</v>
      </c>
      <c r="O463" s="2" t="s">
        <v>2760</v>
      </c>
      <c r="P463" s="2" t="s">
        <v>36</v>
      </c>
    </row>
    <row r="464" spans="1:16" x14ac:dyDescent="0.2">
      <c r="A464" s="2" t="s">
        <v>2761</v>
      </c>
      <c r="B464" s="2">
        <v>28</v>
      </c>
      <c r="C464" s="2">
        <v>4</v>
      </c>
      <c r="D464" s="2" t="s">
        <v>29</v>
      </c>
      <c r="E464" s="2">
        <v>852</v>
      </c>
      <c r="F464" s="2" t="s">
        <v>30</v>
      </c>
      <c r="G464" s="2" t="s">
        <v>1052</v>
      </c>
      <c r="H464" s="2" t="s">
        <v>2762</v>
      </c>
      <c r="I464" s="2" t="s">
        <v>2763</v>
      </c>
      <c r="J464" s="2" t="s">
        <v>34</v>
      </c>
      <c r="K464" s="2" t="s">
        <v>34</v>
      </c>
      <c r="L464" s="2" t="s">
        <v>2764</v>
      </c>
      <c r="M464" s="2" t="s">
        <v>34</v>
      </c>
      <c r="N464" s="2" t="s">
        <v>34</v>
      </c>
      <c r="O464" s="2" t="s">
        <v>2765</v>
      </c>
      <c r="P464" s="2" t="s">
        <v>36</v>
      </c>
    </row>
    <row r="465" spans="1:16" x14ac:dyDescent="0.2">
      <c r="A465" s="2" t="s">
        <v>2766</v>
      </c>
      <c r="B465" s="2">
        <v>28</v>
      </c>
      <c r="C465" s="2">
        <v>5</v>
      </c>
      <c r="D465" s="2" t="s">
        <v>29</v>
      </c>
      <c r="E465" s="2">
        <v>915</v>
      </c>
      <c r="F465" s="2" t="s">
        <v>30</v>
      </c>
      <c r="G465" s="2" t="s">
        <v>2767</v>
      </c>
      <c r="H465" s="2" t="s">
        <v>2768</v>
      </c>
      <c r="I465" s="2" t="s">
        <v>2769</v>
      </c>
      <c r="J465" s="2" t="s">
        <v>34</v>
      </c>
      <c r="K465" s="2" t="s">
        <v>34</v>
      </c>
      <c r="L465" s="2" t="s">
        <v>2770</v>
      </c>
      <c r="M465" s="2" t="s">
        <v>34</v>
      </c>
      <c r="N465" s="2" t="s">
        <v>34</v>
      </c>
      <c r="O465" s="2" t="s">
        <v>2771</v>
      </c>
      <c r="P465" s="2" t="s">
        <v>36</v>
      </c>
    </row>
    <row r="466" spans="1:16" x14ac:dyDescent="0.2">
      <c r="A466" s="2" t="s">
        <v>2772</v>
      </c>
      <c r="B466" s="2">
        <v>28</v>
      </c>
      <c r="C466" s="2">
        <v>6</v>
      </c>
      <c r="D466" s="2" t="s">
        <v>29</v>
      </c>
      <c r="E466" s="2">
        <v>937</v>
      </c>
      <c r="F466" s="2" t="s">
        <v>38</v>
      </c>
      <c r="G466" s="2" t="s">
        <v>1918</v>
      </c>
      <c r="H466" s="2" t="s">
        <v>2773</v>
      </c>
      <c r="I466" s="2" t="s">
        <v>2774</v>
      </c>
      <c r="J466" s="2" t="s">
        <v>2775</v>
      </c>
      <c r="K466" s="3">
        <v>46464</v>
      </c>
      <c r="L466" s="2" t="s">
        <v>2776</v>
      </c>
      <c r="M466" s="2" t="s">
        <v>34</v>
      </c>
      <c r="N466" s="2" t="s">
        <v>34</v>
      </c>
      <c r="O466" s="2" t="s">
        <v>34</v>
      </c>
      <c r="P466" s="2" t="s">
        <v>78</v>
      </c>
    </row>
    <row r="467" spans="1:16" x14ac:dyDescent="0.2">
      <c r="A467" s="2" t="s">
        <v>2777</v>
      </c>
      <c r="B467" s="2">
        <v>28</v>
      </c>
      <c r="C467" s="2">
        <v>7</v>
      </c>
      <c r="D467" s="2" t="s">
        <v>71</v>
      </c>
      <c r="E467" s="2">
        <v>1255</v>
      </c>
      <c r="F467" s="2" t="s">
        <v>38</v>
      </c>
      <c r="G467" s="2" t="s">
        <v>2778</v>
      </c>
      <c r="H467" s="2" t="s">
        <v>2779</v>
      </c>
      <c r="I467" s="2" t="s">
        <v>2780</v>
      </c>
      <c r="J467" s="2" t="s">
        <v>2322</v>
      </c>
      <c r="K467" s="3">
        <v>46202</v>
      </c>
      <c r="L467" s="2" t="s">
        <v>2781</v>
      </c>
      <c r="M467" s="2" t="s">
        <v>2782</v>
      </c>
      <c r="N467" s="2" t="s">
        <v>34</v>
      </c>
      <c r="O467" s="2" t="s">
        <v>2783</v>
      </c>
      <c r="P467" s="2" t="s">
        <v>36</v>
      </c>
    </row>
    <row r="468" spans="1:16" x14ac:dyDescent="0.2">
      <c r="A468" s="2" t="s">
        <v>2784</v>
      </c>
      <c r="B468" s="2">
        <v>28</v>
      </c>
      <c r="C468" s="2">
        <v>8</v>
      </c>
      <c r="D468" s="2" t="s">
        <v>71</v>
      </c>
      <c r="E468" s="2">
        <v>1227</v>
      </c>
      <c r="F468" s="2" t="s">
        <v>30</v>
      </c>
      <c r="G468" s="2" t="s">
        <v>401</v>
      </c>
      <c r="H468" s="2" t="s">
        <v>2785</v>
      </c>
      <c r="I468" s="2" t="s">
        <v>2786</v>
      </c>
      <c r="J468" s="2" t="s">
        <v>34</v>
      </c>
      <c r="K468" s="2" t="s">
        <v>34</v>
      </c>
      <c r="L468" s="2" t="s">
        <v>2787</v>
      </c>
      <c r="M468" s="2" t="s">
        <v>2788</v>
      </c>
      <c r="N468" s="2" t="s">
        <v>34</v>
      </c>
      <c r="O468" s="2" t="s">
        <v>34</v>
      </c>
      <c r="P468" s="2" t="s">
        <v>36</v>
      </c>
    </row>
    <row r="469" spans="1:16" x14ac:dyDescent="0.2">
      <c r="A469" s="2" t="s">
        <v>2789</v>
      </c>
      <c r="B469" s="2">
        <v>28</v>
      </c>
      <c r="C469" s="2">
        <v>9</v>
      </c>
      <c r="D469" s="2" t="s">
        <v>71</v>
      </c>
      <c r="E469" s="2">
        <v>1455</v>
      </c>
      <c r="F469" s="2" t="s">
        <v>30</v>
      </c>
      <c r="G469" s="2" t="s">
        <v>580</v>
      </c>
      <c r="H469" s="2" t="s">
        <v>2790</v>
      </c>
      <c r="I469" s="2" t="s">
        <v>2791</v>
      </c>
      <c r="J469" s="2" t="s">
        <v>34</v>
      </c>
      <c r="K469" s="2" t="s">
        <v>34</v>
      </c>
      <c r="L469" s="2" t="s">
        <v>2792</v>
      </c>
      <c r="M469" s="2" t="s">
        <v>2793</v>
      </c>
      <c r="N469" s="2" t="s">
        <v>34</v>
      </c>
      <c r="O469" s="2" t="s">
        <v>34</v>
      </c>
      <c r="P469" s="2" t="s">
        <v>36</v>
      </c>
    </row>
    <row r="470" spans="1:16" x14ac:dyDescent="0.2">
      <c r="A470" s="2" t="s">
        <v>2794</v>
      </c>
      <c r="B470" s="2">
        <v>28</v>
      </c>
      <c r="C470" s="2">
        <v>10</v>
      </c>
      <c r="D470" s="2" t="s">
        <v>71</v>
      </c>
      <c r="E470" s="2">
        <v>1364</v>
      </c>
      <c r="F470" s="2" t="s">
        <v>38</v>
      </c>
      <c r="G470" s="2" t="s">
        <v>2060</v>
      </c>
      <c r="H470" s="2" t="s">
        <v>2795</v>
      </c>
      <c r="I470" s="2" t="s">
        <v>2796</v>
      </c>
      <c r="J470" s="2" t="s">
        <v>93</v>
      </c>
      <c r="K470" s="3">
        <v>46134</v>
      </c>
      <c r="L470" s="2" t="s">
        <v>2797</v>
      </c>
      <c r="M470" s="2" t="s">
        <v>2798</v>
      </c>
      <c r="N470" s="2" t="s">
        <v>34</v>
      </c>
      <c r="O470" s="2" t="s">
        <v>2799</v>
      </c>
      <c r="P470" s="2" t="s">
        <v>36</v>
      </c>
    </row>
    <row r="471" spans="1:16" x14ac:dyDescent="0.2">
      <c r="A471" s="2" t="s">
        <v>2800</v>
      </c>
      <c r="B471" s="2">
        <v>28</v>
      </c>
      <c r="C471" s="2">
        <v>11</v>
      </c>
      <c r="D471" s="2" t="s">
        <v>71</v>
      </c>
      <c r="E471" s="2">
        <v>1407</v>
      </c>
      <c r="F471" s="2" t="s">
        <v>30</v>
      </c>
      <c r="G471" s="2" t="s">
        <v>757</v>
      </c>
      <c r="H471" s="2" t="s">
        <v>2801</v>
      </c>
      <c r="I471" s="2" t="s">
        <v>2802</v>
      </c>
      <c r="J471" s="2" t="s">
        <v>34</v>
      </c>
      <c r="K471" s="2" t="s">
        <v>34</v>
      </c>
      <c r="L471" s="2" t="s">
        <v>2803</v>
      </c>
      <c r="M471" s="2" t="s">
        <v>34</v>
      </c>
      <c r="N471" s="2" t="s">
        <v>34</v>
      </c>
      <c r="O471" s="2" t="s">
        <v>34</v>
      </c>
      <c r="P471" s="2" t="s">
        <v>36</v>
      </c>
    </row>
    <row r="472" spans="1:16" x14ac:dyDescent="0.2">
      <c r="A472" s="2" t="s">
        <v>2804</v>
      </c>
      <c r="B472" s="2">
        <v>28</v>
      </c>
      <c r="C472" s="2">
        <v>12</v>
      </c>
      <c r="D472" s="2" t="s">
        <v>71</v>
      </c>
      <c r="E472" s="2">
        <v>1486</v>
      </c>
      <c r="F472" s="2" t="s">
        <v>30</v>
      </c>
      <c r="G472" s="2" t="s">
        <v>899</v>
      </c>
      <c r="H472" s="2" t="s">
        <v>2805</v>
      </c>
      <c r="I472" s="2" t="s">
        <v>2806</v>
      </c>
      <c r="J472" s="2" t="s">
        <v>34</v>
      </c>
      <c r="K472" s="2" t="s">
        <v>34</v>
      </c>
      <c r="L472" s="2" t="s">
        <v>2807</v>
      </c>
      <c r="M472" s="2" t="s">
        <v>2808</v>
      </c>
      <c r="N472" s="2" t="s">
        <v>34</v>
      </c>
      <c r="O472" s="2" t="s">
        <v>2809</v>
      </c>
      <c r="P472" s="2" t="s">
        <v>36</v>
      </c>
    </row>
    <row r="473" spans="1:16" x14ac:dyDescent="0.2">
      <c r="A473" s="2" t="s">
        <v>2810</v>
      </c>
      <c r="B473" s="2">
        <v>28</v>
      </c>
      <c r="C473" s="2">
        <v>13</v>
      </c>
      <c r="D473" s="2" t="s">
        <v>113</v>
      </c>
      <c r="E473" s="2">
        <v>1656</v>
      </c>
      <c r="F473" s="2" t="s">
        <v>30</v>
      </c>
      <c r="G473" s="2" t="s">
        <v>2811</v>
      </c>
      <c r="H473" s="2" t="s">
        <v>2812</v>
      </c>
      <c r="I473" s="2" t="s">
        <v>2813</v>
      </c>
      <c r="J473" s="2" t="s">
        <v>34</v>
      </c>
      <c r="K473" s="2" t="s">
        <v>34</v>
      </c>
      <c r="L473" s="2" t="s">
        <v>2814</v>
      </c>
      <c r="M473" s="2" t="s">
        <v>2815</v>
      </c>
      <c r="N473" s="2" t="s">
        <v>34</v>
      </c>
      <c r="O473" s="2" t="s">
        <v>34</v>
      </c>
      <c r="P473" s="2" t="s">
        <v>78</v>
      </c>
    </row>
    <row r="474" spans="1:16" x14ac:dyDescent="0.2">
      <c r="A474" s="2" t="s">
        <v>2816</v>
      </c>
      <c r="B474" s="2">
        <v>28</v>
      </c>
      <c r="C474" s="2">
        <v>14</v>
      </c>
      <c r="D474" s="2" t="s">
        <v>113</v>
      </c>
      <c r="E474" s="2">
        <v>2040</v>
      </c>
      <c r="F474" s="2" t="s">
        <v>30</v>
      </c>
      <c r="G474" s="2" t="s">
        <v>200</v>
      </c>
      <c r="H474" s="2" t="s">
        <v>2817</v>
      </c>
      <c r="I474" s="2" t="s">
        <v>2818</v>
      </c>
      <c r="J474" s="2" t="s">
        <v>34</v>
      </c>
      <c r="K474" s="2" t="s">
        <v>34</v>
      </c>
      <c r="L474" s="2" t="s">
        <v>2819</v>
      </c>
      <c r="M474" s="2" t="s">
        <v>34</v>
      </c>
      <c r="N474" s="2" t="s">
        <v>34</v>
      </c>
      <c r="O474" s="2" t="s">
        <v>34</v>
      </c>
      <c r="P474" s="2" t="s">
        <v>36</v>
      </c>
    </row>
    <row r="475" spans="1:16" x14ac:dyDescent="0.2">
      <c r="A475" s="2" t="s">
        <v>2820</v>
      </c>
      <c r="B475" s="2">
        <v>28</v>
      </c>
      <c r="C475" s="2">
        <v>15</v>
      </c>
      <c r="D475" s="2" t="s">
        <v>113</v>
      </c>
      <c r="E475" s="2">
        <v>1677</v>
      </c>
      <c r="F475" s="2" t="s">
        <v>30</v>
      </c>
      <c r="G475" s="2" t="s">
        <v>2821</v>
      </c>
      <c r="H475" s="2" t="s">
        <v>2822</v>
      </c>
      <c r="I475" s="2" t="s">
        <v>2823</v>
      </c>
      <c r="J475" s="2" t="s">
        <v>34</v>
      </c>
      <c r="K475" s="2" t="s">
        <v>34</v>
      </c>
      <c r="L475" s="2" t="s">
        <v>2824</v>
      </c>
      <c r="M475" s="2" t="s">
        <v>34</v>
      </c>
      <c r="N475" s="2" t="s">
        <v>34</v>
      </c>
      <c r="O475" s="2" t="s">
        <v>34</v>
      </c>
      <c r="P475" s="2" t="s">
        <v>78</v>
      </c>
    </row>
    <row r="476" spans="1:16" x14ac:dyDescent="0.2">
      <c r="A476" s="2" t="s">
        <v>2825</v>
      </c>
      <c r="B476" s="2">
        <v>28</v>
      </c>
      <c r="C476" s="2">
        <v>16</v>
      </c>
      <c r="D476" s="2" t="s">
        <v>113</v>
      </c>
      <c r="E476" s="2">
        <v>2153</v>
      </c>
      <c r="F476" s="2" t="s">
        <v>30</v>
      </c>
      <c r="G476" s="2" t="s">
        <v>2826</v>
      </c>
      <c r="H476" s="2" t="s">
        <v>2827</v>
      </c>
      <c r="I476" s="2" t="s">
        <v>2828</v>
      </c>
      <c r="J476" s="2" t="s">
        <v>34</v>
      </c>
      <c r="K476" s="2" t="s">
        <v>34</v>
      </c>
      <c r="L476" s="2" t="s">
        <v>2829</v>
      </c>
      <c r="M476" s="2" t="s">
        <v>2830</v>
      </c>
      <c r="N476" s="2" t="s">
        <v>2831</v>
      </c>
      <c r="O476" s="2" t="s">
        <v>34</v>
      </c>
      <c r="P476" s="2" t="s">
        <v>36</v>
      </c>
    </row>
    <row r="477" spans="1:16" x14ac:dyDescent="0.2">
      <c r="A477" s="2" t="s">
        <v>2832</v>
      </c>
      <c r="B477" s="2">
        <v>28</v>
      </c>
      <c r="C477" s="2">
        <v>17</v>
      </c>
      <c r="D477" s="2" t="s">
        <v>144</v>
      </c>
      <c r="E477" s="2">
        <v>3328</v>
      </c>
      <c r="F477" s="2" t="s">
        <v>30</v>
      </c>
      <c r="G477" s="2" t="s">
        <v>2833</v>
      </c>
      <c r="H477" s="2" t="s">
        <v>2834</v>
      </c>
      <c r="I477" s="2" t="s">
        <v>2835</v>
      </c>
      <c r="J477" s="2" t="s">
        <v>34</v>
      </c>
      <c r="K477" s="2" t="s">
        <v>34</v>
      </c>
      <c r="L477" s="2" t="s">
        <v>2836</v>
      </c>
      <c r="M477" s="2" t="s">
        <v>2837</v>
      </c>
      <c r="N477" s="2" t="s">
        <v>2838</v>
      </c>
      <c r="O477" s="2" t="s">
        <v>34</v>
      </c>
      <c r="P477" s="2" t="s">
        <v>36</v>
      </c>
    </row>
    <row r="478" spans="1:16" x14ac:dyDescent="0.2">
      <c r="A478" s="2" t="s">
        <v>2839</v>
      </c>
      <c r="B478" s="2">
        <v>29</v>
      </c>
      <c r="C478" s="2">
        <v>1</v>
      </c>
      <c r="D478" s="2" t="s">
        <v>29</v>
      </c>
      <c r="E478" s="2">
        <v>968</v>
      </c>
      <c r="F478" s="2" t="s">
        <v>30</v>
      </c>
      <c r="G478" s="2" t="s">
        <v>2840</v>
      </c>
      <c r="H478" s="2" t="s">
        <v>2841</v>
      </c>
      <c r="I478" s="2" t="s">
        <v>2842</v>
      </c>
      <c r="J478" s="2" t="s">
        <v>34</v>
      </c>
      <c r="K478" s="2" t="s">
        <v>34</v>
      </c>
      <c r="L478" s="2" t="s">
        <v>2843</v>
      </c>
      <c r="M478" s="2" t="s">
        <v>34</v>
      </c>
      <c r="N478" s="2" t="s">
        <v>2844</v>
      </c>
      <c r="O478" s="2" t="s">
        <v>2845</v>
      </c>
      <c r="P478" s="2" t="s">
        <v>36</v>
      </c>
    </row>
    <row r="479" spans="1:16" x14ac:dyDescent="0.2">
      <c r="A479" s="2" t="s">
        <v>2846</v>
      </c>
      <c r="B479" s="2">
        <v>29</v>
      </c>
      <c r="C479" s="2">
        <v>2</v>
      </c>
      <c r="D479" s="2" t="s">
        <v>29</v>
      </c>
      <c r="E479" s="2">
        <v>911</v>
      </c>
      <c r="F479" s="2" t="s">
        <v>30</v>
      </c>
      <c r="G479" s="2" t="s">
        <v>2847</v>
      </c>
      <c r="H479" s="2" t="s">
        <v>2848</v>
      </c>
      <c r="I479" s="2" t="s">
        <v>2849</v>
      </c>
      <c r="J479" s="2" t="s">
        <v>34</v>
      </c>
      <c r="K479" s="2" t="s">
        <v>34</v>
      </c>
      <c r="L479" s="2" t="s">
        <v>2850</v>
      </c>
      <c r="M479" s="2" t="s">
        <v>34</v>
      </c>
      <c r="N479" s="2" t="s">
        <v>34</v>
      </c>
      <c r="O479" s="2" t="s">
        <v>34</v>
      </c>
      <c r="P479" s="2" t="s">
        <v>36</v>
      </c>
    </row>
    <row r="480" spans="1:16" x14ac:dyDescent="0.2">
      <c r="A480" s="2" t="s">
        <v>2851</v>
      </c>
      <c r="B480" s="2">
        <v>29</v>
      </c>
      <c r="C480" s="2">
        <v>3</v>
      </c>
      <c r="D480" s="2" t="s">
        <v>29</v>
      </c>
      <c r="E480" s="2">
        <v>844</v>
      </c>
      <c r="F480" s="2" t="s">
        <v>30</v>
      </c>
      <c r="G480" s="2" t="s">
        <v>723</v>
      </c>
      <c r="H480" s="2" t="s">
        <v>2852</v>
      </c>
      <c r="I480" s="2" t="s">
        <v>2853</v>
      </c>
      <c r="J480" s="2" t="s">
        <v>34</v>
      </c>
      <c r="K480" s="2" t="s">
        <v>34</v>
      </c>
      <c r="L480" s="2" t="s">
        <v>2854</v>
      </c>
      <c r="M480" s="2" t="s">
        <v>34</v>
      </c>
      <c r="N480" s="2" t="s">
        <v>34</v>
      </c>
      <c r="O480" s="2" t="s">
        <v>34</v>
      </c>
      <c r="P480" s="2" t="s">
        <v>36</v>
      </c>
    </row>
    <row r="481" spans="1:16" x14ac:dyDescent="0.2">
      <c r="A481" s="2" t="s">
        <v>2855</v>
      </c>
      <c r="B481" s="2">
        <v>29</v>
      </c>
      <c r="C481" s="2">
        <v>4</v>
      </c>
      <c r="D481" s="2" t="s">
        <v>29</v>
      </c>
      <c r="E481" s="2">
        <v>912</v>
      </c>
      <c r="F481" s="2" t="s">
        <v>30</v>
      </c>
      <c r="G481" s="2" t="s">
        <v>2856</v>
      </c>
      <c r="H481" s="2" t="s">
        <v>2857</v>
      </c>
      <c r="I481" s="2" t="s">
        <v>2858</v>
      </c>
      <c r="J481" s="2" t="s">
        <v>34</v>
      </c>
      <c r="K481" s="2" t="s">
        <v>34</v>
      </c>
      <c r="L481" s="2" t="s">
        <v>2859</v>
      </c>
      <c r="M481" s="2" t="s">
        <v>34</v>
      </c>
      <c r="N481" s="2" t="s">
        <v>34</v>
      </c>
      <c r="O481" s="2" t="s">
        <v>2860</v>
      </c>
      <c r="P481" s="2" t="s">
        <v>36</v>
      </c>
    </row>
    <row r="482" spans="1:16" x14ac:dyDescent="0.2">
      <c r="A482" s="2" t="s">
        <v>2861</v>
      </c>
      <c r="B482" s="2">
        <v>29</v>
      </c>
      <c r="C482" s="2">
        <v>5</v>
      </c>
      <c r="D482" s="2" t="s">
        <v>29</v>
      </c>
      <c r="E482" s="2">
        <v>925</v>
      </c>
      <c r="F482" s="2" t="s">
        <v>30</v>
      </c>
      <c r="G482" s="2" t="s">
        <v>935</v>
      </c>
      <c r="H482" s="2" t="s">
        <v>2862</v>
      </c>
      <c r="I482" s="2" t="s">
        <v>2863</v>
      </c>
      <c r="J482" s="2" t="s">
        <v>34</v>
      </c>
      <c r="K482" s="2" t="s">
        <v>34</v>
      </c>
      <c r="L482" s="2" t="s">
        <v>2864</v>
      </c>
      <c r="M482" s="2" t="s">
        <v>34</v>
      </c>
      <c r="N482" s="2" t="s">
        <v>34</v>
      </c>
      <c r="O482" s="2" t="s">
        <v>34</v>
      </c>
      <c r="P482" s="2" t="s">
        <v>36</v>
      </c>
    </row>
    <row r="483" spans="1:16" x14ac:dyDescent="0.2">
      <c r="A483" s="2" t="s">
        <v>2865</v>
      </c>
      <c r="B483" s="2">
        <v>29</v>
      </c>
      <c r="C483" s="2">
        <v>6</v>
      </c>
      <c r="D483" s="2" t="s">
        <v>29</v>
      </c>
      <c r="E483" s="2">
        <v>954</v>
      </c>
      <c r="F483" s="2" t="s">
        <v>30</v>
      </c>
      <c r="G483" s="2" t="s">
        <v>2866</v>
      </c>
      <c r="H483" s="2" t="s">
        <v>2867</v>
      </c>
      <c r="I483" s="2" t="s">
        <v>2868</v>
      </c>
      <c r="J483" s="2" t="s">
        <v>34</v>
      </c>
      <c r="K483" s="2" t="s">
        <v>34</v>
      </c>
      <c r="L483" s="2" t="s">
        <v>2869</v>
      </c>
      <c r="M483" s="2" t="s">
        <v>34</v>
      </c>
      <c r="N483" s="2" t="s">
        <v>34</v>
      </c>
      <c r="O483" s="2" t="s">
        <v>34</v>
      </c>
      <c r="P483" s="2" t="s">
        <v>36</v>
      </c>
    </row>
    <row r="484" spans="1:16" x14ac:dyDescent="0.2">
      <c r="A484" s="2" t="s">
        <v>2870</v>
      </c>
      <c r="B484" s="2">
        <v>29</v>
      </c>
      <c r="C484" s="2">
        <v>7</v>
      </c>
      <c r="D484" s="2" t="s">
        <v>71</v>
      </c>
      <c r="E484" s="2">
        <v>1365</v>
      </c>
      <c r="F484" s="2" t="s">
        <v>38</v>
      </c>
      <c r="G484" s="2" t="s">
        <v>2402</v>
      </c>
      <c r="H484" s="2" t="s">
        <v>2871</v>
      </c>
      <c r="I484" s="2" t="s">
        <v>2872</v>
      </c>
      <c r="J484" s="2" t="s">
        <v>2873</v>
      </c>
      <c r="K484" s="3">
        <v>46194</v>
      </c>
      <c r="L484" s="2" t="s">
        <v>2874</v>
      </c>
      <c r="M484" s="2" t="s">
        <v>2875</v>
      </c>
      <c r="N484" s="2" t="s">
        <v>34</v>
      </c>
      <c r="O484" s="2" t="s">
        <v>34</v>
      </c>
      <c r="P484" s="2" t="s">
        <v>78</v>
      </c>
    </row>
    <row r="485" spans="1:16" x14ac:dyDescent="0.2">
      <c r="A485" s="2" t="s">
        <v>2876</v>
      </c>
      <c r="B485" s="2">
        <v>29</v>
      </c>
      <c r="C485" s="2">
        <v>8</v>
      </c>
      <c r="D485" s="2" t="s">
        <v>71</v>
      </c>
      <c r="E485" s="2">
        <v>1296</v>
      </c>
      <c r="F485" s="2" t="s">
        <v>30</v>
      </c>
      <c r="G485" s="2" t="s">
        <v>131</v>
      </c>
      <c r="H485" s="2" t="s">
        <v>2877</v>
      </c>
      <c r="I485" s="2" t="s">
        <v>2878</v>
      </c>
      <c r="J485" s="2" t="s">
        <v>34</v>
      </c>
      <c r="K485" s="2" t="s">
        <v>34</v>
      </c>
      <c r="L485" s="2" t="s">
        <v>2879</v>
      </c>
      <c r="M485" s="2" t="s">
        <v>34</v>
      </c>
      <c r="N485" s="2" t="s">
        <v>2880</v>
      </c>
      <c r="O485" s="2" t="s">
        <v>34</v>
      </c>
      <c r="P485" s="2" t="s">
        <v>36</v>
      </c>
    </row>
    <row r="486" spans="1:16" x14ac:dyDescent="0.2">
      <c r="A486" s="2" t="s">
        <v>2881</v>
      </c>
      <c r="B486" s="2">
        <v>29</v>
      </c>
      <c r="C486" s="2">
        <v>9</v>
      </c>
      <c r="D486" s="2" t="s">
        <v>71</v>
      </c>
      <c r="E486" s="2">
        <v>1201</v>
      </c>
      <c r="F486" s="2" t="s">
        <v>30</v>
      </c>
      <c r="G486" s="2" t="s">
        <v>2882</v>
      </c>
      <c r="H486" s="2" t="s">
        <v>2883</v>
      </c>
      <c r="I486" s="2" t="s">
        <v>2884</v>
      </c>
      <c r="J486" s="2" t="s">
        <v>34</v>
      </c>
      <c r="K486" s="2" t="s">
        <v>34</v>
      </c>
      <c r="L486" s="2" t="s">
        <v>2885</v>
      </c>
      <c r="M486" s="2" t="s">
        <v>2886</v>
      </c>
      <c r="N486" s="2" t="s">
        <v>34</v>
      </c>
      <c r="O486" s="2" t="s">
        <v>34</v>
      </c>
      <c r="P486" s="2" t="s">
        <v>36</v>
      </c>
    </row>
    <row r="487" spans="1:16" x14ac:dyDescent="0.2">
      <c r="A487" s="2" t="s">
        <v>2887</v>
      </c>
      <c r="B487" s="2">
        <v>29</v>
      </c>
      <c r="C487" s="2">
        <v>10</v>
      </c>
      <c r="D487" s="2" t="s">
        <v>71</v>
      </c>
      <c r="E487" s="2">
        <v>1185</v>
      </c>
      <c r="F487" s="2" t="s">
        <v>38</v>
      </c>
      <c r="G487" s="2" t="s">
        <v>401</v>
      </c>
      <c r="H487" s="2" t="s">
        <v>2888</v>
      </c>
      <c r="I487" s="2" t="s">
        <v>2889</v>
      </c>
      <c r="J487" s="2" t="s">
        <v>2890</v>
      </c>
      <c r="K487" s="3">
        <v>46196</v>
      </c>
      <c r="L487" s="2" t="s">
        <v>2891</v>
      </c>
      <c r="M487" s="2" t="s">
        <v>2892</v>
      </c>
      <c r="N487" s="2" t="s">
        <v>34</v>
      </c>
      <c r="O487" s="2" t="s">
        <v>2893</v>
      </c>
      <c r="P487" s="2" t="s">
        <v>36</v>
      </c>
    </row>
    <row r="488" spans="1:16" x14ac:dyDescent="0.2">
      <c r="A488" s="2" t="s">
        <v>2894</v>
      </c>
      <c r="B488" s="2">
        <v>29</v>
      </c>
      <c r="C488" s="2">
        <v>11</v>
      </c>
      <c r="D488" s="2" t="s">
        <v>71</v>
      </c>
      <c r="E488" s="2">
        <v>1358</v>
      </c>
      <c r="F488" s="2" t="s">
        <v>38</v>
      </c>
      <c r="G488" s="2" t="s">
        <v>2717</v>
      </c>
      <c r="H488" s="2" t="s">
        <v>2895</v>
      </c>
      <c r="I488" s="2" t="s">
        <v>2896</v>
      </c>
      <c r="J488" s="2" t="s">
        <v>388</v>
      </c>
      <c r="K488" s="3">
        <v>46383</v>
      </c>
      <c r="L488" s="2" t="s">
        <v>2897</v>
      </c>
      <c r="M488" s="2" t="s">
        <v>2898</v>
      </c>
      <c r="N488" s="2" t="s">
        <v>34</v>
      </c>
      <c r="O488" s="2" t="s">
        <v>34</v>
      </c>
      <c r="P488" s="2" t="s">
        <v>36</v>
      </c>
    </row>
    <row r="489" spans="1:16" x14ac:dyDescent="0.2">
      <c r="A489" s="2" t="s">
        <v>2899</v>
      </c>
      <c r="B489" s="2">
        <v>29</v>
      </c>
      <c r="C489" s="2">
        <v>12</v>
      </c>
      <c r="D489" s="2" t="s">
        <v>71</v>
      </c>
      <c r="E489" s="2">
        <v>1324</v>
      </c>
      <c r="F489" s="2" t="s">
        <v>30</v>
      </c>
      <c r="G489" s="2" t="s">
        <v>2900</v>
      </c>
      <c r="H489" s="2" t="s">
        <v>2901</v>
      </c>
      <c r="I489" s="2" t="s">
        <v>2902</v>
      </c>
      <c r="J489" s="2" t="s">
        <v>34</v>
      </c>
      <c r="K489" s="2" t="s">
        <v>34</v>
      </c>
      <c r="L489" s="2" t="s">
        <v>2903</v>
      </c>
      <c r="M489" s="2" t="s">
        <v>34</v>
      </c>
      <c r="N489" s="2" t="s">
        <v>34</v>
      </c>
      <c r="O489" s="2" t="s">
        <v>34</v>
      </c>
      <c r="P489" s="2" t="s">
        <v>36</v>
      </c>
    </row>
    <row r="490" spans="1:16" x14ac:dyDescent="0.2">
      <c r="A490" s="2" t="s">
        <v>2904</v>
      </c>
      <c r="B490" s="2">
        <v>29</v>
      </c>
      <c r="C490" s="2">
        <v>13</v>
      </c>
      <c r="D490" s="2" t="s">
        <v>113</v>
      </c>
      <c r="E490" s="2">
        <v>2100</v>
      </c>
      <c r="F490" s="2" t="s">
        <v>38</v>
      </c>
      <c r="G490" s="2" t="s">
        <v>2905</v>
      </c>
      <c r="H490" s="2" t="s">
        <v>2906</v>
      </c>
      <c r="I490" s="2" t="s">
        <v>2907</v>
      </c>
      <c r="J490" s="2" t="s">
        <v>2908</v>
      </c>
      <c r="K490" s="3">
        <v>46311</v>
      </c>
      <c r="L490" s="2" t="s">
        <v>2909</v>
      </c>
      <c r="M490" s="2" t="s">
        <v>2910</v>
      </c>
      <c r="N490" s="2" t="s">
        <v>34</v>
      </c>
      <c r="O490" s="2" t="s">
        <v>2911</v>
      </c>
      <c r="P490" s="2" t="s">
        <v>36</v>
      </c>
    </row>
    <row r="491" spans="1:16" x14ac:dyDescent="0.2">
      <c r="A491" s="2" t="s">
        <v>2912</v>
      </c>
      <c r="B491" s="2">
        <v>29</v>
      </c>
      <c r="C491" s="2">
        <v>14</v>
      </c>
      <c r="D491" s="2" t="s">
        <v>113</v>
      </c>
      <c r="E491" s="2">
        <v>2182</v>
      </c>
      <c r="F491" s="2" t="s">
        <v>30</v>
      </c>
      <c r="G491" s="2" t="s">
        <v>2913</v>
      </c>
      <c r="H491" s="2" t="s">
        <v>2914</v>
      </c>
      <c r="I491" s="2" t="s">
        <v>2915</v>
      </c>
      <c r="J491" s="2" t="s">
        <v>34</v>
      </c>
      <c r="K491" s="2" t="s">
        <v>34</v>
      </c>
      <c r="L491" s="2" t="s">
        <v>2916</v>
      </c>
      <c r="M491" s="2" t="s">
        <v>2917</v>
      </c>
      <c r="N491" s="2" t="s">
        <v>2918</v>
      </c>
      <c r="O491" s="2" t="s">
        <v>34</v>
      </c>
      <c r="P491" s="2" t="s">
        <v>36</v>
      </c>
    </row>
    <row r="492" spans="1:16" x14ac:dyDescent="0.2">
      <c r="A492" s="2" t="s">
        <v>2919</v>
      </c>
      <c r="B492" s="2">
        <v>29</v>
      </c>
      <c r="C492" s="2">
        <v>15</v>
      </c>
      <c r="D492" s="2" t="s">
        <v>113</v>
      </c>
      <c r="E492" s="2">
        <v>2117</v>
      </c>
      <c r="F492" s="2" t="s">
        <v>38</v>
      </c>
      <c r="G492" s="2" t="s">
        <v>2920</v>
      </c>
      <c r="H492" s="2" t="s">
        <v>2921</v>
      </c>
      <c r="I492" s="2" t="s">
        <v>2922</v>
      </c>
      <c r="J492" s="2" t="s">
        <v>1497</v>
      </c>
      <c r="K492" s="3">
        <v>46378</v>
      </c>
      <c r="L492" s="2" t="s">
        <v>2923</v>
      </c>
      <c r="M492" s="2" t="s">
        <v>2924</v>
      </c>
      <c r="N492" s="2" t="s">
        <v>34</v>
      </c>
      <c r="O492" s="2" t="s">
        <v>34</v>
      </c>
      <c r="P492" s="2" t="s">
        <v>36</v>
      </c>
    </row>
    <row r="493" spans="1:16" x14ac:dyDescent="0.2">
      <c r="A493" s="2" t="s">
        <v>2925</v>
      </c>
      <c r="B493" s="2">
        <v>29</v>
      </c>
      <c r="C493" s="2">
        <v>16</v>
      </c>
      <c r="D493" s="2" t="s">
        <v>113</v>
      </c>
      <c r="E493" s="2">
        <v>1833</v>
      </c>
      <c r="F493" s="2" t="s">
        <v>38</v>
      </c>
      <c r="G493" s="2" t="s">
        <v>2926</v>
      </c>
      <c r="H493" s="2" t="s">
        <v>2927</v>
      </c>
      <c r="I493" s="2" t="s">
        <v>2928</v>
      </c>
      <c r="J493" s="2" t="s">
        <v>270</v>
      </c>
      <c r="K493" s="3">
        <v>46351</v>
      </c>
      <c r="L493" s="2" t="s">
        <v>2929</v>
      </c>
      <c r="M493" s="2" t="s">
        <v>34</v>
      </c>
      <c r="N493" s="2" t="s">
        <v>34</v>
      </c>
      <c r="O493" s="2" t="s">
        <v>2930</v>
      </c>
      <c r="P493" s="2" t="s">
        <v>36</v>
      </c>
    </row>
    <row r="494" spans="1:16" x14ac:dyDescent="0.2">
      <c r="A494" s="2" t="s">
        <v>2931</v>
      </c>
      <c r="B494" s="2">
        <v>29</v>
      </c>
      <c r="C494" s="2">
        <v>17</v>
      </c>
      <c r="D494" s="2" t="s">
        <v>144</v>
      </c>
      <c r="E494" s="2">
        <v>2932</v>
      </c>
      <c r="F494" s="2" t="s">
        <v>30</v>
      </c>
      <c r="G494" s="2" t="s">
        <v>1565</v>
      </c>
      <c r="H494" s="2" t="s">
        <v>2932</v>
      </c>
      <c r="I494" s="2" t="s">
        <v>2933</v>
      </c>
      <c r="J494" s="2" t="s">
        <v>34</v>
      </c>
      <c r="K494" s="2" t="s">
        <v>34</v>
      </c>
      <c r="L494" s="2" t="s">
        <v>2934</v>
      </c>
      <c r="M494" s="2" t="s">
        <v>2935</v>
      </c>
      <c r="N494" s="2" t="s">
        <v>34</v>
      </c>
      <c r="O494" s="2" t="s">
        <v>2936</v>
      </c>
      <c r="P494" s="2" t="s">
        <v>36</v>
      </c>
    </row>
    <row r="495" spans="1:16" x14ac:dyDescent="0.2">
      <c r="A495" s="2" t="s">
        <v>2937</v>
      </c>
      <c r="B495" s="2">
        <v>30</v>
      </c>
      <c r="C495" s="2">
        <v>1</v>
      </c>
      <c r="D495" s="2" t="s">
        <v>29</v>
      </c>
      <c r="E495" s="2">
        <v>947</v>
      </c>
      <c r="F495" s="2" t="s">
        <v>38</v>
      </c>
      <c r="G495" s="2" t="s">
        <v>1619</v>
      </c>
      <c r="H495" s="2" t="s">
        <v>2938</v>
      </c>
      <c r="I495" s="2" t="s">
        <v>2939</v>
      </c>
      <c r="J495" s="2" t="s">
        <v>1425</v>
      </c>
      <c r="K495" s="3">
        <v>46320</v>
      </c>
      <c r="L495" s="2" t="s">
        <v>2940</v>
      </c>
      <c r="M495" s="2" t="s">
        <v>34</v>
      </c>
      <c r="N495" s="2" t="s">
        <v>34</v>
      </c>
      <c r="O495" s="2" t="s">
        <v>34</v>
      </c>
      <c r="P495" s="2" t="s">
        <v>36</v>
      </c>
    </row>
    <row r="496" spans="1:16" x14ac:dyDescent="0.2">
      <c r="A496" s="2" t="s">
        <v>2941</v>
      </c>
      <c r="B496" s="2">
        <v>30</v>
      </c>
      <c r="C496" s="2">
        <v>2</v>
      </c>
      <c r="D496" s="2" t="s">
        <v>29</v>
      </c>
      <c r="E496" s="2">
        <v>851</v>
      </c>
      <c r="F496" s="2" t="s">
        <v>30</v>
      </c>
      <c r="G496" s="2" t="s">
        <v>2856</v>
      </c>
      <c r="H496" s="2" t="s">
        <v>2942</v>
      </c>
      <c r="I496" s="2" t="s">
        <v>2943</v>
      </c>
      <c r="J496" s="2" t="s">
        <v>34</v>
      </c>
      <c r="K496" s="2" t="s">
        <v>34</v>
      </c>
      <c r="L496" s="2" t="s">
        <v>2944</v>
      </c>
      <c r="M496" s="2" t="s">
        <v>34</v>
      </c>
      <c r="N496" s="2" t="s">
        <v>2945</v>
      </c>
      <c r="O496" s="2" t="s">
        <v>2946</v>
      </c>
      <c r="P496" s="2" t="s">
        <v>36</v>
      </c>
    </row>
    <row r="497" spans="1:16" x14ac:dyDescent="0.2">
      <c r="A497" s="2" t="s">
        <v>2947</v>
      </c>
      <c r="B497" s="2">
        <v>30</v>
      </c>
      <c r="C497" s="2">
        <v>3</v>
      </c>
      <c r="D497" s="2" t="s">
        <v>29</v>
      </c>
      <c r="E497" s="2">
        <v>826</v>
      </c>
      <c r="F497" s="2" t="s">
        <v>30</v>
      </c>
      <c r="G497" s="2" t="s">
        <v>2948</v>
      </c>
      <c r="H497" s="2" t="s">
        <v>2949</v>
      </c>
      <c r="I497" s="2" t="s">
        <v>2950</v>
      </c>
      <c r="J497" s="2" t="s">
        <v>34</v>
      </c>
      <c r="K497" s="2" t="s">
        <v>34</v>
      </c>
      <c r="L497" s="2" t="s">
        <v>2951</v>
      </c>
      <c r="M497" s="2" t="s">
        <v>34</v>
      </c>
      <c r="N497" s="2" t="s">
        <v>2952</v>
      </c>
      <c r="O497" s="2" t="s">
        <v>34</v>
      </c>
      <c r="P497" s="2" t="s">
        <v>36</v>
      </c>
    </row>
    <row r="498" spans="1:16" x14ac:dyDescent="0.2">
      <c r="A498" s="2" t="s">
        <v>2953</v>
      </c>
      <c r="B498" s="2">
        <v>30</v>
      </c>
      <c r="C498" s="2">
        <v>4</v>
      </c>
      <c r="D498" s="2" t="s">
        <v>29</v>
      </c>
      <c r="E498" s="2">
        <v>953</v>
      </c>
      <c r="F498" s="2" t="s">
        <v>30</v>
      </c>
      <c r="G498" s="2" t="s">
        <v>2954</v>
      </c>
      <c r="H498" s="2" t="s">
        <v>2955</v>
      </c>
      <c r="I498" s="2" t="s">
        <v>2956</v>
      </c>
      <c r="J498" s="2" t="s">
        <v>34</v>
      </c>
      <c r="K498" s="2" t="s">
        <v>34</v>
      </c>
      <c r="L498" s="2" t="s">
        <v>2957</v>
      </c>
      <c r="M498" s="2" t="s">
        <v>34</v>
      </c>
      <c r="N498" s="2" t="s">
        <v>34</v>
      </c>
      <c r="O498" s="2" t="s">
        <v>34</v>
      </c>
      <c r="P498" s="2" t="s">
        <v>78</v>
      </c>
    </row>
    <row r="499" spans="1:16" x14ac:dyDescent="0.2">
      <c r="A499" s="2" t="s">
        <v>2958</v>
      </c>
      <c r="B499" s="2">
        <v>30</v>
      </c>
      <c r="C499" s="2">
        <v>5</v>
      </c>
      <c r="D499" s="2" t="s">
        <v>29</v>
      </c>
      <c r="E499" s="2">
        <v>958</v>
      </c>
      <c r="F499" s="2" t="s">
        <v>38</v>
      </c>
      <c r="G499" s="2" t="s">
        <v>1055</v>
      </c>
      <c r="H499" s="2" t="s">
        <v>2959</v>
      </c>
      <c r="I499" s="2" t="s">
        <v>2960</v>
      </c>
      <c r="J499" s="2" t="s">
        <v>270</v>
      </c>
      <c r="K499" s="3">
        <v>46345</v>
      </c>
      <c r="L499" s="2" t="s">
        <v>2961</v>
      </c>
      <c r="M499" s="2" t="s">
        <v>34</v>
      </c>
      <c r="N499" s="2" t="s">
        <v>34</v>
      </c>
      <c r="O499" s="2" t="s">
        <v>34</v>
      </c>
      <c r="P499" s="2" t="s">
        <v>36</v>
      </c>
    </row>
    <row r="500" spans="1:16" x14ac:dyDescent="0.2">
      <c r="A500" s="2" t="s">
        <v>2962</v>
      </c>
      <c r="B500" s="2">
        <v>30</v>
      </c>
      <c r="C500" s="2">
        <v>6</v>
      </c>
      <c r="D500" s="2" t="s">
        <v>29</v>
      </c>
      <c r="E500" s="2">
        <v>865</v>
      </c>
      <c r="F500" s="2" t="s">
        <v>30</v>
      </c>
      <c r="G500" s="2" t="s">
        <v>2948</v>
      </c>
      <c r="H500" s="2" t="s">
        <v>2963</v>
      </c>
      <c r="I500" s="2" t="s">
        <v>2964</v>
      </c>
      <c r="J500" s="2" t="s">
        <v>34</v>
      </c>
      <c r="K500" s="2" t="s">
        <v>34</v>
      </c>
      <c r="L500" s="2" t="s">
        <v>2965</v>
      </c>
      <c r="M500" s="2" t="s">
        <v>34</v>
      </c>
      <c r="N500" s="2" t="s">
        <v>34</v>
      </c>
      <c r="O500" s="2" t="s">
        <v>34</v>
      </c>
      <c r="P500" s="2" t="s">
        <v>36</v>
      </c>
    </row>
    <row r="501" spans="1:16" x14ac:dyDescent="0.2">
      <c r="A501" s="2" t="s">
        <v>2966</v>
      </c>
      <c r="B501" s="2">
        <v>30</v>
      </c>
      <c r="C501" s="2">
        <v>7</v>
      </c>
      <c r="D501" s="2" t="s">
        <v>71</v>
      </c>
      <c r="E501" s="2">
        <v>1517</v>
      </c>
      <c r="F501" s="2" t="s">
        <v>30</v>
      </c>
      <c r="G501" s="2" t="s">
        <v>1375</v>
      </c>
      <c r="H501" s="2" t="s">
        <v>2967</v>
      </c>
      <c r="I501" s="2" t="s">
        <v>2968</v>
      </c>
      <c r="J501" s="2" t="s">
        <v>34</v>
      </c>
      <c r="K501" s="2" t="s">
        <v>34</v>
      </c>
      <c r="L501" s="2" t="s">
        <v>2969</v>
      </c>
      <c r="M501" s="2" t="s">
        <v>2970</v>
      </c>
      <c r="N501" s="2" t="s">
        <v>34</v>
      </c>
      <c r="O501" s="2" t="s">
        <v>2971</v>
      </c>
      <c r="P501" s="2" t="s">
        <v>36</v>
      </c>
    </row>
    <row r="502" spans="1:16" x14ac:dyDescent="0.2">
      <c r="A502" s="2" t="s">
        <v>2972</v>
      </c>
      <c r="B502" s="2">
        <v>30</v>
      </c>
      <c r="C502" s="2">
        <v>8</v>
      </c>
      <c r="D502" s="2" t="s">
        <v>71</v>
      </c>
      <c r="E502" s="2">
        <v>1325</v>
      </c>
      <c r="F502" s="2" t="s">
        <v>30</v>
      </c>
      <c r="G502" s="2" t="s">
        <v>273</v>
      </c>
      <c r="H502" s="2" t="s">
        <v>2973</v>
      </c>
      <c r="I502" s="2" t="s">
        <v>2974</v>
      </c>
      <c r="J502" s="2" t="s">
        <v>34</v>
      </c>
      <c r="K502" s="2" t="s">
        <v>34</v>
      </c>
      <c r="L502" s="2" t="s">
        <v>2975</v>
      </c>
      <c r="M502" s="2" t="s">
        <v>34</v>
      </c>
      <c r="N502" s="2" t="s">
        <v>34</v>
      </c>
      <c r="O502" s="2" t="s">
        <v>2976</v>
      </c>
      <c r="P502" s="2" t="s">
        <v>36</v>
      </c>
    </row>
    <row r="503" spans="1:16" x14ac:dyDescent="0.2">
      <c r="A503" s="2" t="s">
        <v>2977</v>
      </c>
      <c r="B503" s="2">
        <v>30</v>
      </c>
      <c r="C503" s="2">
        <v>9</v>
      </c>
      <c r="D503" s="2" t="s">
        <v>71</v>
      </c>
      <c r="E503" s="2">
        <v>1354</v>
      </c>
      <c r="F503" s="2" t="s">
        <v>30</v>
      </c>
      <c r="G503" s="2" t="s">
        <v>2978</v>
      </c>
      <c r="H503" s="2" t="s">
        <v>2979</v>
      </c>
      <c r="I503" s="2" t="s">
        <v>2980</v>
      </c>
      <c r="J503" s="2" t="s">
        <v>34</v>
      </c>
      <c r="K503" s="2" t="s">
        <v>34</v>
      </c>
      <c r="L503" s="2" t="s">
        <v>2981</v>
      </c>
      <c r="M503" s="2" t="s">
        <v>2982</v>
      </c>
      <c r="N503" s="2" t="s">
        <v>34</v>
      </c>
      <c r="O503" s="2" t="s">
        <v>34</v>
      </c>
      <c r="P503" s="2" t="s">
        <v>36</v>
      </c>
    </row>
    <row r="504" spans="1:16" x14ac:dyDescent="0.2">
      <c r="A504" s="2" t="s">
        <v>2983</v>
      </c>
      <c r="B504" s="2">
        <v>30</v>
      </c>
      <c r="C504" s="2">
        <v>10</v>
      </c>
      <c r="D504" s="2" t="s">
        <v>71</v>
      </c>
      <c r="E504" s="2">
        <v>1223</v>
      </c>
      <c r="F504" s="2" t="s">
        <v>30</v>
      </c>
      <c r="G504" s="2" t="s">
        <v>1572</v>
      </c>
      <c r="H504" s="2" t="s">
        <v>2984</v>
      </c>
      <c r="I504" s="2" t="s">
        <v>2985</v>
      </c>
      <c r="J504" s="2" t="s">
        <v>34</v>
      </c>
      <c r="K504" s="2" t="s">
        <v>34</v>
      </c>
      <c r="L504" s="2" t="s">
        <v>2986</v>
      </c>
      <c r="M504" s="2" t="s">
        <v>2987</v>
      </c>
      <c r="N504" s="2" t="s">
        <v>34</v>
      </c>
      <c r="O504" s="2" t="s">
        <v>2988</v>
      </c>
      <c r="P504" s="2" t="s">
        <v>36</v>
      </c>
    </row>
    <row r="505" spans="1:16" x14ac:dyDescent="0.2">
      <c r="A505" s="2" t="s">
        <v>2989</v>
      </c>
      <c r="B505" s="2">
        <v>30</v>
      </c>
      <c r="C505" s="2">
        <v>11</v>
      </c>
      <c r="D505" s="2" t="s">
        <v>71</v>
      </c>
      <c r="E505" s="2">
        <v>1395</v>
      </c>
      <c r="F505" s="2" t="s">
        <v>38</v>
      </c>
      <c r="G505" s="2" t="s">
        <v>2399</v>
      </c>
      <c r="H505" s="2" t="s">
        <v>2990</v>
      </c>
      <c r="I505" s="2" t="s">
        <v>2991</v>
      </c>
      <c r="J505" s="2" t="s">
        <v>2992</v>
      </c>
      <c r="K505" s="3">
        <v>46407</v>
      </c>
      <c r="L505" s="2" t="s">
        <v>2993</v>
      </c>
      <c r="M505" s="2" t="s">
        <v>2994</v>
      </c>
      <c r="N505" s="2" t="s">
        <v>34</v>
      </c>
      <c r="O505" s="2" t="s">
        <v>2995</v>
      </c>
      <c r="P505" s="2" t="s">
        <v>36</v>
      </c>
    </row>
    <row r="506" spans="1:16" x14ac:dyDescent="0.2">
      <c r="A506" s="2" t="s">
        <v>2996</v>
      </c>
      <c r="B506" s="2">
        <v>30</v>
      </c>
      <c r="C506" s="2">
        <v>12</v>
      </c>
      <c r="D506" s="2" t="s">
        <v>71</v>
      </c>
      <c r="E506" s="2">
        <v>1352</v>
      </c>
      <c r="F506" s="2" t="s">
        <v>38</v>
      </c>
      <c r="G506" s="2" t="s">
        <v>1650</v>
      </c>
      <c r="H506" s="2" t="s">
        <v>2997</v>
      </c>
      <c r="I506" s="2" t="s">
        <v>2998</v>
      </c>
      <c r="J506" s="2" t="s">
        <v>2999</v>
      </c>
      <c r="K506" s="3">
        <v>46256</v>
      </c>
      <c r="L506" s="2" t="s">
        <v>3000</v>
      </c>
      <c r="M506" s="2" t="s">
        <v>34</v>
      </c>
      <c r="N506" s="2" t="s">
        <v>34</v>
      </c>
      <c r="O506" s="2" t="s">
        <v>3001</v>
      </c>
      <c r="P506" s="2" t="s">
        <v>78</v>
      </c>
    </row>
    <row r="507" spans="1:16" x14ac:dyDescent="0.2">
      <c r="A507" s="2" t="s">
        <v>3002</v>
      </c>
      <c r="B507" s="2">
        <v>30</v>
      </c>
      <c r="C507" s="2">
        <v>13</v>
      </c>
      <c r="D507" s="2" t="s">
        <v>113</v>
      </c>
      <c r="E507" s="2">
        <v>1869</v>
      </c>
      <c r="F507" s="2" t="s">
        <v>30</v>
      </c>
      <c r="G507" s="2" t="s">
        <v>923</v>
      </c>
      <c r="H507" s="2" t="s">
        <v>3003</v>
      </c>
      <c r="I507" s="2" t="s">
        <v>3004</v>
      </c>
      <c r="J507" s="2" t="s">
        <v>34</v>
      </c>
      <c r="K507" s="2" t="s">
        <v>34</v>
      </c>
      <c r="L507" s="2" t="s">
        <v>3005</v>
      </c>
      <c r="M507" s="2" t="s">
        <v>3006</v>
      </c>
      <c r="N507" s="2" t="s">
        <v>34</v>
      </c>
      <c r="O507" s="2" t="s">
        <v>3007</v>
      </c>
      <c r="P507" s="2" t="s">
        <v>36</v>
      </c>
    </row>
    <row r="508" spans="1:16" x14ac:dyDescent="0.2">
      <c r="A508" s="2" t="s">
        <v>3008</v>
      </c>
      <c r="B508" s="2">
        <v>30</v>
      </c>
      <c r="C508" s="2">
        <v>14</v>
      </c>
      <c r="D508" s="2" t="s">
        <v>113</v>
      </c>
      <c r="E508" s="2">
        <v>1994</v>
      </c>
      <c r="F508" s="2" t="s">
        <v>30</v>
      </c>
      <c r="G508" s="2" t="s">
        <v>919</v>
      </c>
      <c r="H508" s="2" t="s">
        <v>3009</v>
      </c>
      <c r="I508" s="2" t="s">
        <v>3010</v>
      </c>
      <c r="J508" s="2" t="s">
        <v>34</v>
      </c>
      <c r="K508" s="2" t="s">
        <v>34</v>
      </c>
      <c r="L508" s="2" t="s">
        <v>3011</v>
      </c>
      <c r="M508" s="2" t="s">
        <v>3012</v>
      </c>
      <c r="N508" s="2" t="s">
        <v>34</v>
      </c>
      <c r="O508" s="2" t="s">
        <v>3013</v>
      </c>
      <c r="P508" s="2" t="s">
        <v>36</v>
      </c>
    </row>
    <row r="509" spans="1:16" x14ac:dyDescent="0.2">
      <c r="A509" s="2" t="s">
        <v>3014</v>
      </c>
      <c r="B509" s="2">
        <v>30</v>
      </c>
      <c r="C509" s="2">
        <v>15</v>
      </c>
      <c r="D509" s="2" t="s">
        <v>113</v>
      </c>
      <c r="E509" s="2">
        <v>1957</v>
      </c>
      <c r="F509" s="2" t="s">
        <v>30</v>
      </c>
      <c r="G509" s="2" t="s">
        <v>3015</v>
      </c>
      <c r="H509" s="2" t="s">
        <v>3016</v>
      </c>
      <c r="I509" s="2" t="s">
        <v>3017</v>
      </c>
      <c r="J509" s="2" t="s">
        <v>34</v>
      </c>
      <c r="K509" s="2" t="s">
        <v>34</v>
      </c>
      <c r="L509" s="2" t="s">
        <v>3018</v>
      </c>
      <c r="M509" s="2" t="s">
        <v>3019</v>
      </c>
      <c r="N509" s="2" t="s">
        <v>34</v>
      </c>
      <c r="O509" s="2" t="s">
        <v>3020</v>
      </c>
      <c r="P509" s="2" t="s">
        <v>36</v>
      </c>
    </row>
    <row r="510" spans="1:16" x14ac:dyDescent="0.2">
      <c r="A510" s="2" t="s">
        <v>3021</v>
      </c>
      <c r="B510" s="2">
        <v>30</v>
      </c>
      <c r="C510" s="2">
        <v>16</v>
      </c>
      <c r="D510" s="2" t="s">
        <v>113</v>
      </c>
      <c r="E510" s="2">
        <v>1669</v>
      </c>
      <c r="F510" s="2" t="s">
        <v>38</v>
      </c>
      <c r="G510" s="2" t="s">
        <v>3022</v>
      </c>
      <c r="H510" s="2" t="s">
        <v>3023</v>
      </c>
      <c r="I510" s="2" t="s">
        <v>3024</v>
      </c>
      <c r="J510" s="2" t="s">
        <v>3025</v>
      </c>
      <c r="K510" s="3">
        <v>46229</v>
      </c>
      <c r="L510" s="2" t="s">
        <v>3026</v>
      </c>
      <c r="M510" s="2" t="s">
        <v>3027</v>
      </c>
      <c r="N510" s="2" t="s">
        <v>34</v>
      </c>
      <c r="O510" s="2" t="s">
        <v>34</v>
      </c>
      <c r="P510" s="2" t="s">
        <v>78</v>
      </c>
    </row>
    <row r="511" spans="1:16" x14ac:dyDescent="0.2">
      <c r="A511" s="2" t="s">
        <v>3028</v>
      </c>
      <c r="B511" s="2">
        <v>30</v>
      </c>
      <c r="C511" s="2">
        <v>17</v>
      </c>
      <c r="D511" s="2" t="s">
        <v>144</v>
      </c>
      <c r="E511" s="2">
        <v>3869</v>
      </c>
      <c r="F511" s="2" t="s">
        <v>30</v>
      </c>
      <c r="G511" s="2" t="s">
        <v>3029</v>
      </c>
      <c r="H511" s="2" t="s">
        <v>3030</v>
      </c>
      <c r="I511" s="2" t="s">
        <v>3031</v>
      </c>
      <c r="J511" s="2" t="s">
        <v>34</v>
      </c>
      <c r="K511" s="2" t="s">
        <v>34</v>
      </c>
      <c r="L511" s="2" t="s">
        <v>3032</v>
      </c>
      <c r="M511" s="2" t="s">
        <v>3033</v>
      </c>
      <c r="N511" s="2" t="s">
        <v>34</v>
      </c>
      <c r="O511" s="2" t="s">
        <v>34</v>
      </c>
      <c r="P511" s="2" t="s">
        <v>36</v>
      </c>
    </row>
    <row r="512" spans="1:16" x14ac:dyDescent="0.2">
      <c r="A512" s="2" t="s">
        <v>3034</v>
      </c>
      <c r="B512" s="2">
        <v>31</v>
      </c>
      <c r="C512" s="2">
        <v>1</v>
      </c>
      <c r="D512" s="2" t="s">
        <v>29</v>
      </c>
      <c r="E512" s="2">
        <v>836</v>
      </c>
      <c r="F512" s="2" t="s">
        <v>30</v>
      </c>
      <c r="G512" s="2" t="s">
        <v>2821</v>
      </c>
      <c r="H512" s="2" t="s">
        <v>3035</v>
      </c>
      <c r="I512" s="2" t="s">
        <v>3036</v>
      </c>
      <c r="J512" s="2" t="s">
        <v>34</v>
      </c>
      <c r="K512" s="2" t="s">
        <v>34</v>
      </c>
      <c r="L512" s="2" t="s">
        <v>3037</v>
      </c>
      <c r="M512" s="2" t="s">
        <v>34</v>
      </c>
      <c r="N512" s="2" t="s">
        <v>34</v>
      </c>
      <c r="O512" s="2" t="s">
        <v>3038</v>
      </c>
      <c r="P512" s="2" t="s">
        <v>36</v>
      </c>
    </row>
    <row r="513" spans="1:16" x14ac:dyDescent="0.2">
      <c r="A513" s="2" t="s">
        <v>3039</v>
      </c>
      <c r="B513" s="2">
        <v>31</v>
      </c>
      <c r="C513" s="2">
        <v>2</v>
      </c>
      <c r="D513" s="2" t="s">
        <v>29</v>
      </c>
      <c r="E513" s="2">
        <v>881</v>
      </c>
      <c r="F513" s="2" t="s">
        <v>30</v>
      </c>
      <c r="G513" s="2" t="s">
        <v>3040</v>
      </c>
      <c r="H513" s="2" t="s">
        <v>3041</v>
      </c>
      <c r="I513" s="2" t="s">
        <v>3042</v>
      </c>
      <c r="J513" s="2" t="s">
        <v>34</v>
      </c>
      <c r="K513" s="2" t="s">
        <v>34</v>
      </c>
      <c r="L513" s="2" t="s">
        <v>3043</v>
      </c>
      <c r="M513" s="2" t="s">
        <v>34</v>
      </c>
      <c r="N513" s="2" t="s">
        <v>34</v>
      </c>
      <c r="O513" s="2" t="s">
        <v>3044</v>
      </c>
      <c r="P513" s="2" t="s">
        <v>78</v>
      </c>
    </row>
    <row r="514" spans="1:16" x14ac:dyDescent="0.2">
      <c r="A514" s="2" t="s">
        <v>3045</v>
      </c>
      <c r="B514" s="2">
        <v>31</v>
      </c>
      <c r="C514" s="2">
        <v>3</v>
      </c>
      <c r="D514" s="2" t="s">
        <v>29</v>
      </c>
      <c r="E514" s="2">
        <v>928</v>
      </c>
      <c r="F514" s="2" t="s">
        <v>30</v>
      </c>
      <c r="G514" s="2" t="s">
        <v>2856</v>
      </c>
      <c r="H514" s="2" t="s">
        <v>3046</v>
      </c>
      <c r="I514" s="2" t="s">
        <v>3047</v>
      </c>
      <c r="J514" s="2" t="s">
        <v>34</v>
      </c>
      <c r="K514" s="2" t="s">
        <v>34</v>
      </c>
      <c r="L514" s="2" t="s">
        <v>3048</v>
      </c>
      <c r="M514" s="2" t="s">
        <v>34</v>
      </c>
      <c r="N514" s="2" t="s">
        <v>34</v>
      </c>
      <c r="O514" s="2" t="s">
        <v>3049</v>
      </c>
      <c r="P514" s="2" t="s">
        <v>36</v>
      </c>
    </row>
    <row r="515" spans="1:16" x14ac:dyDescent="0.2">
      <c r="A515" s="2" t="s">
        <v>3050</v>
      </c>
      <c r="B515" s="2">
        <v>31</v>
      </c>
      <c r="C515" s="2">
        <v>4</v>
      </c>
      <c r="D515" s="2" t="s">
        <v>29</v>
      </c>
      <c r="E515" s="2">
        <v>865</v>
      </c>
      <c r="F515" s="2" t="s">
        <v>38</v>
      </c>
      <c r="G515" s="2" t="s">
        <v>3051</v>
      </c>
      <c r="H515" s="2" t="s">
        <v>3052</v>
      </c>
      <c r="I515" s="2" t="s">
        <v>3053</v>
      </c>
      <c r="J515" s="2" t="s">
        <v>3054</v>
      </c>
      <c r="K515" s="3">
        <v>46294</v>
      </c>
      <c r="L515" s="2" t="s">
        <v>3055</v>
      </c>
      <c r="M515" s="2" t="s">
        <v>34</v>
      </c>
      <c r="N515" s="2" t="s">
        <v>3056</v>
      </c>
      <c r="O515" s="2" t="s">
        <v>3057</v>
      </c>
      <c r="P515" s="2" t="s">
        <v>78</v>
      </c>
    </row>
    <row r="516" spans="1:16" x14ac:dyDescent="0.2">
      <c r="A516" s="2" t="s">
        <v>3058</v>
      </c>
      <c r="B516" s="2">
        <v>31</v>
      </c>
      <c r="C516" s="2">
        <v>5</v>
      </c>
      <c r="D516" s="2" t="s">
        <v>29</v>
      </c>
      <c r="E516" s="2">
        <v>913</v>
      </c>
      <c r="F516" s="2" t="s">
        <v>38</v>
      </c>
      <c r="G516" s="2" t="s">
        <v>3059</v>
      </c>
      <c r="H516" s="2" t="s">
        <v>3060</v>
      </c>
      <c r="I516" s="2" t="s">
        <v>3061</v>
      </c>
      <c r="J516" s="2" t="s">
        <v>949</v>
      </c>
      <c r="K516" s="3">
        <v>46173</v>
      </c>
      <c r="L516" s="2" t="s">
        <v>3062</v>
      </c>
      <c r="M516" s="2" t="s">
        <v>34</v>
      </c>
      <c r="N516" s="2" t="s">
        <v>34</v>
      </c>
      <c r="O516" s="2" t="s">
        <v>34</v>
      </c>
      <c r="P516" s="2" t="s">
        <v>36</v>
      </c>
    </row>
    <row r="517" spans="1:16" x14ac:dyDescent="0.2">
      <c r="A517" s="2" t="s">
        <v>3063</v>
      </c>
      <c r="B517" s="2">
        <v>31</v>
      </c>
      <c r="C517" s="2">
        <v>6</v>
      </c>
      <c r="D517" s="2" t="s">
        <v>29</v>
      </c>
      <c r="E517" s="2">
        <v>968</v>
      </c>
      <c r="F517" s="2" t="s">
        <v>38</v>
      </c>
      <c r="G517" s="2" t="s">
        <v>2371</v>
      </c>
      <c r="H517" s="2" t="s">
        <v>3064</v>
      </c>
      <c r="I517" s="2" t="s">
        <v>3065</v>
      </c>
      <c r="J517" s="2" t="s">
        <v>2826</v>
      </c>
      <c r="K517" s="3">
        <v>46495</v>
      </c>
      <c r="L517" s="2" t="s">
        <v>3066</v>
      </c>
      <c r="M517" s="2" t="s">
        <v>34</v>
      </c>
      <c r="N517" s="2" t="s">
        <v>34</v>
      </c>
      <c r="O517" s="2" t="s">
        <v>3067</v>
      </c>
      <c r="P517" s="2" t="s">
        <v>36</v>
      </c>
    </row>
    <row r="518" spans="1:16" x14ac:dyDescent="0.2">
      <c r="A518" s="2" t="s">
        <v>3068</v>
      </c>
      <c r="B518" s="2">
        <v>31</v>
      </c>
      <c r="C518" s="2">
        <v>7</v>
      </c>
      <c r="D518" s="2" t="s">
        <v>71</v>
      </c>
      <c r="E518" s="2">
        <v>1396</v>
      </c>
      <c r="F518" s="2" t="s">
        <v>30</v>
      </c>
      <c r="G518" s="2" t="s">
        <v>3069</v>
      </c>
      <c r="H518" s="2" t="s">
        <v>3070</v>
      </c>
      <c r="I518" s="2" t="s">
        <v>3071</v>
      </c>
      <c r="J518" s="2" t="s">
        <v>34</v>
      </c>
      <c r="K518" s="2" t="s">
        <v>34</v>
      </c>
      <c r="L518" s="2" t="s">
        <v>3072</v>
      </c>
      <c r="M518" s="2" t="s">
        <v>3073</v>
      </c>
      <c r="N518" s="2" t="s">
        <v>34</v>
      </c>
      <c r="O518" s="2" t="s">
        <v>3074</v>
      </c>
      <c r="P518" s="2" t="s">
        <v>36</v>
      </c>
    </row>
    <row r="519" spans="1:16" x14ac:dyDescent="0.2">
      <c r="A519" s="2" t="s">
        <v>3075</v>
      </c>
      <c r="B519" s="2">
        <v>31</v>
      </c>
      <c r="C519" s="2">
        <v>8</v>
      </c>
      <c r="D519" s="2" t="s">
        <v>71</v>
      </c>
      <c r="E519" s="2">
        <v>1237</v>
      </c>
      <c r="F519" s="2" t="s">
        <v>30</v>
      </c>
      <c r="G519" s="2" t="s">
        <v>3076</v>
      </c>
      <c r="H519" s="2" t="s">
        <v>3077</v>
      </c>
      <c r="I519" s="2" t="s">
        <v>3078</v>
      </c>
      <c r="J519" s="2" t="s">
        <v>34</v>
      </c>
      <c r="K519" s="2" t="s">
        <v>34</v>
      </c>
      <c r="L519" s="2" t="s">
        <v>3079</v>
      </c>
      <c r="M519" s="2" t="s">
        <v>34</v>
      </c>
      <c r="N519" s="2" t="s">
        <v>34</v>
      </c>
      <c r="O519" s="2" t="s">
        <v>34</v>
      </c>
      <c r="P519" s="2" t="s">
        <v>36</v>
      </c>
    </row>
    <row r="520" spans="1:16" x14ac:dyDescent="0.2">
      <c r="A520" s="2" t="s">
        <v>3080</v>
      </c>
      <c r="B520" s="2">
        <v>31</v>
      </c>
      <c r="C520" s="2">
        <v>9</v>
      </c>
      <c r="D520" s="2" t="s">
        <v>71</v>
      </c>
      <c r="E520" s="2">
        <v>1337</v>
      </c>
      <c r="F520" s="2" t="s">
        <v>38</v>
      </c>
      <c r="G520" s="2" t="s">
        <v>443</v>
      </c>
      <c r="H520" s="2" t="s">
        <v>3081</v>
      </c>
      <c r="I520" s="2" t="s">
        <v>3082</v>
      </c>
      <c r="J520" s="2" t="s">
        <v>3083</v>
      </c>
      <c r="K520" s="3">
        <v>46426</v>
      </c>
      <c r="L520" s="2" t="s">
        <v>3084</v>
      </c>
      <c r="M520" s="2" t="s">
        <v>34</v>
      </c>
      <c r="N520" s="2" t="s">
        <v>34</v>
      </c>
      <c r="O520" s="2" t="s">
        <v>34</v>
      </c>
      <c r="P520" s="2" t="s">
        <v>36</v>
      </c>
    </row>
    <row r="521" spans="1:16" x14ac:dyDescent="0.2">
      <c r="A521" s="2" t="s">
        <v>3085</v>
      </c>
      <c r="B521" s="2">
        <v>31</v>
      </c>
      <c r="C521" s="2">
        <v>10</v>
      </c>
      <c r="D521" s="2" t="s">
        <v>71</v>
      </c>
      <c r="E521" s="2">
        <v>1507</v>
      </c>
      <c r="F521" s="2" t="s">
        <v>30</v>
      </c>
      <c r="G521" s="2" t="s">
        <v>3086</v>
      </c>
      <c r="H521" s="2" t="s">
        <v>3087</v>
      </c>
      <c r="I521" s="2" t="s">
        <v>3088</v>
      </c>
      <c r="J521" s="2" t="s">
        <v>34</v>
      </c>
      <c r="K521" s="2" t="s">
        <v>34</v>
      </c>
      <c r="L521" s="2" t="s">
        <v>3089</v>
      </c>
      <c r="M521" s="2" t="s">
        <v>3090</v>
      </c>
      <c r="N521" s="2" t="s">
        <v>34</v>
      </c>
      <c r="O521" s="2" t="s">
        <v>3091</v>
      </c>
      <c r="P521" s="2" t="s">
        <v>78</v>
      </c>
    </row>
    <row r="522" spans="1:16" x14ac:dyDescent="0.2">
      <c r="A522" s="2" t="s">
        <v>3092</v>
      </c>
      <c r="B522" s="2">
        <v>31</v>
      </c>
      <c r="C522" s="2">
        <v>11</v>
      </c>
      <c r="D522" s="2" t="s">
        <v>71</v>
      </c>
      <c r="E522" s="2">
        <v>1334</v>
      </c>
      <c r="F522" s="2" t="s">
        <v>30</v>
      </c>
      <c r="G522" s="2" t="s">
        <v>3093</v>
      </c>
      <c r="H522" s="2" t="s">
        <v>3094</v>
      </c>
      <c r="I522" s="2" t="s">
        <v>3095</v>
      </c>
      <c r="J522" s="2" t="s">
        <v>34</v>
      </c>
      <c r="K522" s="2" t="s">
        <v>34</v>
      </c>
      <c r="L522" s="2" t="s">
        <v>3096</v>
      </c>
      <c r="M522" s="2" t="s">
        <v>3097</v>
      </c>
      <c r="N522" s="2" t="s">
        <v>34</v>
      </c>
      <c r="O522" s="2" t="s">
        <v>34</v>
      </c>
      <c r="P522" s="2" t="s">
        <v>78</v>
      </c>
    </row>
    <row r="523" spans="1:16" x14ac:dyDescent="0.2">
      <c r="A523" s="2" t="s">
        <v>3098</v>
      </c>
      <c r="B523" s="2">
        <v>31</v>
      </c>
      <c r="C523" s="2">
        <v>12</v>
      </c>
      <c r="D523" s="2" t="s">
        <v>71</v>
      </c>
      <c r="E523" s="2">
        <v>1197</v>
      </c>
      <c r="F523" s="2" t="s">
        <v>38</v>
      </c>
      <c r="G523" s="2" t="s">
        <v>2954</v>
      </c>
      <c r="H523" s="2" t="s">
        <v>3099</v>
      </c>
      <c r="I523" s="2" t="s">
        <v>3100</v>
      </c>
      <c r="J523" s="2" t="s">
        <v>128</v>
      </c>
      <c r="K523" s="3">
        <v>46288</v>
      </c>
      <c r="L523" s="2" t="s">
        <v>3101</v>
      </c>
      <c r="M523" s="2" t="s">
        <v>34</v>
      </c>
      <c r="N523" s="2" t="s">
        <v>34</v>
      </c>
      <c r="O523" s="2" t="s">
        <v>34</v>
      </c>
      <c r="P523" s="2" t="s">
        <v>36</v>
      </c>
    </row>
    <row r="524" spans="1:16" x14ac:dyDescent="0.2">
      <c r="A524" s="2" t="s">
        <v>3102</v>
      </c>
      <c r="B524" s="2">
        <v>31</v>
      </c>
      <c r="C524" s="2">
        <v>13</v>
      </c>
      <c r="D524" s="2" t="s">
        <v>113</v>
      </c>
      <c r="E524" s="2">
        <v>2010</v>
      </c>
      <c r="F524" s="2" t="s">
        <v>30</v>
      </c>
      <c r="G524" s="2" t="s">
        <v>3103</v>
      </c>
      <c r="H524" s="2" t="s">
        <v>3104</v>
      </c>
      <c r="I524" s="2" t="s">
        <v>3105</v>
      </c>
      <c r="J524" s="2" t="s">
        <v>34</v>
      </c>
      <c r="K524" s="2" t="s">
        <v>34</v>
      </c>
      <c r="L524" s="2" t="s">
        <v>3106</v>
      </c>
      <c r="M524" s="2" t="s">
        <v>34</v>
      </c>
      <c r="N524" s="2" t="s">
        <v>3107</v>
      </c>
      <c r="O524" s="2" t="s">
        <v>34</v>
      </c>
      <c r="P524" s="2" t="s">
        <v>36</v>
      </c>
    </row>
    <row r="525" spans="1:16" x14ac:dyDescent="0.2">
      <c r="A525" s="2" t="s">
        <v>3108</v>
      </c>
      <c r="B525" s="2">
        <v>31</v>
      </c>
      <c r="C525" s="2">
        <v>14</v>
      </c>
      <c r="D525" s="2" t="s">
        <v>113</v>
      </c>
      <c r="E525" s="2">
        <v>2104</v>
      </c>
      <c r="F525" s="2" t="s">
        <v>30</v>
      </c>
      <c r="G525" s="2" t="s">
        <v>3109</v>
      </c>
      <c r="H525" s="2" t="s">
        <v>3110</v>
      </c>
      <c r="I525" s="2" t="s">
        <v>3111</v>
      </c>
      <c r="J525" s="2" t="s">
        <v>34</v>
      </c>
      <c r="K525" s="2" t="s">
        <v>34</v>
      </c>
      <c r="L525" s="2" t="s">
        <v>3112</v>
      </c>
      <c r="M525" s="2" t="s">
        <v>34</v>
      </c>
      <c r="N525" s="2" t="s">
        <v>3113</v>
      </c>
      <c r="O525" s="2" t="s">
        <v>3114</v>
      </c>
      <c r="P525" s="2" t="s">
        <v>36</v>
      </c>
    </row>
    <row r="526" spans="1:16" x14ac:dyDescent="0.2">
      <c r="A526" s="2" t="s">
        <v>3115</v>
      </c>
      <c r="B526" s="2">
        <v>31</v>
      </c>
      <c r="C526" s="2">
        <v>15</v>
      </c>
      <c r="D526" s="2" t="s">
        <v>113</v>
      </c>
      <c r="E526" s="2">
        <v>1783</v>
      </c>
      <c r="F526" s="2" t="s">
        <v>38</v>
      </c>
      <c r="G526" s="2" t="s">
        <v>791</v>
      </c>
      <c r="H526" s="2" t="s">
        <v>3116</v>
      </c>
      <c r="I526" s="2" t="s">
        <v>3117</v>
      </c>
      <c r="J526" s="2" t="s">
        <v>250</v>
      </c>
      <c r="K526" s="3">
        <v>46459</v>
      </c>
      <c r="L526" s="2" t="s">
        <v>3118</v>
      </c>
      <c r="M526" s="2" t="s">
        <v>3119</v>
      </c>
      <c r="N526" s="2" t="s">
        <v>34</v>
      </c>
      <c r="O526" s="2" t="s">
        <v>34</v>
      </c>
      <c r="P526" s="2" t="s">
        <v>78</v>
      </c>
    </row>
    <row r="527" spans="1:16" x14ac:dyDescent="0.2">
      <c r="A527" s="2" t="s">
        <v>3120</v>
      </c>
      <c r="B527" s="2">
        <v>31</v>
      </c>
      <c r="C527" s="2">
        <v>16</v>
      </c>
      <c r="D527" s="2" t="s">
        <v>113</v>
      </c>
      <c r="E527" s="2">
        <v>2074</v>
      </c>
      <c r="F527" s="2" t="s">
        <v>30</v>
      </c>
      <c r="G527" s="2" t="s">
        <v>3121</v>
      </c>
      <c r="H527" s="2" t="s">
        <v>3122</v>
      </c>
      <c r="I527" s="2" t="s">
        <v>3123</v>
      </c>
      <c r="J527" s="2" t="s">
        <v>34</v>
      </c>
      <c r="K527" s="2" t="s">
        <v>34</v>
      </c>
      <c r="L527" s="2" t="s">
        <v>3124</v>
      </c>
      <c r="M527" s="2" t="s">
        <v>34</v>
      </c>
      <c r="N527" s="2" t="s">
        <v>34</v>
      </c>
      <c r="O527" s="2" t="s">
        <v>34</v>
      </c>
      <c r="P527" s="2" t="s">
        <v>78</v>
      </c>
    </row>
    <row r="528" spans="1:16" x14ac:dyDescent="0.2">
      <c r="A528" s="2" t="s">
        <v>3125</v>
      </c>
      <c r="B528" s="2">
        <v>31</v>
      </c>
      <c r="C528" s="2">
        <v>17</v>
      </c>
      <c r="D528" s="2" t="s">
        <v>144</v>
      </c>
      <c r="E528" s="2">
        <v>2982</v>
      </c>
      <c r="F528" s="2" t="s">
        <v>38</v>
      </c>
      <c r="G528" s="2" t="s">
        <v>3069</v>
      </c>
      <c r="H528" s="2" t="s">
        <v>3126</v>
      </c>
      <c r="I528" s="2" t="s">
        <v>3127</v>
      </c>
      <c r="J528" s="2" t="s">
        <v>2238</v>
      </c>
      <c r="K528" s="3">
        <v>46186</v>
      </c>
      <c r="L528" s="2" t="s">
        <v>3128</v>
      </c>
      <c r="M528" s="2" t="s">
        <v>3129</v>
      </c>
      <c r="N528" s="2" t="s">
        <v>3130</v>
      </c>
      <c r="O528" s="2" t="s">
        <v>3131</v>
      </c>
      <c r="P528" s="2" t="s">
        <v>36</v>
      </c>
    </row>
    <row r="529" spans="1:16" x14ac:dyDescent="0.2">
      <c r="A529" s="2" t="s">
        <v>3132</v>
      </c>
      <c r="B529" s="2">
        <v>32</v>
      </c>
      <c r="C529" s="2">
        <v>1</v>
      </c>
      <c r="D529" s="2" t="s">
        <v>29</v>
      </c>
      <c r="E529" s="2">
        <v>965</v>
      </c>
      <c r="F529" s="2" t="s">
        <v>30</v>
      </c>
      <c r="G529" s="2" t="s">
        <v>3133</v>
      </c>
      <c r="H529" s="2" t="s">
        <v>3134</v>
      </c>
      <c r="I529" s="2" t="s">
        <v>3135</v>
      </c>
      <c r="J529" s="2" t="s">
        <v>34</v>
      </c>
      <c r="K529" s="2" t="s">
        <v>34</v>
      </c>
      <c r="L529" s="2" t="s">
        <v>3136</v>
      </c>
      <c r="M529" s="2" t="s">
        <v>34</v>
      </c>
      <c r="N529" s="2" t="s">
        <v>34</v>
      </c>
      <c r="O529" s="2" t="s">
        <v>34</v>
      </c>
      <c r="P529" s="2" t="s">
        <v>36</v>
      </c>
    </row>
    <row r="530" spans="1:16" x14ac:dyDescent="0.2">
      <c r="A530" s="2" t="s">
        <v>3137</v>
      </c>
      <c r="B530" s="2">
        <v>32</v>
      </c>
      <c r="C530" s="2">
        <v>2</v>
      </c>
      <c r="D530" s="2" t="s">
        <v>29</v>
      </c>
      <c r="E530" s="2">
        <v>872</v>
      </c>
      <c r="F530" s="2" t="s">
        <v>38</v>
      </c>
      <c r="G530" s="2" t="s">
        <v>236</v>
      </c>
      <c r="H530" s="2" t="s">
        <v>3138</v>
      </c>
      <c r="I530" s="2" t="s">
        <v>3139</v>
      </c>
      <c r="J530" s="2" t="s">
        <v>3140</v>
      </c>
      <c r="K530" s="3">
        <v>46234</v>
      </c>
      <c r="L530" s="2" t="s">
        <v>3141</v>
      </c>
      <c r="M530" s="2" t="s">
        <v>34</v>
      </c>
      <c r="N530" s="2" t="s">
        <v>34</v>
      </c>
      <c r="O530" s="2" t="s">
        <v>3142</v>
      </c>
      <c r="P530" s="2" t="s">
        <v>36</v>
      </c>
    </row>
    <row r="531" spans="1:16" x14ac:dyDescent="0.2">
      <c r="A531" s="2" t="s">
        <v>3143</v>
      </c>
      <c r="B531" s="2">
        <v>32</v>
      </c>
      <c r="C531" s="2">
        <v>3</v>
      </c>
      <c r="D531" s="2" t="s">
        <v>29</v>
      </c>
      <c r="E531" s="2">
        <v>868</v>
      </c>
      <c r="F531" s="2" t="s">
        <v>38</v>
      </c>
      <c r="G531" s="2" t="s">
        <v>2739</v>
      </c>
      <c r="H531" s="2" t="s">
        <v>3144</v>
      </c>
      <c r="I531" s="2" t="s">
        <v>3145</v>
      </c>
      <c r="J531" s="2" t="s">
        <v>736</v>
      </c>
      <c r="K531" s="3">
        <v>46409</v>
      </c>
      <c r="L531" s="2" t="s">
        <v>3146</v>
      </c>
      <c r="M531" s="2" t="s">
        <v>34</v>
      </c>
      <c r="N531" s="2" t="s">
        <v>34</v>
      </c>
      <c r="O531" s="2" t="s">
        <v>34</v>
      </c>
      <c r="P531" s="2" t="s">
        <v>36</v>
      </c>
    </row>
    <row r="532" spans="1:16" x14ac:dyDescent="0.2">
      <c r="A532" s="2" t="s">
        <v>3147</v>
      </c>
      <c r="B532" s="2">
        <v>32</v>
      </c>
      <c r="C532" s="2">
        <v>4</v>
      </c>
      <c r="D532" s="2" t="s">
        <v>29</v>
      </c>
      <c r="E532" s="2">
        <v>937</v>
      </c>
      <c r="F532" s="2" t="s">
        <v>30</v>
      </c>
      <c r="G532" s="2" t="s">
        <v>3148</v>
      </c>
      <c r="H532" s="2" t="s">
        <v>3149</v>
      </c>
      <c r="I532" s="2" t="s">
        <v>3150</v>
      </c>
      <c r="J532" s="2" t="s">
        <v>34</v>
      </c>
      <c r="K532" s="2" t="s">
        <v>34</v>
      </c>
      <c r="L532" s="2" t="s">
        <v>3151</v>
      </c>
      <c r="M532" s="2" t="s">
        <v>34</v>
      </c>
      <c r="N532" s="2" t="s">
        <v>34</v>
      </c>
      <c r="O532" s="2" t="s">
        <v>3152</v>
      </c>
      <c r="P532" s="2" t="s">
        <v>36</v>
      </c>
    </row>
    <row r="533" spans="1:16" x14ac:dyDescent="0.2">
      <c r="A533" s="2" t="s">
        <v>3153</v>
      </c>
      <c r="B533" s="2">
        <v>32</v>
      </c>
      <c r="C533" s="2">
        <v>5</v>
      </c>
      <c r="D533" s="2" t="s">
        <v>29</v>
      </c>
      <c r="E533" s="2">
        <v>928</v>
      </c>
      <c r="F533" s="2" t="s">
        <v>30</v>
      </c>
      <c r="G533" s="2" t="s">
        <v>3154</v>
      </c>
      <c r="H533" s="2" t="s">
        <v>3155</v>
      </c>
      <c r="I533" s="2" t="s">
        <v>3156</v>
      </c>
      <c r="J533" s="2" t="s">
        <v>34</v>
      </c>
      <c r="K533" s="2" t="s">
        <v>34</v>
      </c>
      <c r="L533" s="2" t="s">
        <v>3157</v>
      </c>
      <c r="M533" s="2" t="s">
        <v>34</v>
      </c>
      <c r="N533" s="2" t="s">
        <v>34</v>
      </c>
      <c r="O533" s="2" t="s">
        <v>3158</v>
      </c>
      <c r="P533" s="2" t="s">
        <v>78</v>
      </c>
    </row>
    <row r="534" spans="1:16" x14ac:dyDescent="0.2">
      <c r="A534" s="2" t="s">
        <v>3159</v>
      </c>
      <c r="B534" s="2">
        <v>32</v>
      </c>
      <c r="C534" s="2">
        <v>6</v>
      </c>
      <c r="D534" s="2" t="s">
        <v>29</v>
      </c>
      <c r="E534" s="2">
        <v>975</v>
      </c>
      <c r="F534" s="2" t="s">
        <v>30</v>
      </c>
      <c r="G534" s="2" t="s">
        <v>3160</v>
      </c>
      <c r="H534" s="2" t="s">
        <v>3161</v>
      </c>
      <c r="I534" s="2" t="s">
        <v>3162</v>
      </c>
      <c r="J534" s="2" t="s">
        <v>34</v>
      </c>
      <c r="K534" s="2" t="s">
        <v>34</v>
      </c>
      <c r="L534" s="2" t="s">
        <v>3163</v>
      </c>
      <c r="M534" s="2" t="s">
        <v>34</v>
      </c>
      <c r="N534" s="2" t="s">
        <v>34</v>
      </c>
      <c r="O534" s="2" t="s">
        <v>3164</v>
      </c>
      <c r="P534" s="2" t="s">
        <v>36</v>
      </c>
    </row>
    <row r="535" spans="1:16" x14ac:dyDescent="0.2">
      <c r="A535" s="2" t="s">
        <v>3165</v>
      </c>
      <c r="B535" s="2">
        <v>32</v>
      </c>
      <c r="C535" s="2">
        <v>7</v>
      </c>
      <c r="D535" s="2" t="s">
        <v>71</v>
      </c>
      <c r="E535" s="2">
        <v>1201</v>
      </c>
      <c r="F535" s="2" t="s">
        <v>30</v>
      </c>
      <c r="G535" s="2" t="s">
        <v>3166</v>
      </c>
      <c r="H535" s="2" t="s">
        <v>3167</v>
      </c>
      <c r="I535" s="2" t="s">
        <v>3168</v>
      </c>
      <c r="J535" s="2" t="s">
        <v>34</v>
      </c>
      <c r="K535" s="2" t="s">
        <v>34</v>
      </c>
      <c r="L535" s="2" t="s">
        <v>3169</v>
      </c>
      <c r="M535" s="2" t="s">
        <v>3170</v>
      </c>
      <c r="N535" s="2" t="s">
        <v>3171</v>
      </c>
      <c r="O535" s="2" t="s">
        <v>34</v>
      </c>
      <c r="P535" s="2" t="s">
        <v>36</v>
      </c>
    </row>
    <row r="536" spans="1:16" x14ac:dyDescent="0.2">
      <c r="A536" s="2" t="s">
        <v>3172</v>
      </c>
      <c r="B536" s="2">
        <v>32</v>
      </c>
      <c r="C536" s="2">
        <v>8</v>
      </c>
      <c r="D536" s="2" t="s">
        <v>71</v>
      </c>
      <c r="E536" s="2">
        <v>1252</v>
      </c>
      <c r="F536" s="2" t="s">
        <v>30</v>
      </c>
      <c r="G536" s="2" t="s">
        <v>2582</v>
      </c>
      <c r="H536" s="2" t="s">
        <v>3173</v>
      </c>
      <c r="I536" s="2" t="s">
        <v>3174</v>
      </c>
      <c r="J536" s="2" t="s">
        <v>34</v>
      </c>
      <c r="K536" s="2" t="s">
        <v>34</v>
      </c>
      <c r="L536" s="2" t="s">
        <v>3175</v>
      </c>
      <c r="M536" s="2" t="s">
        <v>34</v>
      </c>
      <c r="N536" s="2" t="s">
        <v>34</v>
      </c>
      <c r="O536" s="2" t="s">
        <v>34</v>
      </c>
      <c r="P536" s="2" t="s">
        <v>78</v>
      </c>
    </row>
    <row r="537" spans="1:16" x14ac:dyDescent="0.2">
      <c r="A537" s="2" t="s">
        <v>3176</v>
      </c>
      <c r="B537" s="2">
        <v>32</v>
      </c>
      <c r="C537" s="2">
        <v>9</v>
      </c>
      <c r="D537" s="2" t="s">
        <v>71</v>
      </c>
      <c r="E537" s="2">
        <v>1314</v>
      </c>
      <c r="F537" s="2" t="s">
        <v>30</v>
      </c>
      <c r="G537" s="2" t="s">
        <v>2665</v>
      </c>
      <c r="H537" s="2" t="s">
        <v>3177</v>
      </c>
      <c r="I537" s="2" t="s">
        <v>3178</v>
      </c>
      <c r="J537" s="2" t="s">
        <v>34</v>
      </c>
      <c r="K537" s="2" t="s">
        <v>34</v>
      </c>
      <c r="L537" s="2" t="s">
        <v>3179</v>
      </c>
      <c r="M537" s="2" t="s">
        <v>3180</v>
      </c>
      <c r="N537" s="2" t="s">
        <v>34</v>
      </c>
      <c r="O537" s="2" t="s">
        <v>34</v>
      </c>
      <c r="P537" s="2" t="s">
        <v>36</v>
      </c>
    </row>
    <row r="538" spans="1:16" x14ac:dyDescent="0.2">
      <c r="A538" s="2" t="s">
        <v>3181</v>
      </c>
      <c r="B538" s="2">
        <v>32</v>
      </c>
      <c r="C538" s="2">
        <v>10</v>
      </c>
      <c r="D538" s="2" t="s">
        <v>71</v>
      </c>
      <c r="E538" s="2">
        <v>1207</v>
      </c>
      <c r="F538" s="2" t="s">
        <v>30</v>
      </c>
      <c r="G538" s="2" t="s">
        <v>3182</v>
      </c>
      <c r="H538" s="2" t="s">
        <v>3183</v>
      </c>
      <c r="I538" s="2" t="s">
        <v>3184</v>
      </c>
      <c r="J538" s="2" t="s">
        <v>34</v>
      </c>
      <c r="K538" s="2" t="s">
        <v>34</v>
      </c>
      <c r="L538" s="2" t="s">
        <v>3185</v>
      </c>
      <c r="M538" s="2" t="s">
        <v>3186</v>
      </c>
      <c r="N538" s="2" t="s">
        <v>34</v>
      </c>
      <c r="O538" s="2" t="s">
        <v>3187</v>
      </c>
      <c r="P538" s="2" t="s">
        <v>36</v>
      </c>
    </row>
    <row r="539" spans="1:16" x14ac:dyDescent="0.2">
      <c r="A539" s="2" t="s">
        <v>3188</v>
      </c>
      <c r="B539" s="2">
        <v>32</v>
      </c>
      <c r="C539" s="2">
        <v>11</v>
      </c>
      <c r="D539" s="2" t="s">
        <v>71</v>
      </c>
      <c r="E539" s="2">
        <v>1200</v>
      </c>
      <c r="F539" s="2" t="s">
        <v>38</v>
      </c>
      <c r="G539" s="2" t="s">
        <v>114</v>
      </c>
      <c r="H539" s="2" t="s">
        <v>3189</v>
      </c>
      <c r="I539" s="2" t="s">
        <v>3190</v>
      </c>
      <c r="J539" s="2" t="s">
        <v>250</v>
      </c>
      <c r="K539" s="3">
        <v>46159</v>
      </c>
      <c r="L539" s="2" t="s">
        <v>3191</v>
      </c>
      <c r="M539" s="2" t="s">
        <v>3192</v>
      </c>
      <c r="N539" s="2" t="s">
        <v>34</v>
      </c>
      <c r="O539" s="2" t="s">
        <v>3193</v>
      </c>
      <c r="P539" s="2" t="s">
        <v>36</v>
      </c>
    </row>
    <row r="540" spans="1:16" x14ac:dyDescent="0.2">
      <c r="A540" s="2" t="s">
        <v>3194</v>
      </c>
      <c r="B540" s="2">
        <v>32</v>
      </c>
      <c r="C540" s="2">
        <v>12</v>
      </c>
      <c r="D540" s="2" t="s">
        <v>71</v>
      </c>
      <c r="E540" s="2">
        <v>1440</v>
      </c>
      <c r="F540" s="2" t="s">
        <v>38</v>
      </c>
      <c r="G540" s="2" t="s">
        <v>3195</v>
      </c>
      <c r="H540" s="2" t="s">
        <v>3196</v>
      </c>
      <c r="I540" s="2" t="s">
        <v>3197</v>
      </c>
      <c r="J540" s="2" t="s">
        <v>2399</v>
      </c>
      <c r="K540" s="3">
        <v>46383</v>
      </c>
      <c r="L540" s="2" t="s">
        <v>3198</v>
      </c>
      <c r="M540" s="2" t="s">
        <v>3199</v>
      </c>
      <c r="N540" s="2" t="s">
        <v>34</v>
      </c>
      <c r="O540" s="2" t="s">
        <v>34</v>
      </c>
      <c r="P540" s="2" t="s">
        <v>36</v>
      </c>
    </row>
    <row r="541" spans="1:16" x14ac:dyDescent="0.2">
      <c r="A541" s="2" t="s">
        <v>3200</v>
      </c>
      <c r="B541" s="2">
        <v>32</v>
      </c>
      <c r="C541" s="2">
        <v>13</v>
      </c>
      <c r="D541" s="2" t="s">
        <v>113</v>
      </c>
      <c r="E541" s="2">
        <v>1676</v>
      </c>
      <c r="F541" s="2" t="s">
        <v>38</v>
      </c>
      <c r="G541" s="2" t="s">
        <v>1301</v>
      </c>
      <c r="H541" s="2" t="s">
        <v>3201</v>
      </c>
      <c r="I541" s="2" t="s">
        <v>3202</v>
      </c>
      <c r="J541" s="2" t="s">
        <v>93</v>
      </c>
      <c r="K541" s="3">
        <v>46398</v>
      </c>
      <c r="L541" s="2" t="s">
        <v>3203</v>
      </c>
      <c r="M541" s="2" t="s">
        <v>34</v>
      </c>
      <c r="N541" s="2" t="s">
        <v>3204</v>
      </c>
      <c r="O541" s="2" t="s">
        <v>3205</v>
      </c>
      <c r="P541" s="2" t="s">
        <v>78</v>
      </c>
    </row>
    <row r="542" spans="1:16" x14ac:dyDescent="0.2">
      <c r="A542" s="2" t="s">
        <v>3206</v>
      </c>
      <c r="B542" s="2">
        <v>32</v>
      </c>
      <c r="C542" s="2">
        <v>14</v>
      </c>
      <c r="D542" s="2" t="s">
        <v>113</v>
      </c>
      <c r="E542" s="2">
        <v>1925</v>
      </c>
      <c r="F542" s="2" t="s">
        <v>30</v>
      </c>
      <c r="G542" s="2" t="s">
        <v>3207</v>
      </c>
      <c r="H542" s="2" t="s">
        <v>3208</v>
      </c>
      <c r="I542" s="2" t="s">
        <v>3209</v>
      </c>
      <c r="J542" s="2" t="s">
        <v>34</v>
      </c>
      <c r="K542" s="2" t="s">
        <v>34</v>
      </c>
      <c r="L542" s="2" t="s">
        <v>3210</v>
      </c>
      <c r="M542" s="2" t="s">
        <v>34</v>
      </c>
      <c r="N542" s="2" t="s">
        <v>34</v>
      </c>
      <c r="O542" s="2" t="s">
        <v>34</v>
      </c>
      <c r="P542" s="2" t="s">
        <v>36</v>
      </c>
    </row>
    <row r="543" spans="1:16" x14ac:dyDescent="0.2">
      <c r="A543" s="2" t="s">
        <v>3211</v>
      </c>
      <c r="B543" s="2">
        <v>32</v>
      </c>
      <c r="C543" s="2">
        <v>15</v>
      </c>
      <c r="D543" s="2" t="s">
        <v>113</v>
      </c>
      <c r="E543" s="2">
        <v>1866</v>
      </c>
      <c r="F543" s="2" t="s">
        <v>38</v>
      </c>
      <c r="G543" s="2" t="s">
        <v>2230</v>
      </c>
      <c r="H543" s="2" t="s">
        <v>3212</v>
      </c>
      <c r="I543" s="2" t="s">
        <v>3213</v>
      </c>
      <c r="J543" s="2" t="s">
        <v>2110</v>
      </c>
      <c r="K543" s="3">
        <v>46457</v>
      </c>
      <c r="L543" s="2" t="s">
        <v>3214</v>
      </c>
      <c r="M543" s="2" t="s">
        <v>3215</v>
      </c>
      <c r="N543" s="2" t="s">
        <v>3216</v>
      </c>
      <c r="O543" s="2" t="s">
        <v>34</v>
      </c>
      <c r="P543" s="2" t="s">
        <v>36</v>
      </c>
    </row>
    <row r="544" spans="1:16" x14ac:dyDescent="0.2">
      <c r="A544" s="2" t="s">
        <v>3217</v>
      </c>
      <c r="B544" s="2">
        <v>32</v>
      </c>
      <c r="C544" s="2">
        <v>16</v>
      </c>
      <c r="D544" s="2" t="s">
        <v>113</v>
      </c>
      <c r="E544" s="2">
        <v>1741</v>
      </c>
      <c r="F544" s="2" t="s">
        <v>38</v>
      </c>
      <c r="G544" s="2" t="s">
        <v>3218</v>
      </c>
      <c r="H544" s="2" t="s">
        <v>3219</v>
      </c>
      <c r="I544" s="2" t="s">
        <v>3220</v>
      </c>
      <c r="J544" s="2" t="s">
        <v>3221</v>
      </c>
      <c r="K544" s="3">
        <v>46265</v>
      </c>
      <c r="L544" s="2" t="s">
        <v>3222</v>
      </c>
      <c r="M544" s="2" t="s">
        <v>34</v>
      </c>
      <c r="N544" s="2" t="s">
        <v>34</v>
      </c>
      <c r="O544" s="2" t="s">
        <v>34</v>
      </c>
      <c r="P544" s="2" t="s">
        <v>36</v>
      </c>
    </row>
    <row r="545" spans="1:16" x14ac:dyDescent="0.2">
      <c r="A545" s="2" t="s">
        <v>3223</v>
      </c>
      <c r="B545" s="2">
        <v>32</v>
      </c>
      <c r="C545" s="2">
        <v>17</v>
      </c>
      <c r="D545" s="2" t="s">
        <v>144</v>
      </c>
      <c r="E545" s="2">
        <v>3535</v>
      </c>
      <c r="F545" s="2" t="s">
        <v>30</v>
      </c>
      <c r="G545" s="2" t="s">
        <v>3224</v>
      </c>
      <c r="H545" s="2" t="s">
        <v>3225</v>
      </c>
      <c r="I545" s="2" t="s">
        <v>3226</v>
      </c>
      <c r="J545" s="2" t="s">
        <v>34</v>
      </c>
      <c r="K545" s="2" t="s">
        <v>34</v>
      </c>
      <c r="L545" s="2" t="s">
        <v>3227</v>
      </c>
      <c r="M545" s="2" t="s">
        <v>3228</v>
      </c>
      <c r="N545" s="2" t="s">
        <v>34</v>
      </c>
      <c r="O545" s="2" t="s">
        <v>34</v>
      </c>
      <c r="P545" s="2" t="s">
        <v>36</v>
      </c>
    </row>
    <row r="546" spans="1:16" x14ac:dyDescent="0.2">
      <c r="A546" s="2" t="s">
        <v>3229</v>
      </c>
      <c r="B546" s="2">
        <v>33</v>
      </c>
      <c r="C546" s="2">
        <v>1</v>
      </c>
      <c r="D546" s="2" t="s">
        <v>29</v>
      </c>
      <c r="E546" s="2">
        <v>928</v>
      </c>
      <c r="F546" s="2" t="s">
        <v>30</v>
      </c>
      <c r="G546" s="2" t="s">
        <v>1273</v>
      </c>
      <c r="H546" s="2" t="s">
        <v>3230</v>
      </c>
      <c r="I546" s="2" t="s">
        <v>3231</v>
      </c>
      <c r="J546" s="2" t="s">
        <v>34</v>
      </c>
      <c r="K546" s="2" t="s">
        <v>34</v>
      </c>
      <c r="L546" s="2" t="s">
        <v>3232</v>
      </c>
      <c r="M546" s="2" t="s">
        <v>34</v>
      </c>
      <c r="N546" s="2" t="s">
        <v>3233</v>
      </c>
      <c r="O546" s="2" t="s">
        <v>34</v>
      </c>
      <c r="P546" s="2" t="s">
        <v>36</v>
      </c>
    </row>
    <row r="547" spans="1:16" x14ac:dyDescent="0.2">
      <c r="A547" s="2" t="s">
        <v>3234</v>
      </c>
      <c r="B547" s="2">
        <v>33</v>
      </c>
      <c r="C547" s="2">
        <v>2</v>
      </c>
      <c r="D547" s="2" t="s">
        <v>29</v>
      </c>
      <c r="E547" s="2">
        <v>938</v>
      </c>
      <c r="F547" s="2" t="s">
        <v>30</v>
      </c>
      <c r="G547" s="2" t="s">
        <v>2244</v>
      </c>
      <c r="H547" s="2" t="s">
        <v>3235</v>
      </c>
      <c r="I547" s="2" t="s">
        <v>3236</v>
      </c>
      <c r="J547" s="2" t="s">
        <v>34</v>
      </c>
      <c r="K547" s="2" t="s">
        <v>34</v>
      </c>
      <c r="L547" s="2" t="s">
        <v>3237</v>
      </c>
      <c r="M547" s="2" t="s">
        <v>34</v>
      </c>
      <c r="N547" s="2" t="s">
        <v>34</v>
      </c>
      <c r="O547" s="2" t="s">
        <v>3238</v>
      </c>
      <c r="P547" s="2" t="s">
        <v>36</v>
      </c>
    </row>
    <row r="548" spans="1:16" x14ac:dyDescent="0.2">
      <c r="A548" s="2" t="s">
        <v>3239</v>
      </c>
      <c r="B548" s="2">
        <v>33</v>
      </c>
      <c r="C548" s="2">
        <v>3</v>
      </c>
      <c r="D548" s="2" t="s">
        <v>29</v>
      </c>
      <c r="E548" s="2">
        <v>942</v>
      </c>
      <c r="F548" s="2" t="s">
        <v>38</v>
      </c>
      <c r="G548" s="2" t="s">
        <v>3240</v>
      </c>
      <c r="H548" s="2" t="s">
        <v>3241</v>
      </c>
      <c r="I548" s="2" t="s">
        <v>3242</v>
      </c>
      <c r="J548" s="2" t="s">
        <v>666</v>
      </c>
      <c r="K548" s="3">
        <v>46314</v>
      </c>
      <c r="L548" s="2" t="s">
        <v>3243</v>
      </c>
      <c r="M548" s="2" t="s">
        <v>34</v>
      </c>
      <c r="N548" s="2" t="s">
        <v>34</v>
      </c>
      <c r="O548" s="2" t="s">
        <v>34</v>
      </c>
      <c r="P548" s="2" t="s">
        <v>78</v>
      </c>
    </row>
    <row r="549" spans="1:16" x14ac:dyDescent="0.2">
      <c r="A549" s="2" t="s">
        <v>3244</v>
      </c>
      <c r="B549" s="2">
        <v>33</v>
      </c>
      <c r="C549" s="2">
        <v>4</v>
      </c>
      <c r="D549" s="2" t="s">
        <v>29</v>
      </c>
      <c r="E549" s="2">
        <v>951</v>
      </c>
      <c r="F549" s="2" t="s">
        <v>30</v>
      </c>
      <c r="G549" s="2" t="s">
        <v>3245</v>
      </c>
      <c r="H549" s="2" t="s">
        <v>3246</v>
      </c>
      <c r="I549" s="2" t="s">
        <v>3247</v>
      </c>
      <c r="J549" s="2" t="s">
        <v>34</v>
      </c>
      <c r="K549" s="2" t="s">
        <v>34</v>
      </c>
      <c r="L549" s="2" t="s">
        <v>3248</v>
      </c>
      <c r="M549" s="2" t="s">
        <v>34</v>
      </c>
      <c r="N549" s="2" t="s">
        <v>34</v>
      </c>
      <c r="O549" s="2" t="s">
        <v>34</v>
      </c>
      <c r="P549" s="2" t="s">
        <v>36</v>
      </c>
    </row>
    <row r="550" spans="1:16" x14ac:dyDescent="0.2">
      <c r="A550" s="2" t="s">
        <v>3249</v>
      </c>
      <c r="B550" s="2">
        <v>33</v>
      </c>
      <c r="C550" s="2">
        <v>5</v>
      </c>
      <c r="D550" s="2" t="s">
        <v>29</v>
      </c>
      <c r="E550" s="2">
        <v>969</v>
      </c>
      <c r="F550" s="2" t="s">
        <v>30</v>
      </c>
      <c r="G550" s="2" t="s">
        <v>1995</v>
      </c>
      <c r="H550" s="2" t="s">
        <v>3250</v>
      </c>
      <c r="I550" s="2" t="s">
        <v>3251</v>
      </c>
      <c r="J550" s="2" t="s">
        <v>34</v>
      </c>
      <c r="K550" s="2" t="s">
        <v>34</v>
      </c>
      <c r="L550" s="2" t="s">
        <v>3252</v>
      </c>
      <c r="M550" s="2" t="s">
        <v>34</v>
      </c>
      <c r="N550" s="2" t="s">
        <v>34</v>
      </c>
      <c r="O550" s="2" t="s">
        <v>3253</v>
      </c>
      <c r="P550" s="2" t="s">
        <v>36</v>
      </c>
    </row>
    <row r="551" spans="1:16" x14ac:dyDescent="0.2">
      <c r="A551" s="2" t="s">
        <v>3254</v>
      </c>
      <c r="B551" s="2">
        <v>33</v>
      </c>
      <c r="C551" s="2">
        <v>6</v>
      </c>
      <c r="D551" s="2" t="s">
        <v>29</v>
      </c>
      <c r="E551" s="2">
        <v>841</v>
      </c>
      <c r="F551" s="2" t="s">
        <v>30</v>
      </c>
      <c r="G551" s="2" t="s">
        <v>374</v>
      </c>
      <c r="H551" s="2" t="s">
        <v>3255</v>
      </c>
      <c r="I551" s="2" t="s">
        <v>3256</v>
      </c>
      <c r="J551" s="2" t="s">
        <v>34</v>
      </c>
      <c r="K551" s="2" t="s">
        <v>34</v>
      </c>
      <c r="L551" s="2" t="s">
        <v>3257</v>
      </c>
      <c r="M551" s="2" t="s">
        <v>34</v>
      </c>
      <c r="N551" s="2" t="s">
        <v>34</v>
      </c>
      <c r="O551" s="2" t="s">
        <v>34</v>
      </c>
      <c r="P551" s="2" t="s">
        <v>36</v>
      </c>
    </row>
    <row r="552" spans="1:16" x14ac:dyDescent="0.2">
      <c r="A552" s="2" t="s">
        <v>3258</v>
      </c>
      <c r="B552" s="2">
        <v>33</v>
      </c>
      <c r="C552" s="2">
        <v>7</v>
      </c>
      <c r="D552" s="2" t="s">
        <v>71</v>
      </c>
      <c r="E552" s="2">
        <v>1288</v>
      </c>
      <c r="F552" s="2" t="s">
        <v>38</v>
      </c>
      <c r="G552" s="2" t="s">
        <v>2462</v>
      </c>
      <c r="H552" s="2" t="s">
        <v>3259</v>
      </c>
      <c r="I552" s="2" t="s">
        <v>3260</v>
      </c>
      <c r="J552" s="2" t="s">
        <v>1814</v>
      </c>
      <c r="K552" s="3">
        <v>46168</v>
      </c>
      <c r="L552" s="2" t="s">
        <v>3261</v>
      </c>
      <c r="M552" s="2" t="s">
        <v>3262</v>
      </c>
      <c r="N552" s="2" t="s">
        <v>3263</v>
      </c>
      <c r="O552" s="2" t="s">
        <v>3264</v>
      </c>
      <c r="P552" s="2" t="s">
        <v>36</v>
      </c>
    </row>
    <row r="553" spans="1:16" x14ac:dyDescent="0.2">
      <c r="A553" s="2" t="s">
        <v>3265</v>
      </c>
      <c r="B553" s="2">
        <v>33</v>
      </c>
      <c r="C553" s="2">
        <v>8</v>
      </c>
      <c r="D553" s="2" t="s">
        <v>71</v>
      </c>
      <c r="E553" s="2">
        <v>1415</v>
      </c>
      <c r="F553" s="2" t="s">
        <v>38</v>
      </c>
      <c r="G553" s="2" t="s">
        <v>334</v>
      </c>
      <c r="H553" s="2" t="s">
        <v>3266</v>
      </c>
      <c r="I553" s="2" t="s">
        <v>3267</v>
      </c>
      <c r="J553" s="2" t="s">
        <v>3268</v>
      </c>
      <c r="K553" s="3">
        <v>46414</v>
      </c>
      <c r="L553" s="2" t="s">
        <v>3269</v>
      </c>
      <c r="M553" s="2" t="s">
        <v>3270</v>
      </c>
      <c r="N553" s="2" t="s">
        <v>34</v>
      </c>
      <c r="O553" s="2" t="s">
        <v>34</v>
      </c>
      <c r="P553" s="2" t="s">
        <v>36</v>
      </c>
    </row>
    <row r="554" spans="1:16" x14ac:dyDescent="0.2">
      <c r="A554" s="2" t="s">
        <v>3271</v>
      </c>
      <c r="B554" s="2">
        <v>33</v>
      </c>
      <c r="C554" s="2">
        <v>9</v>
      </c>
      <c r="D554" s="2" t="s">
        <v>71</v>
      </c>
      <c r="E554" s="2">
        <v>1224</v>
      </c>
      <c r="F554" s="2" t="s">
        <v>30</v>
      </c>
      <c r="G554" s="2" t="s">
        <v>2313</v>
      </c>
      <c r="H554" s="2" t="s">
        <v>3272</v>
      </c>
      <c r="I554" s="2" t="s">
        <v>3273</v>
      </c>
      <c r="J554" s="2" t="s">
        <v>34</v>
      </c>
      <c r="K554" s="2" t="s">
        <v>34</v>
      </c>
      <c r="L554" s="2" t="s">
        <v>3274</v>
      </c>
      <c r="M554" s="2" t="s">
        <v>3275</v>
      </c>
      <c r="N554" s="2" t="s">
        <v>34</v>
      </c>
      <c r="O554" s="2" t="s">
        <v>34</v>
      </c>
      <c r="P554" s="2" t="s">
        <v>36</v>
      </c>
    </row>
    <row r="555" spans="1:16" x14ac:dyDescent="0.2">
      <c r="A555" s="2" t="s">
        <v>3276</v>
      </c>
      <c r="B555" s="2">
        <v>33</v>
      </c>
      <c r="C555" s="2">
        <v>10</v>
      </c>
      <c r="D555" s="2" t="s">
        <v>71</v>
      </c>
      <c r="E555" s="2">
        <v>1512</v>
      </c>
      <c r="F555" s="2" t="s">
        <v>38</v>
      </c>
      <c r="G555" s="2" t="s">
        <v>2293</v>
      </c>
      <c r="H555" s="2" t="s">
        <v>3277</v>
      </c>
      <c r="I555" s="2" t="s">
        <v>3278</v>
      </c>
      <c r="J555" s="2" t="s">
        <v>3279</v>
      </c>
      <c r="K555" s="3">
        <v>46164</v>
      </c>
      <c r="L555" s="2" t="s">
        <v>3280</v>
      </c>
      <c r="M555" s="2" t="s">
        <v>34</v>
      </c>
      <c r="N555" s="2" t="s">
        <v>34</v>
      </c>
      <c r="O555" s="2" t="s">
        <v>3281</v>
      </c>
      <c r="P555" s="2" t="s">
        <v>36</v>
      </c>
    </row>
    <row r="556" spans="1:16" x14ac:dyDescent="0.2">
      <c r="A556" s="2" t="s">
        <v>3282</v>
      </c>
      <c r="B556" s="2">
        <v>33</v>
      </c>
      <c r="C556" s="2">
        <v>11</v>
      </c>
      <c r="D556" s="2" t="s">
        <v>71</v>
      </c>
      <c r="E556" s="2">
        <v>1407</v>
      </c>
      <c r="F556" s="2" t="s">
        <v>30</v>
      </c>
      <c r="G556" s="2" t="s">
        <v>3283</v>
      </c>
      <c r="H556" s="2" t="s">
        <v>3284</v>
      </c>
      <c r="I556" s="2" t="s">
        <v>3285</v>
      </c>
      <c r="J556" s="2" t="s">
        <v>34</v>
      </c>
      <c r="K556" s="2" t="s">
        <v>34</v>
      </c>
      <c r="L556" s="2" t="s">
        <v>3286</v>
      </c>
      <c r="M556" s="2" t="s">
        <v>3287</v>
      </c>
      <c r="N556" s="2" t="s">
        <v>34</v>
      </c>
      <c r="O556" s="2" t="s">
        <v>3288</v>
      </c>
      <c r="P556" s="2" t="s">
        <v>36</v>
      </c>
    </row>
    <row r="557" spans="1:16" x14ac:dyDescent="0.2">
      <c r="A557" s="2" t="s">
        <v>3289</v>
      </c>
      <c r="B557" s="2">
        <v>33</v>
      </c>
      <c r="C557" s="2">
        <v>12</v>
      </c>
      <c r="D557" s="2" t="s">
        <v>71</v>
      </c>
      <c r="E557" s="2">
        <v>1184</v>
      </c>
      <c r="F557" s="2" t="s">
        <v>38</v>
      </c>
      <c r="G557" s="2" t="s">
        <v>3290</v>
      </c>
      <c r="H557" s="2" t="s">
        <v>3291</v>
      </c>
      <c r="I557" s="2" t="s">
        <v>3292</v>
      </c>
      <c r="J557" s="2" t="s">
        <v>1767</v>
      </c>
      <c r="K557" s="3">
        <v>46473</v>
      </c>
      <c r="L557" s="2" t="s">
        <v>3293</v>
      </c>
      <c r="M557" s="2" t="s">
        <v>3294</v>
      </c>
      <c r="N557" s="2" t="s">
        <v>34</v>
      </c>
      <c r="O557" s="2" t="s">
        <v>34</v>
      </c>
      <c r="P557" s="2" t="s">
        <v>36</v>
      </c>
    </row>
    <row r="558" spans="1:16" x14ac:dyDescent="0.2">
      <c r="A558" s="2" t="s">
        <v>3295</v>
      </c>
      <c r="B558" s="2">
        <v>33</v>
      </c>
      <c r="C558" s="2">
        <v>13</v>
      </c>
      <c r="D558" s="2" t="s">
        <v>113</v>
      </c>
      <c r="E558" s="2">
        <v>2149</v>
      </c>
      <c r="F558" s="2" t="s">
        <v>38</v>
      </c>
      <c r="G558" s="2" t="s">
        <v>3296</v>
      </c>
      <c r="H558" s="2" t="s">
        <v>3297</v>
      </c>
      <c r="I558" s="2" t="s">
        <v>3298</v>
      </c>
      <c r="J558" s="2" t="s">
        <v>2377</v>
      </c>
      <c r="K558" s="3">
        <v>46292</v>
      </c>
      <c r="L558" s="2" t="s">
        <v>3299</v>
      </c>
      <c r="M558" s="2" t="s">
        <v>3300</v>
      </c>
      <c r="N558" s="2" t="s">
        <v>34</v>
      </c>
      <c r="O558" s="2" t="s">
        <v>34</v>
      </c>
      <c r="P558" s="2" t="s">
        <v>36</v>
      </c>
    </row>
    <row r="559" spans="1:16" x14ac:dyDescent="0.2">
      <c r="A559" s="2" t="s">
        <v>3301</v>
      </c>
      <c r="B559" s="2">
        <v>33</v>
      </c>
      <c r="C559" s="2">
        <v>14</v>
      </c>
      <c r="D559" s="2" t="s">
        <v>113</v>
      </c>
      <c r="E559" s="2">
        <v>2005</v>
      </c>
      <c r="F559" s="2" t="s">
        <v>38</v>
      </c>
      <c r="G559" s="2" t="s">
        <v>1923</v>
      </c>
      <c r="H559" s="2" t="s">
        <v>3302</v>
      </c>
      <c r="I559" s="2" t="s">
        <v>3303</v>
      </c>
      <c r="J559" s="2" t="s">
        <v>3304</v>
      </c>
      <c r="K559" s="3">
        <v>46230</v>
      </c>
      <c r="L559" s="2" t="s">
        <v>3305</v>
      </c>
      <c r="M559" s="2" t="s">
        <v>3306</v>
      </c>
      <c r="N559" s="2" t="s">
        <v>34</v>
      </c>
      <c r="O559" s="2" t="s">
        <v>3307</v>
      </c>
      <c r="P559" s="2" t="s">
        <v>78</v>
      </c>
    </row>
    <row r="560" spans="1:16" x14ac:dyDescent="0.2">
      <c r="A560" s="2" t="s">
        <v>3308</v>
      </c>
      <c r="B560" s="2">
        <v>33</v>
      </c>
      <c r="C560" s="2">
        <v>15</v>
      </c>
      <c r="D560" s="2" t="s">
        <v>113</v>
      </c>
      <c r="E560" s="2">
        <v>2129</v>
      </c>
      <c r="F560" s="2" t="s">
        <v>38</v>
      </c>
      <c r="G560" s="2" t="s">
        <v>639</v>
      </c>
      <c r="H560" s="2" t="s">
        <v>3309</v>
      </c>
      <c r="I560" s="2" t="s">
        <v>3310</v>
      </c>
      <c r="J560" s="2" t="s">
        <v>3311</v>
      </c>
      <c r="K560" s="3">
        <v>46445</v>
      </c>
      <c r="L560" s="2" t="s">
        <v>3312</v>
      </c>
      <c r="M560" s="2" t="s">
        <v>34</v>
      </c>
      <c r="N560" s="2" t="s">
        <v>34</v>
      </c>
      <c r="O560" s="2" t="s">
        <v>34</v>
      </c>
      <c r="P560" s="2" t="s">
        <v>78</v>
      </c>
    </row>
    <row r="561" spans="1:16" x14ac:dyDescent="0.2">
      <c r="A561" s="2" t="s">
        <v>3313</v>
      </c>
      <c r="B561" s="2">
        <v>33</v>
      </c>
      <c r="C561" s="2">
        <v>16</v>
      </c>
      <c r="D561" s="2" t="s">
        <v>113</v>
      </c>
      <c r="E561" s="2">
        <v>1939</v>
      </c>
      <c r="F561" s="2" t="s">
        <v>30</v>
      </c>
      <c r="G561" s="2" t="s">
        <v>1553</v>
      </c>
      <c r="H561" s="2" t="s">
        <v>3314</v>
      </c>
      <c r="I561" s="2" t="s">
        <v>3315</v>
      </c>
      <c r="J561" s="2" t="s">
        <v>34</v>
      </c>
      <c r="K561" s="2" t="s">
        <v>34</v>
      </c>
      <c r="L561" s="2" t="s">
        <v>3316</v>
      </c>
      <c r="M561" s="2" t="s">
        <v>3317</v>
      </c>
      <c r="N561" s="2" t="s">
        <v>3318</v>
      </c>
      <c r="O561" s="2" t="s">
        <v>34</v>
      </c>
      <c r="P561" s="2" t="s">
        <v>36</v>
      </c>
    </row>
    <row r="562" spans="1:16" x14ac:dyDescent="0.2">
      <c r="A562" s="2" t="s">
        <v>3319</v>
      </c>
      <c r="B562" s="2">
        <v>33</v>
      </c>
      <c r="C562" s="2">
        <v>17</v>
      </c>
      <c r="D562" s="2" t="s">
        <v>144</v>
      </c>
      <c r="E562" s="2">
        <v>3228</v>
      </c>
      <c r="F562" s="2" t="s">
        <v>30</v>
      </c>
      <c r="G562" s="2" t="s">
        <v>3320</v>
      </c>
      <c r="H562" s="2" t="s">
        <v>3321</v>
      </c>
      <c r="I562" s="2" t="s">
        <v>3322</v>
      </c>
      <c r="J562" s="2" t="s">
        <v>34</v>
      </c>
      <c r="K562" s="2" t="s">
        <v>34</v>
      </c>
      <c r="L562" s="2" t="s">
        <v>3323</v>
      </c>
      <c r="M562" s="2" t="s">
        <v>3324</v>
      </c>
      <c r="N562" s="2" t="s">
        <v>34</v>
      </c>
      <c r="O562" s="2" t="s">
        <v>3325</v>
      </c>
      <c r="P562" s="2" t="s">
        <v>78</v>
      </c>
    </row>
    <row r="563" spans="1:16" x14ac:dyDescent="0.2">
      <c r="A563" s="2" t="s">
        <v>3326</v>
      </c>
      <c r="B563" s="2">
        <v>34</v>
      </c>
      <c r="C563" s="2">
        <v>1</v>
      </c>
      <c r="D563" s="2" t="s">
        <v>29</v>
      </c>
      <c r="E563" s="2">
        <v>828</v>
      </c>
      <c r="F563" s="2" t="s">
        <v>30</v>
      </c>
      <c r="G563" s="2" t="s">
        <v>3327</v>
      </c>
      <c r="H563" s="2" t="s">
        <v>3328</v>
      </c>
      <c r="I563" s="2" t="s">
        <v>3329</v>
      </c>
      <c r="J563" s="2" t="s">
        <v>34</v>
      </c>
      <c r="K563" s="2" t="s">
        <v>34</v>
      </c>
      <c r="L563" s="2" t="s">
        <v>3330</v>
      </c>
      <c r="M563" s="2" t="s">
        <v>34</v>
      </c>
      <c r="N563" s="2" t="s">
        <v>34</v>
      </c>
      <c r="O563" s="2" t="s">
        <v>34</v>
      </c>
      <c r="P563" s="2" t="s">
        <v>78</v>
      </c>
    </row>
    <row r="564" spans="1:16" x14ac:dyDescent="0.2">
      <c r="A564" s="2" t="s">
        <v>3331</v>
      </c>
      <c r="B564" s="2">
        <v>34</v>
      </c>
      <c r="C564" s="2">
        <v>2</v>
      </c>
      <c r="D564" s="2" t="s">
        <v>29</v>
      </c>
      <c r="E564" s="2">
        <v>910</v>
      </c>
      <c r="F564" s="2" t="s">
        <v>38</v>
      </c>
      <c r="G564" s="2" t="s">
        <v>3332</v>
      </c>
      <c r="H564" s="2" t="s">
        <v>3333</v>
      </c>
      <c r="I564" s="2" t="s">
        <v>3334</v>
      </c>
      <c r="J564" s="2" t="s">
        <v>3335</v>
      </c>
      <c r="K564" s="3">
        <v>46156</v>
      </c>
      <c r="L564" s="2" t="s">
        <v>3336</v>
      </c>
      <c r="M564" s="2" t="s">
        <v>34</v>
      </c>
      <c r="N564" s="2" t="s">
        <v>34</v>
      </c>
      <c r="O564" s="2" t="s">
        <v>34</v>
      </c>
      <c r="P564" s="2" t="s">
        <v>36</v>
      </c>
    </row>
    <row r="565" spans="1:16" x14ac:dyDescent="0.2">
      <c r="A565" s="2" t="s">
        <v>3337</v>
      </c>
      <c r="B565" s="2">
        <v>34</v>
      </c>
      <c r="C565" s="2">
        <v>3</v>
      </c>
      <c r="D565" s="2" t="s">
        <v>29</v>
      </c>
      <c r="E565" s="2">
        <v>848</v>
      </c>
      <c r="F565" s="2" t="s">
        <v>30</v>
      </c>
      <c r="G565" s="2" t="s">
        <v>3338</v>
      </c>
      <c r="H565" s="2" t="s">
        <v>3339</v>
      </c>
      <c r="I565" s="2" t="s">
        <v>3340</v>
      </c>
      <c r="J565" s="2" t="s">
        <v>34</v>
      </c>
      <c r="K565" s="2" t="s">
        <v>34</v>
      </c>
      <c r="L565" s="2" t="s">
        <v>3341</v>
      </c>
      <c r="M565" s="2" t="s">
        <v>34</v>
      </c>
      <c r="N565" s="2" t="s">
        <v>34</v>
      </c>
      <c r="O565" s="2" t="s">
        <v>34</v>
      </c>
      <c r="P565" s="2" t="s">
        <v>78</v>
      </c>
    </row>
    <row r="566" spans="1:16" x14ac:dyDescent="0.2">
      <c r="A566" s="2" t="s">
        <v>3342</v>
      </c>
      <c r="B566" s="2">
        <v>34</v>
      </c>
      <c r="C566" s="2">
        <v>4</v>
      </c>
      <c r="D566" s="2" t="s">
        <v>29</v>
      </c>
      <c r="E566" s="2">
        <v>860</v>
      </c>
      <c r="F566" s="2" t="s">
        <v>30</v>
      </c>
      <c r="G566" s="2" t="s">
        <v>3343</v>
      </c>
      <c r="H566" s="2" t="s">
        <v>3344</v>
      </c>
      <c r="I566" s="2" t="s">
        <v>3345</v>
      </c>
      <c r="J566" s="2" t="s">
        <v>34</v>
      </c>
      <c r="K566" s="2" t="s">
        <v>34</v>
      </c>
      <c r="L566" s="2" t="s">
        <v>3346</v>
      </c>
      <c r="M566" s="2" t="s">
        <v>34</v>
      </c>
      <c r="N566" s="2" t="s">
        <v>34</v>
      </c>
      <c r="O566" s="2" t="s">
        <v>3347</v>
      </c>
      <c r="P566" s="2" t="s">
        <v>78</v>
      </c>
    </row>
    <row r="567" spans="1:16" x14ac:dyDescent="0.2">
      <c r="A567" s="2" t="s">
        <v>3348</v>
      </c>
      <c r="B567" s="2">
        <v>34</v>
      </c>
      <c r="C567" s="2">
        <v>5</v>
      </c>
      <c r="D567" s="2" t="s">
        <v>29</v>
      </c>
      <c r="E567" s="2">
        <v>851</v>
      </c>
      <c r="F567" s="2" t="s">
        <v>38</v>
      </c>
      <c r="G567" s="2" t="s">
        <v>3349</v>
      </c>
      <c r="H567" s="2" t="s">
        <v>3350</v>
      </c>
      <c r="I567" s="2" t="s">
        <v>3351</v>
      </c>
      <c r="J567" s="2" t="s">
        <v>3352</v>
      </c>
      <c r="K567" s="3">
        <v>46345</v>
      </c>
      <c r="L567" s="2" t="s">
        <v>3353</v>
      </c>
      <c r="M567" s="2" t="s">
        <v>34</v>
      </c>
      <c r="N567" s="2" t="s">
        <v>34</v>
      </c>
      <c r="O567" s="2" t="s">
        <v>3354</v>
      </c>
      <c r="P567" s="2" t="s">
        <v>36</v>
      </c>
    </row>
    <row r="568" spans="1:16" x14ac:dyDescent="0.2">
      <c r="A568" s="2" t="s">
        <v>3355</v>
      </c>
      <c r="B568" s="2">
        <v>34</v>
      </c>
      <c r="C568" s="2">
        <v>6</v>
      </c>
      <c r="D568" s="2" t="s">
        <v>29</v>
      </c>
      <c r="E568" s="2">
        <v>926</v>
      </c>
      <c r="F568" s="2" t="s">
        <v>38</v>
      </c>
      <c r="G568" s="2" t="s">
        <v>941</v>
      </c>
      <c r="H568" s="2" t="s">
        <v>3356</v>
      </c>
      <c r="I568" s="2" t="s">
        <v>3357</v>
      </c>
      <c r="J568" s="2" t="s">
        <v>3358</v>
      </c>
      <c r="K568" s="3">
        <v>46198</v>
      </c>
      <c r="L568" s="2" t="s">
        <v>3359</v>
      </c>
      <c r="M568" s="2" t="s">
        <v>34</v>
      </c>
      <c r="N568" s="2" t="s">
        <v>34</v>
      </c>
      <c r="O568" s="2" t="s">
        <v>3360</v>
      </c>
      <c r="P568" s="2" t="s">
        <v>36</v>
      </c>
    </row>
    <row r="569" spans="1:16" x14ac:dyDescent="0.2">
      <c r="A569" s="2" t="s">
        <v>3361</v>
      </c>
      <c r="B569" s="2">
        <v>34</v>
      </c>
      <c r="C569" s="2">
        <v>7</v>
      </c>
      <c r="D569" s="2" t="s">
        <v>71</v>
      </c>
      <c r="E569" s="2">
        <v>1365</v>
      </c>
      <c r="F569" s="2" t="s">
        <v>30</v>
      </c>
      <c r="G569" s="2" t="s">
        <v>814</v>
      </c>
      <c r="H569" s="2" t="s">
        <v>3362</v>
      </c>
      <c r="I569" s="2" t="s">
        <v>3363</v>
      </c>
      <c r="J569" s="2" t="s">
        <v>34</v>
      </c>
      <c r="K569" s="2" t="s">
        <v>34</v>
      </c>
      <c r="L569" s="2" t="s">
        <v>3364</v>
      </c>
      <c r="M569" s="2" t="s">
        <v>34</v>
      </c>
      <c r="N569" s="2" t="s">
        <v>3365</v>
      </c>
      <c r="O569" s="2" t="s">
        <v>34</v>
      </c>
      <c r="P569" s="2" t="s">
        <v>36</v>
      </c>
    </row>
    <row r="570" spans="1:16" x14ac:dyDescent="0.2">
      <c r="A570" s="2" t="s">
        <v>3366</v>
      </c>
      <c r="B570" s="2">
        <v>34</v>
      </c>
      <c r="C570" s="2">
        <v>8</v>
      </c>
      <c r="D570" s="2" t="s">
        <v>71</v>
      </c>
      <c r="E570" s="2">
        <v>1402</v>
      </c>
      <c r="F570" s="2" t="s">
        <v>38</v>
      </c>
      <c r="G570" s="2" t="s">
        <v>532</v>
      </c>
      <c r="H570" s="2" t="s">
        <v>3367</v>
      </c>
      <c r="I570" s="2" t="s">
        <v>3368</v>
      </c>
      <c r="J570" s="2" t="s">
        <v>3369</v>
      </c>
      <c r="K570" s="3">
        <v>46396</v>
      </c>
      <c r="L570" s="2" t="s">
        <v>3370</v>
      </c>
      <c r="M570" s="2" t="s">
        <v>34</v>
      </c>
      <c r="N570" s="2" t="s">
        <v>34</v>
      </c>
      <c r="O570" s="2" t="s">
        <v>34</v>
      </c>
      <c r="P570" s="2" t="s">
        <v>78</v>
      </c>
    </row>
    <row r="571" spans="1:16" x14ac:dyDescent="0.2">
      <c r="A571" s="2" t="s">
        <v>3371</v>
      </c>
      <c r="B571" s="2">
        <v>34</v>
      </c>
      <c r="C571" s="2">
        <v>9</v>
      </c>
      <c r="D571" s="2" t="s">
        <v>71</v>
      </c>
      <c r="E571" s="2">
        <v>1394</v>
      </c>
      <c r="F571" s="2" t="s">
        <v>38</v>
      </c>
      <c r="G571" s="2" t="s">
        <v>3372</v>
      </c>
      <c r="H571" s="2" t="s">
        <v>3373</v>
      </c>
      <c r="I571" s="2" t="s">
        <v>3374</v>
      </c>
      <c r="J571" s="2" t="s">
        <v>3375</v>
      </c>
      <c r="K571" s="3">
        <v>46286</v>
      </c>
      <c r="L571" s="2" t="s">
        <v>3376</v>
      </c>
      <c r="M571" s="2" t="s">
        <v>3377</v>
      </c>
      <c r="N571" s="2" t="s">
        <v>34</v>
      </c>
      <c r="O571" s="2" t="s">
        <v>3378</v>
      </c>
      <c r="P571" s="2" t="s">
        <v>78</v>
      </c>
    </row>
    <row r="572" spans="1:16" x14ac:dyDescent="0.2">
      <c r="A572" s="2" t="s">
        <v>3379</v>
      </c>
      <c r="B572" s="2">
        <v>34</v>
      </c>
      <c r="C572" s="2">
        <v>10</v>
      </c>
      <c r="D572" s="2" t="s">
        <v>71</v>
      </c>
      <c r="E572" s="2">
        <v>1408</v>
      </c>
      <c r="F572" s="2" t="s">
        <v>30</v>
      </c>
      <c r="G572" s="2" t="s">
        <v>1176</v>
      </c>
      <c r="H572" s="2" t="s">
        <v>3380</v>
      </c>
      <c r="I572" s="2" t="s">
        <v>3381</v>
      </c>
      <c r="J572" s="2" t="s">
        <v>34</v>
      </c>
      <c r="K572" s="2" t="s">
        <v>34</v>
      </c>
      <c r="L572" s="2" t="s">
        <v>3382</v>
      </c>
      <c r="M572" s="2" t="s">
        <v>3383</v>
      </c>
      <c r="N572" s="2" t="s">
        <v>34</v>
      </c>
      <c r="O572" s="2" t="s">
        <v>3384</v>
      </c>
      <c r="P572" s="2" t="s">
        <v>36</v>
      </c>
    </row>
    <row r="573" spans="1:16" x14ac:dyDescent="0.2">
      <c r="A573" s="2" t="s">
        <v>3385</v>
      </c>
      <c r="B573" s="2">
        <v>34</v>
      </c>
      <c r="C573" s="2">
        <v>11</v>
      </c>
      <c r="D573" s="2" t="s">
        <v>71</v>
      </c>
      <c r="E573" s="2">
        <v>1334</v>
      </c>
      <c r="F573" s="2" t="s">
        <v>30</v>
      </c>
      <c r="G573" s="2" t="s">
        <v>122</v>
      </c>
      <c r="H573" s="2" t="s">
        <v>3386</v>
      </c>
      <c r="I573" s="2" t="s">
        <v>3387</v>
      </c>
      <c r="J573" s="2" t="s">
        <v>34</v>
      </c>
      <c r="K573" s="2" t="s">
        <v>34</v>
      </c>
      <c r="L573" s="2" t="s">
        <v>3388</v>
      </c>
      <c r="M573" s="2" t="s">
        <v>34</v>
      </c>
      <c r="N573" s="2" t="s">
        <v>34</v>
      </c>
      <c r="O573" s="2" t="s">
        <v>34</v>
      </c>
      <c r="P573" s="2" t="s">
        <v>36</v>
      </c>
    </row>
    <row r="574" spans="1:16" x14ac:dyDescent="0.2">
      <c r="A574" s="2" t="s">
        <v>3389</v>
      </c>
      <c r="B574" s="2">
        <v>34</v>
      </c>
      <c r="C574" s="2">
        <v>12</v>
      </c>
      <c r="D574" s="2" t="s">
        <v>71</v>
      </c>
      <c r="E574" s="2">
        <v>1227</v>
      </c>
      <c r="F574" s="2" t="s">
        <v>30</v>
      </c>
      <c r="G574" s="2" t="s">
        <v>3390</v>
      </c>
      <c r="H574" s="2" t="s">
        <v>3391</v>
      </c>
      <c r="I574" s="2" t="s">
        <v>3392</v>
      </c>
      <c r="J574" s="2" t="s">
        <v>34</v>
      </c>
      <c r="K574" s="2" t="s">
        <v>34</v>
      </c>
      <c r="L574" s="2" t="s">
        <v>3393</v>
      </c>
      <c r="M574" s="2" t="s">
        <v>34</v>
      </c>
      <c r="N574" s="2" t="s">
        <v>34</v>
      </c>
      <c r="O574" s="2" t="s">
        <v>3394</v>
      </c>
      <c r="P574" s="2" t="s">
        <v>36</v>
      </c>
    </row>
    <row r="575" spans="1:16" x14ac:dyDescent="0.2">
      <c r="A575" s="2" t="s">
        <v>3395</v>
      </c>
      <c r="B575" s="2">
        <v>34</v>
      </c>
      <c r="C575" s="2">
        <v>13</v>
      </c>
      <c r="D575" s="2" t="s">
        <v>113</v>
      </c>
      <c r="E575" s="2">
        <v>1961</v>
      </c>
      <c r="F575" s="2" t="s">
        <v>38</v>
      </c>
      <c r="G575" s="2" t="s">
        <v>3396</v>
      </c>
      <c r="H575" s="2" t="s">
        <v>3397</v>
      </c>
      <c r="I575" s="2" t="s">
        <v>3398</v>
      </c>
      <c r="J575" s="2" t="s">
        <v>200</v>
      </c>
      <c r="K575" s="3">
        <v>46283</v>
      </c>
      <c r="L575" s="2" t="s">
        <v>3399</v>
      </c>
      <c r="M575" s="2" t="s">
        <v>34</v>
      </c>
      <c r="N575" s="2" t="s">
        <v>3400</v>
      </c>
      <c r="O575" s="2" t="s">
        <v>3401</v>
      </c>
      <c r="P575" s="2" t="s">
        <v>36</v>
      </c>
    </row>
    <row r="576" spans="1:16" x14ac:dyDescent="0.2">
      <c r="A576" s="2" t="s">
        <v>3402</v>
      </c>
      <c r="B576" s="2">
        <v>34</v>
      </c>
      <c r="C576" s="2">
        <v>14</v>
      </c>
      <c r="D576" s="2" t="s">
        <v>113</v>
      </c>
      <c r="E576" s="2">
        <v>1955</v>
      </c>
      <c r="F576" s="2" t="s">
        <v>38</v>
      </c>
      <c r="G576" s="2" t="s">
        <v>1779</v>
      </c>
      <c r="H576" s="2" t="s">
        <v>3403</v>
      </c>
      <c r="I576" s="2" t="s">
        <v>3404</v>
      </c>
      <c r="J576" s="2" t="s">
        <v>3405</v>
      </c>
      <c r="K576" s="3">
        <v>46473</v>
      </c>
      <c r="L576" s="2" t="s">
        <v>3406</v>
      </c>
      <c r="M576" s="2" t="s">
        <v>3407</v>
      </c>
      <c r="N576" s="2" t="s">
        <v>34</v>
      </c>
      <c r="O576" s="2" t="s">
        <v>34</v>
      </c>
      <c r="P576" s="2" t="s">
        <v>36</v>
      </c>
    </row>
    <row r="577" spans="1:16" x14ac:dyDescent="0.2">
      <c r="A577" s="2" t="s">
        <v>3408</v>
      </c>
      <c r="B577" s="2">
        <v>34</v>
      </c>
      <c r="C577" s="2">
        <v>15</v>
      </c>
      <c r="D577" s="2" t="s">
        <v>113</v>
      </c>
      <c r="E577" s="2">
        <v>2008</v>
      </c>
      <c r="F577" s="2" t="s">
        <v>30</v>
      </c>
      <c r="G577" s="2" t="s">
        <v>3040</v>
      </c>
      <c r="H577" s="2" t="s">
        <v>3409</v>
      </c>
      <c r="I577" s="2" t="s">
        <v>3410</v>
      </c>
      <c r="J577" s="2" t="s">
        <v>34</v>
      </c>
      <c r="K577" s="2" t="s">
        <v>34</v>
      </c>
      <c r="L577" s="2" t="s">
        <v>3411</v>
      </c>
      <c r="M577" s="2" t="s">
        <v>34</v>
      </c>
      <c r="N577" s="2" t="s">
        <v>34</v>
      </c>
      <c r="O577" s="2" t="s">
        <v>34</v>
      </c>
      <c r="P577" s="2" t="s">
        <v>36</v>
      </c>
    </row>
    <row r="578" spans="1:16" x14ac:dyDescent="0.2">
      <c r="A578" s="2" t="s">
        <v>3412</v>
      </c>
      <c r="B578" s="2">
        <v>34</v>
      </c>
      <c r="C578" s="2">
        <v>16</v>
      </c>
      <c r="D578" s="2" t="s">
        <v>113</v>
      </c>
      <c r="E578" s="2">
        <v>1985</v>
      </c>
      <c r="F578" s="2" t="s">
        <v>30</v>
      </c>
      <c r="G578" s="2" t="s">
        <v>1899</v>
      </c>
      <c r="H578" s="2" t="s">
        <v>3413</v>
      </c>
      <c r="I578" s="2" t="s">
        <v>3414</v>
      </c>
      <c r="J578" s="2" t="s">
        <v>34</v>
      </c>
      <c r="K578" s="2" t="s">
        <v>34</v>
      </c>
      <c r="L578" s="2" t="s">
        <v>3415</v>
      </c>
      <c r="M578" s="2" t="s">
        <v>3416</v>
      </c>
      <c r="N578" s="2" t="s">
        <v>34</v>
      </c>
      <c r="O578" s="2" t="s">
        <v>3417</v>
      </c>
      <c r="P578" s="2" t="s">
        <v>78</v>
      </c>
    </row>
    <row r="579" spans="1:16" x14ac:dyDescent="0.2">
      <c r="A579" s="2" t="s">
        <v>3418</v>
      </c>
      <c r="B579" s="2">
        <v>34</v>
      </c>
      <c r="C579" s="2">
        <v>17</v>
      </c>
      <c r="D579" s="2" t="s">
        <v>144</v>
      </c>
      <c r="E579" s="2">
        <v>3670</v>
      </c>
      <c r="F579" s="2" t="s">
        <v>38</v>
      </c>
      <c r="G579" s="2" t="s">
        <v>3419</v>
      </c>
      <c r="H579" s="2" t="s">
        <v>3420</v>
      </c>
      <c r="I579" s="2" t="s">
        <v>3421</v>
      </c>
      <c r="J579" s="2" t="s">
        <v>3422</v>
      </c>
      <c r="K579" s="3">
        <v>46291</v>
      </c>
      <c r="L579" s="2" t="s">
        <v>3423</v>
      </c>
      <c r="M579" s="2" t="s">
        <v>3424</v>
      </c>
      <c r="N579" s="2" t="s">
        <v>34</v>
      </c>
      <c r="O579" s="2" t="s">
        <v>34</v>
      </c>
      <c r="P579" s="2" t="s">
        <v>36</v>
      </c>
    </row>
    <row r="580" spans="1:16" x14ac:dyDescent="0.2">
      <c r="A580" s="2" t="s">
        <v>3425</v>
      </c>
      <c r="B580" s="2">
        <v>35</v>
      </c>
      <c r="C580" s="2">
        <v>1</v>
      </c>
      <c r="D580" s="2" t="s">
        <v>29</v>
      </c>
      <c r="E580" s="2">
        <v>928</v>
      </c>
      <c r="F580" s="2" t="s">
        <v>38</v>
      </c>
      <c r="G580" s="2" t="s">
        <v>3426</v>
      </c>
      <c r="H580" s="2" t="s">
        <v>3427</v>
      </c>
      <c r="I580" s="2" t="s">
        <v>3428</v>
      </c>
      <c r="J580" s="2" t="s">
        <v>2582</v>
      </c>
      <c r="K580" s="3">
        <v>46469</v>
      </c>
      <c r="L580" s="2" t="s">
        <v>3429</v>
      </c>
      <c r="M580" s="2" t="s">
        <v>34</v>
      </c>
      <c r="N580" s="2" t="s">
        <v>34</v>
      </c>
      <c r="O580" s="2" t="s">
        <v>3430</v>
      </c>
      <c r="P580" s="2" t="s">
        <v>78</v>
      </c>
    </row>
    <row r="581" spans="1:16" x14ac:dyDescent="0.2">
      <c r="A581" s="2" t="s">
        <v>3431</v>
      </c>
      <c r="B581" s="2">
        <v>35</v>
      </c>
      <c r="C581" s="2">
        <v>2</v>
      </c>
      <c r="D581" s="2" t="s">
        <v>29</v>
      </c>
      <c r="E581" s="2">
        <v>850</v>
      </c>
      <c r="F581" s="2" t="s">
        <v>30</v>
      </c>
      <c r="G581" s="2" t="s">
        <v>3432</v>
      </c>
      <c r="H581" s="2" t="s">
        <v>3433</v>
      </c>
      <c r="I581" s="2" t="s">
        <v>3434</v>
      </c>
      <c r="J581" s="2" t="s">
        <v>34</v>
      </c>
      <c r="K581" s="2" t="s">
        <v>34</v>
      </c>
      <c r="L581" s="2" t="s">
        <v>3435</v>
      </c>
      <c r="M581" s="2" t="s">
        <v>34</v>
      </c>
      <c r="N581" s="2" t="s">
        <v>34</v>
      </c>
      <c r="O581" s="2" t="s">
        <v>3436</v>
      </c>
      <c r="P581" s="2" t="s">
        <v>36</v>
      </c>
    </row>
    <row r="582" spans="1:16" x14ac:dyDescent="0.2">
      <c r="A582" s="2" t="s">
        <v>3437</v>
      </c>
      <c r="B582" s="2">
        <v>35</v>
      </c>
      <c r="C582" s="2">
        <v>3</v>
      </c>
      <c r="D582" s="2" t="s">
        <v>29</v>
      </c>
      <c r="E582" s="2">
        <v>924</v>
      </c>
      <c r="F582" s="2" t="s">
        <v>30</v>
      </c>
      <c r="G582" s="2" t="s">
        <v>1380</v>
      </c>
      <c r="H582" s="2" t="s">
        <v>3438</v>
      </c>
      <c r="I582" s="2" t="s">
        <v>3439</v>
      </c>
      <c r="J582" s="2" t="s">
        <v>34</v>
      </c>
      <c r="K582" s="2" t="s">
        <v>34</v>
      </c>
      <c r="L582" s="2" t="s">
        <v>3440</v>
      </c>
      <c r="M582" s="2" t="s">
        <v>34</v>
      </c>
      <c r="N582" s="2" t="s">
        <v>34</v>
      </c>
      <c r="O582" s="2" t="s">
        <v>3441</v>
      </c>
      <c r="P582" s="2" t="s">
        <v>78</v>
      </c>
    </row>
    <row r="583" spans="1:16" x14ac:dyDescent="0.2">
      <c r="A583" s="2" t="s">
        <v>3442</v>
      </c>
      <c r="B583" s="2">
        <v>35</v>
      </c>
      <c r="C583" s="2">
        <v>4</v>
      </c>
      <c r="D583" s="2" t="s">
        <v>29</v>
      </c>
      <c r="E583" s="2">
        <v>897</v>
      </c>
      <c r="F583" s="2" t="s">
        <v>38</v>
      </c>
      <c r="G583" s="2" t="s">
        <v>3443</v>
      </c>
      <c r="H583" s="2" t="s">
        <v>3444</v>
      </c>
      <c r="I583" s="2" t="s">
        <v>3445</v>
      </c>
      <c r="J583" s="2" t="s">
        <v>3446</v>
      </c>
      <c r="K583" s="3">
        <v>46134</v>
      </c>
      <c r="L583" s="2" t="s">
        <v>3447</v>
      </c>
      <c r="M583" s="2" t="s">
        <v>34</v>
      </c>
      <c r="N583" s="2" t="s">
        <v>34</v>
      </c>
      <c r="O583" s="2" t="s">
        <v>34</v>
      </c>
      <c r="P583" s="2" t="s">
        <v>78</v>
      </c>
    </row>
    <row r="584" spans="1:16" x14ac:dyDescent="0.2">
      <c r="A584" s="2" t="s">
        <v>3448</v>
      </c>
      <c r="B584" s="2">
        <v>35</v>
      </c>
      <c r="C584" s="2">
        <v>5</v>
      </c>
      <c r="D584" s="2" t="s">
        <v>29</v>
      </c>
      <c r="E584" s="2">
        <v>945</v>
      </c>
      <c r="F584" s="2" t="s">
        <v>30</v>
      </c>
      <c r="G584" s="2" t="s">
        <v>3449</v>
      </c>
      <c r="H584" s="2" t="s">
        <v>3450</v>
      </c>
      <c r="I584" s="2" t="s">
        <v>3451</v>
      </c>
      <c r="J584" s="2" t="s">
        <v>34</v>
      </c>
      <c r="K584" s="2" t="s">
        <v>34</v>
      </c>
      <c r="L584" s="2" t="s">
        <v>3452</v>
      </c>
      <c r="M584" s="2" t="s">
        <v>34</v>
      </c>
      <c r="N584" s="2" t="s">
        <v>34</v>
      </c>
      <c r="O584" s="2" t="s">
        <v>3453</v>
      </c>
      <c r="P584" s="2" t="s">
        <v>36</v>
      </c>
    </row>
    <row r="585" spans="1:16" x14ac:dyDescent="0.2">
      <c r="A585" s="2" t="s">
        <v>3454</v>
      </c>
      <c r="B585" s="2">
        <v>35</v>
      </c>
      <c r="C585" s="2">
        <v>6</v>
      </c>
      <c r="D585" s="2" t="s">
        <v>29</v>
      </c>
      <c r="E585" s="2">
        <v>906</v>
      </c>
      <c r="F585" s="2" t="s">
        <v>30</v>
      </c>
      <c r="G585" s="2" t="s">
        <v>3426</v>
      </c>
      <c r="H585" s="2" t="s">
        <v>3455</v>
      </c>
      <c r="I585" s="2" t="s">
        <v>3456</v>
      </c>
      <c r="J585" s="2" t="s">
        <v>34</v>
      </c>
      <c r="K585" s="2" t="s">
        <v>34</v>
      </c>
      <c r="L585" s="2" t="s">
        <v>3457</v>
      </c>
      <c r="M585" s="2" t="s">
        <v>34</v>
      </c>
      <c r="N585" s="2" t="s">
        <v>34</v>
      </c>
      <c r="O585" s="2" t="s">
        <v>34</v>
      </c>
      <c r="P585" s="2" t="s">
        <v>36</v>
      </c>
    </row>
    <row r="586" spans="1:16" x14ac:dyDescent="0.2">
      <c r="A586" s="2" t="s">
        <v>3458</v>
      </c>
      <c r="B586" s="2">
        <v>35</v>
      </c>
      <c r="C586" s="2">
        <v>7</v>
      </c>
      <c r="D586" s="2" t="s">
        <v>71</v>
      </c>
      <c r="E586" s="2">
        <v>1346</v>
      </c>
      <c r="F586" s="2" t="s">
        <v>30</v>
      </c>
      <c r="G586" s="2" t="s">
        <v>3459</v>
      </c>
      <c r="H586" s="2" t="s">
        <v>3460</v>
      </c>
      <c r="I586" s="2" t="s">
        <v>3461</v>
      </c>
      <c r="J586" s="2" t="s">
        <v>34</v>
      </c>
      <c r="K586" s="2" t="s">
        <v>34</v>
      </c>
      <c r="L586" s="2" t="s">
        <v>3462</v>
      </c>
      <c r="M586" s="2" t="s">
        <v>3463</v>
      </c>
      <c r="N586" s="2" t="s">
        <v>34</v>
      </c>
      <c r="O586" s="2" t="s">
        <v>3464</v>
      </c>
      <c r="P586" s="2" t="s">
        <v>78</v>
      </c>
    </row>
    <row r="587" spans="1:16" x14ac:dyDescent="0.2">
      <c r="A587" s="2" t="s">
        <v>3465</v>
      </c>
      <c r="B587" s="2">
        <v>35</v>
      </c>
      <c r="C587" s="2">
        <v>8</v>
      </c>
      <c r="D587" s="2" t="s">
        <v>71</v>
      </c>
      <c r="E587" s="2">
        <v>1322</v>
      </c>
      <c r="F587" s="2" t="s">
        <v>38</v>
      </c>
      <c r="G587" s="2" t="s">
        <v>3466</v>
      </c>
      <c r="H587" s="2" t="s">
        <v>3467</v>
      </c>
      <c r="I587" s="2" t="s">
        <v>3468</v>
      </c>
      <c r="J587" s="2" t="s">
        <v>3469</v>
      </c>
      <c r="K587" s="3">
        <v>46464</v>
      </c>
      <c r="L587" s="2" t="s">
        <v>3470</v>
      </c>
      <c r="M587" s="2" t="s">
        <v>3471</v>
      </c>
      <c r="N587" s="2" t="s">
        <v>34</v>
      </c>
      <c r="O587" s="2" t="s">
        <v>3472</v>
      </c>
      <c r="P587" s="2" t="s">
        <v>36</v>
      </c>
    </row>
    <row r="588" spans="1:16" x14ac:dyDescent="0.2">
      <c r="A588" s="2" t="s">
        <v>3473</v>
      </c>
      <c r="B588" s="2">
        <v>35</v>
      </c>
      <c r="C588" s="2">
        <v>9</v>
      </c>
      <c r="D588" s="2" t="s">
        <v>71</v>
      </c>
      <c r="E588" s="2">
        <v>1457</v>
      </c>
      <c r="F588" s="2" t="s">
        <v>30</v>
      </c>
      <c r="G588" s="2" t="s">
        <v>3474</v>
      </c>
      <c r="H588" s="2" t="s">
        <v>3475</v>
      </c>
      <c r="I588" s="2" t="s">
        <v>3476</v>
      </c>
      <c r="J588" s="2" t="s">
        <v>34</v>
      </c>
      <c r="K588" s="2" t="s">
        <v>34</v>
      </c>
      <c r="L588" s="2" t="s">
        <v>3477</v>
      </c>
      <c r="M588" s="2" t="s">
        <v>3478</v>
      </c>
      <c r="N588" s="2" t="s">
        <v>34</v>
      </c>
      <c r="O588" s="2" t="s">
        <v>3479</v>
      </c>
      <c r="P588" s="2" t="s">
        <v>36</v>
      </c>
    </row>
    <row r="589" spans="1:16" x14ac:dyDescent="0.2">
      <c r="A589" s="2" t="s">
        <v>3480</v>
      </c>
      <c r="B589" s="2">
        <v>35</v>
      </c>
      <c r="C589" s="2">
        <v>10</v>
      </c>
      <c r="D589" s="2" t="s">
        <v>71</v>
      </c>
      <c r="E589" s="2">
        <v>1320</v>
      </c>
      <c r="F589" s="2" t="s">
        <v>38</v>
      </c>
      <c r="G589" s="2" t="s">
        <v>2026</v>
      </c>
      <c r="H589" s="2" t="s">
        <v>3481</v>
      </c>
      <c r="I589" s="2" t="s">
        <v>3482</v>
      </c>
      <c r="J589" s="2" t="s">
        <v>3483</v>
      </c>
      <c r="K589" s="3">
        <v>46172</v>
      </c>
      <c r="L589" s="2" t="s">
        <v>3484</v>
      </c>
      <c r="M589" s="2" t="s">
        <v>34</v>
      </c>
      <c r="N589" s="2" t="s">
        <v>3485</v>
      </c>
      <c r="O589" s="2" t="s">
        <v>3486</v>
      </c>
      <c r="P589" s="2" t="s">
        <v>78</v>
      </c>
    </row>
    <row r="590" spans="1:16" x14ac:dyDescent="0.2">
      <c r="A590" s="2" t="s">
        <v>3487</v>
      </c>
      <c r="B590" s="2">
        <v>35</v>
      </c>
      <c r="C590" s="2">
        <v>11</v>
      </c>
      <c r="D590" s="2" t="s">
        <v>71</v>
      </c>
      <c r="E590" s="2">
        <v>1354</v>
      </c>
      <c r="F590" s="2" t="s">
        <v>30</v>
      </c>
      <c r="G590" s="2" t="s">
        <v>3332</v>
      </c>
      <c r="H590" s="2" t="s">
        <v>3488</v>
      </c>
      <c r="I590" s="2" t="s">
        <v>3489</v>
      </c>
      <c r="J590" s="2" t="s">
        <v>34</v>
      </c>
      <c r="K590" s="2" t="s">
        <v>34</v>
      </c>
      <c r="L590" s="2" t="s">
        <v>3490</v>
      </c>
      <c r="M590" s="2" t="s">
        <v>3491</v>
      </c>
      <c r="N590" s="2" t="s">
        <v>3492</v>
      </c>
      <c r="O590" s="2" t="s">
        <v>3493</v>
      </c>
      <c r="P590" s="2" t="s">
        <v>36</v>
      </c>
    </row>
    <row r="591" spans="1:16" x14ac:dyDescent="0.2">
      <c r="A591" s="2" t="s">
        <v>3494</v>
      </c>
      <c r="B591" s="2">
        <v>35</v>
      </c>
      <c r="C591" s="2">
        <v>12</v>
      </c>
      <c r="D591" s="2" t="s">
        <v>71</v>
      </c>
      <c r="E591" s="2">
        <v>1326</v>
      </c>
      <c r="F591" s="2" t="s">
        <v>30</v>
      </c>
      <c r="G591" s="2" t="s">
        <v>3495</v>
      </c>
      <c r="H591" s="2" t="s">
        <v>3496</v>
      </c>
      <c r="I591" s="2" t="s">
        <v>3497</v>
      </c>
      <c r="J591" s="2" t="s">
        <v>34</v>
      </c>
      <c r="K591" s="2" t="s">
        <v>34</v>
      </c>
      <c r="L591" s="2" t="s">
        <v>3498</v>
      </c>
      <c r="M591" s="2" t="s">
        <v>3499</v>
      </c>
      <c r="N591" s="2" t="s">
        <v>34</v>
      </c>
      <c r="O591" s="2" t="s">
        <v>3500</v>
      </c>
      <c r="P591" s="2" t="s">
        <v>36</v>
      </c>
    </row>
    <row r="592" spans="1:16" x14ac:dyDescent="0.2">
      <c r="A592" s="2" t="s">
        <v>3501</v>
      </c>
      <c r="B592" s="2">
        <v>35</v>
      </c>
      <c r="C592" s="2">
        <v>13</v>
      </c>
      <c r="D592" s="2" t="s">
        <v>113</v>
      </c>
      <c r="E592" s="2">
        <v>1677</v>
      </c>
      <c r="F592" s="2" t="s">
        <v>30</v>
      </c>
      <c r="G592" s="2" t="s">
        <v>3502</v>
      </c>
      <c r="H592" s="2" t="s">
        <v>3503</v>
      </c>
      <c r="I592" s="2" t="s">
        <v>3504</v>
      </c>
      <c r="J592" s="2" t="s">
        <v>34</v>
      </c>
      <c r="K592" s="2" t="s">
        <v>34</v>
      </c>
      <c r="L592" s="2" t="s">
        <v>3505</v>
      </c>
      <c r="M592" s="2" t="s">
        <v>3506</v>
      </c>
      <c r="N592" s="2" t="s">
        <v>34</v>
      </c>
      <c r="O592" s="2" t="s">
        <v>34</v>
      </c>
      <c r="P592" s="2" t="s">
        <v>78</v>
      </c>
    </row>
    <row r="593" spans="1:16" x14ac:dyDescent="0.2">
      <c r="A593" s="2" t="s">
        <v>3507</v>
      </c>
      <c r="B593" s="2">
        <v>35</v>
      </c>
      <c r="C593" s="2">
        <v>14</v>
      </c>
      <c r="D593" s="2" t="s">
        <v>113</v>
      </c>
      <c r="E593" s="2">
        <v>1857</v>
      </c>
      <c r="F593" s="2" t="s">
        <v>38</v>
      </c>
      <c r="G593" s="2" t="s">
        <v>80</v>
      </c>
      <c r="H593" s="2" t="s">
        <v>3508</v>
      </c>
      <c r="I593" s="2" t="s">
        <v>3509</v>
      </c>
      <c r="J593" s="2" t="s">
        <v>247</v>
      </c>
      <c r="K593" s="3">
        <v>46501</v>
      </c>
      <c r="L593" s="2" t="s">
        <v>3510</v>
      </c>
      <c r="M593" s="2" t="s">
        <v>3511</v>
      </c>
      <c r="N593" s="2" t="s">
        <v>3512</v>
      </c>
      <c r="O593" s="2" t="s">
        <v>3513</v>
      </c>
      <c r="P593" s="2" t="s">
        <v>36</v>
      </c>
    </row>
    <row r="594" spans="1:16" x14ac:dyDescent="0.2">
      <c r="A594" s="2" t="s">
        <v>3514</v>
      </c>
      <c r="B594" s="2">
        <v>35</v>
      </c>
      <c r="C594" s="2">
        <v>15</v>
      </c>
      <c r="D594" s="2" t="s">
        <v>113</v>
      </c>
      <c r="E594" s="2">
        <v>2145</v>
      </c>
      <c r="F594" s="2" t="s">
        <v>30</v>
      </c>
      <c r="G594" s="2" t="s">
        <v>3515</v>
      </c>
      <c r="H594" s="2" t="s">
        <v>3516</v>
      </c>
      <c r="I594" s="2" t="s">
        <v>3517</v>
      </c>
      <c r="J594" s="2" t="s">
        <v>34</v>
      </c>
      <c r="K594" s="2" t="s">
        <v>34</v>
      </c>
      <c r="L594" s="2" t="s">
        <v>3518</v>
      </c>
      <c r="M594" s="2" t="s">
        <v>34</v>
      </c>
      <c r="N594" s="2" t="s">
        <v>34</v>
      </c>
      <c r="O594" s="2" t="s">
        <v>3519</v>
      </c>
      <c r="P594" s="2" t="s">
        <v>36</v>
      </c>
    </row>
    <row r="595" spans="1:16" x14ac:dyDescent="0.2">
      <c r="A595" s="2" t="s">
        <v>3520</v>
      </c>
      <c r="B595" s="2">
        <v>35</v>
      </c>
      <c r="C595" s="2">
        <v>16</v>
      </c>
      <c r="D595" s="2" t="s">
        <v>113</v>
      </c>
      <c r="E595" s="2">
        <v>1778</v>
      </c>
      <c r="F595" s="2" t="s">
        <v>30</v>
      </c>
      <c r="G595" s="2" t="s">
        <v>3422</v>
      </c>
      <c r="H595" s="2" t="s">
        <v>3521</v>
      </c>
      <c r="I595" s="2" t="s">
        <v>3522</v>
      </c>
      <c r="J595" s="2" t="s">
        <v>34</v>
      </c>
      <c r="K595" s="2" t="s">
        <v>34</v>
      </c>
      <c r="L595" s="2" t="s">
        <v>3523</v>
      </c>
      <c r="M595" s="2" t="s">
        <v>34</v>
      </c>
      <c r="N595" s="2" t="s">
        <v>34</v>
      </c>
      <c r="O595" s="2" t="s">
        <v>34</v>
      </c>
      <c r="P595" s="2" t="s">
        <v>36</v>
      </c>
    </row>
    <row r="596" spans="1:16" x14ac:dyDescent="0.2">
      <c r="A596" s="2" t="s">
        <v>3524</v>
      </c>
      <c r="B596" s="2">
        <v>35</v>
      </c>
      <c r="C596" s="2">
        <v>17</v>
      </c>
      <c r="D596" s="2" t="s">
        <v>144</v>
      </c>
      <c r="E596" s="2">
        <v>3900</v>
      </c>
      <c r="F596" s="2" t="s">
        <v>38</v>
      </c>
      <c r="G596" s="2" t="s">
        <v>162</v>
      </c>
      <c r="H596" s="2" t="s">
        <v>3525</v>
      </c>
      <c r="I596" s="2" t="s">
        <v>3526</v>
      </c>
      <c r="J596" s="2" t="s">
        <v>988</v>
      </c>
      <c r="K596" s="3">
        <v>46139</v>
      </c>
      <c r="L596" s="2" t="s">
        <v>3527</v>
      </c>
      <c r="M596" s="2" t="s">
        <v>3528</v>
      </c>
      <c r="N596" s="2" t="s">
        <v>34</v>
      </c>
      <c r="O596" s="2" t="s">
        <v>34</v>
      </c>
      <c r="P596" s="2" t="s">
        <v>36</v>
      </c>
    </row>
    <row r="597" spans="1:16" x14ac:dyDescent="0.2">
      <c r="A597" s="2" t="s">
        <v>3529</v>
      </c>
      <c r="B597" s="2">
        <v>36</v>
      </c>
      <c r="C597" s="2">
        <v>1</v>
      </c>
      <c r="D597" s="2" t="s">
        <v>29</v>
      </c>
      <c r="E597" s="2">
        <v>943</v>
      </c>
      <c r="F597" s="2" t="s">
        <v>30</v>
      </c>
      <c r="G597" s="2" t="s">
        <v>3530</v>
      </c>
      <c r="H597" s="2" t="s">
        <v>3531</v>
      </c>
      <c r="I597" s="2" t="s">
        <v>3532</v>
      </c>
      <c r="J597" s="2" t="s">
        <v>34</v>
      </c>
      <c r="K597" s="2" t="s">
        <v>34</v>
      </c>
      <c r="L597" s="2" t="s">
        <v>3533</v>
      </c>
      <c r="M597" s="2" t="s">
        <v>34</v>
      </c>
      <c r="N597" s="2" t="s">
        <v>34</v>
      </c>
      <c r="O597" s="2" t="s">
        <v>34</v>
      </c>
      <c r="P597" s="2" t="s">
        <v>36</v>
      </c>
    </row>
    <row r="598" spans="1:16" x14ac:dyDescent="0.2">
      <c r="A598" s="2" t="s">
        <v>3534</v>
      </c>
      <c r="B598" s="2">
        <v>36</v>
      </c>
      <c r="C598" s="2">
        <v>2</v>
      </c>
      <c r="D598" s="2" t="s">
        <v>29</v>
      </c>
      <c r="E598" s="2">
        <v>831</v>
      </c>
      <c r="F598" s="2" t="s">
        <v>30</v>
      </c>
      <c r="G598" s="2" t="s">
        <v>369</v>
      </c>
      <c r="H598" s="2" t="s">
        <v>3535</v>
      </c>
      <c r="I598" s="2" t="s">
        <v>3536</v>
      </c>
      <c r="J598" s="2" t="s">
        <v>34</v>
      </c>
      <c r="K598" s="2" t="s">
        <v>34</v>
      </c>
      <c r="L598" s="2" t="s">
        <v>3537</v>
      </c>
      <c r="M598" s="2" t="s">
        <v>34</v>
      </c>
      <c r="N598" s="2" t="s">
        <v>34</v>
      </c>
      <c r="O598" s="2" t="s">
        <v>34</v>
      </c>
      <c r="P598" s="2" t="s">
        <v>36</v>
      </c>
    </row>
    <row r="599" spans="1:16" x14ac:dyDescent="0.2">
      <c r="A599" s="2" t="s">
        <v>3538</v>
      </c>
      <c r="B599" s="2">
        <v>36</v>
      </c>
      <c r="C599" s="2">
        <v>3</v>
      </c>
      <c r="D599" s="2" t="s">
        <v>29</v>
      </c>
      <c r="E599" s="2">
        <v>891</v>
      </c>
      <c r="F599" s="2" t="s">
        <v>30</v>
      </c>
      <c r="G599" s="2" t="s">
        <v>791</v>
      </c>
      <c r="H599" s="2" t="s">
        <v>3539</v>
      </c>
      <c r="I599" s="2" t="s">
        <v>3540</v>
      </c>
      <c r="J599" s="2" t="s">
        <v>34</v>
      </c>
      <c r="K599" s="2" t="s">
        <v>34</v>
      </c>
      <c r="L599" s="2" t="s">
        <v>3541</v>
      </c>
      <c r="M599" s="2" t="s">
        <v>34</v>
      </c>
      <c r="N599" s="2" t="s">
        <v>34</v>
      </c>
      <c r="O599" s="2" t="s">
        <v>34</v>
      </c>
      <c r="P599" s="2" t="s">
        <v>36</v>
      </c>
    </row>
    <row r="600" spans="1:16" x14ac:dyDescent="0.2">
      <c r="A600" s="2" t="s">
        <v>3542</v>
      </c>
      <c r="B600" s="2">
        <v>36</v>
      </c>
      <c r="C600" s="2">
        <v>4</v>
      </c>
      <c r="D600" s="2" t="s">
        <v>29</v>
      </c>
      <c r="E600" s="2">
        <v>935</v>
      </c>
      <c r="F600" s="2" t="s">
        <v>38</v>
      </c>
      <c r="G600" s="2" t="s">
        <v>3015</v>
      </c>
      <c r="H600" s="2" t="s">
        <v>3543</v>
      </c>
      <c r="I600" s="2" t="s">
        <v>3544</v>
      </c>
      <c r="J600" s="2" t="s">
        <v>3545</v>
      </c>
      <c r="K600" s="3">
        <v>46275</v>
      </c>
      <c r="L600" s="2" t="s">
        <v>3546</v>
      </c>
      <c r="M600" s="2" t="s">
        <v>34</v>
      </c>
      <c r="N600" s="2" t="s">
        <v>34</v>
      </c>
      <c r="O600" s="2" t="s">
        <v>34</v>
      </c>
      <c r="P600" s="2" t="s">
        <v>78</v>
      </c>
    </row>
    <row r="601" spans="1:16" x14ac:dyDescent="0.2">
      <c r="A601" s="2" t="s">
        <v>3547</v>
      </c>
      <c r="B601" s="2">
        <v>36</v>
      </c>
      <c r="C601" s="2">
        <v>5</v>
      </c>
      <c r="D601" s="2" t="s">
        <v>29</v>
      </c>
      <c r="E601" s="2">
        <v>975</v>
      </c>
      <c r="F601" s="2" t="s">
        <v>30</v>
      </c>
      <c r="G601" s="2" t="s">
        <v>3548</v>
      </c>
      <c r="H601" s="2" t="s">
        <v>3549</v>
      </c>
      <c r="I601" s="2" t="s">
        <v>3550</v>
      </c>
      <c r="J601" s="2" t="s">
        <v>34</v>
      </c>
      <c r="K601" s="2" t="s">
        <v>34</v>
      </c>
      <c r="L601" s="2" t="s">
        <v>3551</v>
      </c>
      <c r="M601" s="2" t="s">
        <v>34</v>
      </c>
      <c r="N601" s="2" t="s">
        <v>34</v>
      </c>
      <c r="O601" s="2" t="s">
        <v>34</v>
      </c>
      <c r="P601" s="2" t="s">
        <v>36</v>
      </c>
    </row>
    <row r="602" spans="1:16" x14ac:dyDescent="0.2">
      <c r="A602" s="2" t="s">
        <v>3552</v>
      </c>
      <c r="B602" s="2">
        <v>36</v>
      </c>
      <c r="C602" s="2">
        <v>6</v>
      </c>
      <c r="D602" s="2" t="s">
        <v>29</v>
      </c>
      <c r="E602" s="2">
        <v>957</v>
      </c>
      <c r="F602" s="2" t="s">
        <v>30</v>
      </c>
      <c r="G602" s="2" t="s">
        <v>1221</v>
      </c>
      <c r="H602" s="2" t="s">
        <v>3553</v>
      </c>
      <c r="I602" s="2" t="s">
        <v>3554</v>
      </c>
      <c r="J602" s="2" t="s">
        <v>34</v>
      </c>
      <c r="K602" s="2" t="s">
        <v>34</v>
      </c>
      <c r="L602" s="2" t="s">
        <v>3555</v>
      </c>
      <c r="M602" s="2" t="s">
        <v>34</v>
      </c>
      <c r="N602" s="2" t="s">
        <v>34</v>
      </c>
      <c r="O602" s="2" t="s">
        <v>34</v>
      </c>
      <c r="P602" s="2" t="s">
        <v>36</v>
      </c>
    </row>
    <row r="603" spans="1:16" x14ac:dyDescent="0.2">
      <c r="A603" s="2" t="s">
        <v>3556</v>
      </c>
      <c r="B603" s="2">
        <v>36</v>
      </c>
      <c r="C603" s="2">
        <v>7</v>
      </c>
      <c r="D603" s="2" t="s">
        <v>71</v>
      </c>
      <c r="E603" s="2">
        <v>1487</v>
      </c>
      <c r="F603" s="2" t="s">
        <v>30</v>
      </c>
      <c r="G603" s="2" t="s">
        <v>3557</v>
      </c>
      <c r="H603" s="2" t="s">
        <v>3558</v>
      </c>
      <c r="I603" s="2" t="s">
        <v>3559</v>
      </c>
      <c r="J603" s="2" t="s">
        <v>34</v>
      </c>
      <c r="K603" s="2" t="s">
        <v>34</v>
      </c>
      <c r="L603" s="2" t="s">
        <v>3560</v>
      </c>
      <c r="M603" s="2" t="s">
        <v>34</v>
      </c>
      <c r="N603" s="2" t="s">
        <v>34</v>
      </c>
      <c r="O603" s="2" t="s">
        <v>3561</v>
      </c>
      <c r="P603" s="2" t="s">
        <v>78</v>
      </c>
    </row>
    <row r="604" spans="1:16" x14ac:dyDescent="0.2">
      <c r="A604" s="2" t="s">
        <v>3562</v>
      </c>
      <c r="B604" s="2">
        <v>36</v>
      </c>
      <c r="C604" s="2">
        <v>8</v>
      </c>
      <c r="D604" s="2" t="s">
        <v>71</v>
      </c>
      <c r="E604" s="2">
        <v>1184</v>
      </c>
      <c r="F604" s="2" t="s">
        <v>38</v>
      </c>
      <c r="G604" s="2" t="s">
        <v>532</v>
      </c>
      <c r="H604" s="2" t="s">
        <v>3563</v>
      </c>
      <c r="I604" s="2" t="s">
        <v>3564</v>
      </c>
      <c r="J604" s="2" t="s">
        <v>1027</v>
      </c>
      <c r="K604" s="3">
        <v>46217</v>
      </c>
      <c r="L604" s="2" t="s">
        <v>3565</v>
      </c>
      <c r="M604" s="2" t="s">
        <v>34</v>
      </c>
      <c r="N604" s="2" t="s">
        <v>34</v>
      </c>
      <c r="O604" s="2" t="s">
        <v>34</v>
      </c>
      <c r="P604" s="2" t="s">
        <v>36</v>
      </c>
    </row>
    <row r="605" spans="1:16" x14ac:dyDescent="0.2">
      <c r="A605" s="2" t="s">
        <v>3566</v>
      </c>
      <c r="B605" s="2">
        <v>36</v>
      </c>
      <c r="C605" s="2">
        <v>9</v>
      </c>
      <c r="D605" s="2" t="s">
        <v>71</v>
      </c>
      <c r="E605" s="2">
        <v>1365</v>
      </c>
      <c r="F605" s="2" t="s">
        <v>30</v>
      </c>
      <c r="G605" s="2" t="s">
        <v>3567</v>
      </c>
      <c r="H605" s="2" t="s">
        <v>3568</v>
      </c>
      <c r="I605" s="2" t="s">
        <v>3569</v>
      </c>
      <c r="J605" s="2" t="s">
        <v>34</v>
      </c>
      <c r="K605" s="2" t="s">
        <v>34</v>
      </c>
      <c r="L605" s="2" t="s">
        <v>3570</v>
      </c>
      <c r="M605" s="2" t="s">
        <v>34</v>
      </c>
      <c r="N605" s="2" t="s">
        <v>34</v>
      </c>
      <c r="O605" s="2" t="s">
        <v>3571</v>
      </c>
      <c r="P605" s="2" t="s">
        <v>36</v>
      </c>
    </row>
    <row r="606" spans="1:16" x14ac:dyDescent="0.2">
      <c r="A606" s="2" t="s">
        <v>3572</v>
      </c>
      <c r="B606" s="2">
        <v>36</v>
      </c>
      <c r="C606" s="2">
        <v>10</v>
      </c>
      <c r="D606" s="2" t="s">
        <v>71</v>
      </c>
      <c r="E606" s="2">
        <v>1322</v>
      </c>
      <c r="F606" s="2" t="s">
        <v>30</v>
      </c>
      <c r="G606" s="2" t="s">
        <v>3573</v>
      </c>
      <c r="H606" s="2" t="s">
        <v>3574</v>
      </c>
      <c r="I606" s="2" t="s">
        <v>3575</v>
      </c>
      <c r="J606" s="2" t="s">
        <v>34</v>
      </c>
      <c r="K606" s="2" t="s">
        <v>34</v>
      </c>
      <c r="L606" s="2" t="s">
        <v>3576</v>
      </c>
      <c r="M606" s="2" t="s">
        <v>34</v>
      </c>
      <c r="N606" s="2" t="s">
        <v>34</v>
      </c>
      <c r="O606" s="2" t="s">
        <v>34</v>
      </c>
      <c r="P606" s="2" t="s">
        <v>36</v>
      </c>
    </row>
    <row r="607" spans="1:16" x14ac:dyDescent="0.2">
      <c r="A607" s="2" t="s">
        <v>3577</v>
      </c>
      <c r="B607" s="2">
        <v>36</v>
      </c>
      <c r="C607" s="2">
        <v>11</v>
      </c>
      <c r="D607" s="2" t="s">
        <v>71</v>
      </c>
      <c r="E607" s="2">
        <v>1245</v>
      </c>
      <c r="F607" s="2" t="s">
        <v>30</v>
      </c>
      <c r="G607" s="2" t="s">
        <v>504</v>
      </c>
      <c r="H607" s="2" t="s">
        <v>3578</v>
      </c>
      <c r="I607" s="2" t="s">
        <v>3579</v>
      </c>
      <c r="J607" s="2" t="s">
        <v>34</v>
      </c>
      <c r="K607" s="2" t="s">
        <v>34</v>
      </c>
      <c r="L607" s="2" t="s">
        <v>3580</v>
      </c>
      <c r="M607" s="2" t="s">
        <v>3581</v>
      </c>
      <c r="N607" s="2" t="s">
        <v>34</v>
      </c>
      <c r="O607" s="2" t="s">
        <v>34</v>
      </c>
      <c r="P607" s="2" t="s">
        <v>36</v>
      </c>
    </row>
    <row r="608" spans="1:16" x14ac:dyDescent="0.2">
      <c r="A608" s="2" t="s">
        <v>3582</v>
      </c>
      <c r="B608" s="2">
        <v>36</v>
      </c>
      <c r="C608" s="2">
        <v>12</v>
      </c>
      <c r="D608" s="2" t="s">
        <v>71</v>
      </c>
      <c r="E608" s="2">
        <v>1452</v>
      </c>
      <c r="F608" s="2" t="s">
        <v>30</v>
      </c>
      <c r="G608" s="2" t="s">
        <v>2186</v>
      </c>
      <c r="H608" s="2" t="s">
        <v>3583</v>
      </c>
      <c r="I608" s="2" t="s">
        <v>3584</v>
      </c>
      <c r="J608" s="2" t="s">
        <v>34</v>
      </c>
      <c r="K608" s="2" t="s">
        <v>34</v>
      </c>
      <c r="L608" s="2" t="s">
        <v>3585</v>
      </c>
      <c r="M608" s="2" t="s">
        <v>34</v>
      </c>
      <c r="N608" s="2" t="s">
        <v>34</v>
      </c>
      <c r="O608" s="2" t="s">
        <v>34</v>
      </c>
      <c r="P608" s="2" t="s">
        <v>36</v>
      </c>
    </row>
    <row r="609" spans="1:16" x14ac:dyDescent="0.2">
      <c r="A609" s="2" t="s">
        <v>3586</v>
      </c>
      <c r="B609" s="2">
        <v>36</v>
      </c>
      <c r="C609" s="2">
        <v>13</v>
      </c>
      <c r="D609" s="2" t="s">
        <v>113</v>
      </c>
      <c r="E609" s="2">
        <v>2066</v>
      </c>
      <c r="F609" s="2" t="s">
        <v>30</v>
      </c>
      <c r="G609" s="2" t="s">
        <v>2616</v>
      </c>
      <c r="H609" s="2" t="s">
        <v>3587</v>
      </c>
      <c r="I609" s="2" t="s">
        <v>3588</v>
      </c>
      <c r="J609" s="2" t="s">
        <v>34</v>
      </c>
      <c r="K609" s="2" t="s">
        <v>34</v>
      </c>
      <c r="L609" s="2" t="s">
        <v>3589</v>
      </c>
      <c r="M609" s="2" t="s">
        <v>3590</v>
      </c>
      <c r="N609" s="2" t="s">
        <v>3591</v>
      </c>
      <c r="O609" s="2" t="s">
        <v>34</v>
      </c>
      <c r="P609" s="2" t="s">
        <v>36</v>
      </c>
    </row>
    <row r="610" spans="1:16" x14ac:dyDescent="0.2">
      <c r="A610" s="2" t="s">
        <v>3592</v>
      </c>
      <c r="B610" s="2">
        <v>36</v>
      </c>
      <c r="C610" s="2">
        <v>14</v>
      </c>
      <c r="D610" s="2" t="s">
        <v>113</v>
      </c>
      <c r="E610" s="2">
        <v>2080</v>
      </c>
      <c r="F610" s="2" t="s">
        <v>30</v>
      </c>
      <c r="G610" s="2" t="s">
        <v>2549</v>
      </c>
      <c r="H610" s="2" t="s">
        <v>3593</v>
      </c>
      <c r="I610" s="2" t="s">
        <v>3594</v>
      </c>
      <c r="J610" s="2" t="s">
        <v>34</v>
      </c>
      <c r="K610" s="2" t="s">
        <v>34</v>
      </c>
      <c r="L610" s="2" t="s">
        <v>3595</v>
      </c>
      <c r="M610" s="2" t="s">
        <v>3596</v>
      </c>
      <c r="N610" s="2" t="s">
        <v>34</v>
      </c>
      <c r="O610" s="2" t="s">
        <v>3597</v>
      </c>
      <c r="P610" s="2" t="s">
        <v>36</v>
      </c>
    </row>
    <row r="611" spans="1:16" x14ac:dyDescent="0.2">
      <c r="A611" s="2" t="s">
        <v>3598</v>
      </c>
      <c r="B611" s="2">
        <v>36</v>
      </c>
      <c r="C611" s="2">
        <v>15</v>
      </c>
      <c r="D611" s="2" t="s">
        <v>113</v>
      </c>
      <c r="E611" s="2">
        <v>1726</v>
      </c>
      <c r="F611" s="2" t="s">
        <v>30</v>
      </c>
      <c r="G611" s="2" t="s">
        <v>636</v>
      </c>
      <c r="H611" s="2" t="s">
        <v>3599</v>
      </c>
      <c r="I611" s="2" t="s">
        <v>3600</v>
      </c>
      <c r="J611" s="2" t="s">
        <v>34</v>
      </c>
      <c r="K611" s="2" t="s">
        <v>34</v>
      </c>
      <c r="L611" s="2" t="s">
        <v>3601</v>
      </c>
      <c r="M611" s="2" t="s">
        <v>3602</v>
      </c>
      <c r="N611" s="2" t="s">
        <v>3603</v>
      </c>
      <c r="O611" s="2" t="s">
        <v>34</v>
      </c>
      <c r="P611" s="2" t="s">
        <v>36</v>
      </c>
    </row>
    <row r="612" spans="1:16" x14ac:dyDescent="0.2">
      <c r="A612" s="2" t="s">
        <v>3604</v>
      </c>
      <c r="B612" s="2">
        <v>36</v>
      </c>
      <c r="C612" s="2">
        <v>16</v>
      </c>
      <c r="D612" s="2" t="s">
        <v>113</v>
      </c>
      <c r="E612" s="2">
        <v>1992</v>
      </c>
      <c r="F612" s="2" t="s">
        <v>30</v>
      </c>
      <c r="G612" s="2" t="s">
        <v>2215</v>
      </c>
      <c r="H612" s="2" t="s">
        <v>3605</v>
      </c>
      <c r="I612" s="2" t="s">
        <v>3606</v>
      </c>
      <c r="J612" s="2" t="s">
        <v>34</v>
      </c>
      <c r="K612" s="2" t="s">
        <v>34</v>
      </c>
      <c r="L612" s="2" t="s">
        <v>3607</v>
      </c>
      <c r="M612" s="2" t="s">
        <v>34</v>
      </c>
      <c r="N612" s="2" t="s">
        <v>34</v>
      </c>
      <c r="O612" s="2" t="s">
        <v>34</v>
      </c>
      <c r="P612" s="2" t="s">
        <v>36</v>
      </c>
    </row>
    <row r="613" spans="1:16" x14ac:dyDescent="0.2">
      <c r="A613" s="2" t="s">
        <v>3608</v>
      </c>
      <c r="B613" s="2">
        <v>36</v>
      </c>
      <c r="C613" s="2">
        <v>17</v>
      </c>
      <c r="D613" s="2" t="s">
        <v>144</v>
      </c>
      <c r="E613" s="2">
        <v>2995</v>
      </c>
      <c r="F613" s="2" t="s">
        <v>30</v>
      </c>
      <c r="G613" s="2" t="s">
        <v>1048</v>
      </c>
      <c r="H613" s="2" t="s">
        <v>3609</v>
      </c>
      <c r="I613" s="2" t="s">
        <v>3610</v>
      </c>
      <c r="J613" s="2" t="s">
        <v>34</v>
      </c>
      <c r="K613" s="2" t="s">
        <v>34</v>
      </c>
      <c r="L613" s="2" t="s">
        <v>3611</v>
      </c>
      <c r="M613" s="2" t="s">
        <v>3612</v>
      </c>
      <c r="N613" s="2" t="s">
        <v>34</v>
      </c>
      <c r="O613" s="2" t="s">
        <v>3613</v>
      </c>
      <c r="P613" s="2" t="s">
        <v>78</v>
      </c>
    </row>
    <row r="614" spans="1:16" x14ac:dyDescent="0.2">
      <c r="A614" s="2" t="s">
        <v>3614</v>
      </c>
      <c r="B614" s="2">
        <v>37</v>
      </c>
      <c r="C614" s="2">
        <v>1</v>
      </c>
      <c r="D614" s="2" t="s">
        <v>29</v>
      </c>
      <c r="E614" s="2">
        <v>836</v>
      </c>
      <c r="F614" s="2" t="s">
        <v>30</v>
      </c>
      <c r="G614" s="2" t="s">
        <v>1176</v>
      </c>
      <c r="H614" s="2" t="s">
        <v>3615</v>
      </c>
      <c r="I614" s="2" t="s">
        <v>3616</v>
      </c>
      <c r="J614" s="2" t="s">
        <v>34</v>
      </c>
      <c r="K614" s="2" t="s">
        <v>34</v>
      </c>
      <c r="L614" s="2" t="s">
        <v>3617</v>
      </c>
      <c r="M614" s="2" t="s">
        <v>34</v>
      </c>
      <c r="N614" s="2" t="s">
        <v>3618</v>
      </c>
      <c r="O614" s="2" t="s">
        <v>34</v>
      </c>
      <c r="P614" s="2" t="s">
        <v>36</v>
      </c>
    </row>
    <row r="615" spans="1:16" x14ac:dyDescent="0.2">
      <c r="A615" s="2" t="s">
        <v>3619</v>
      </c>
      <c r="B615" s="2">
        <v>37</v>
      </c>
      <c r="C615" s="2">
        <v>2</v>
      </c>
      <c r="D615" s="2" t="s">
        <v>29</v>
      </c>
      <c r="E615" s="2">
        <v>833</v>
      </c>
      <c r="F615" s="2" t="s">
        <v>30</v>
      </c>
      <c r="G615" s="2" t="s">
        <v>1519</v>
      </c>
      <c r="H615" s="2" t="s">
        <v>3620</v>
      </c>
      <c r="I615" s="2" t="s">
        <v>3621</v>
      </c>
      <c r="J615" s="2" t="s">
        <v>34</v>
      </c>
      <c r="K615" s="2" t="s">
        <v>34</v>
      </c>
      <c r="L615" s="2" t="s">
        <v>3622</v>
      </c>
      <c r="M615" s="2" t="s">
        <v>34</v>
      </c>
      <c r="N615" s="2" t="s">
        <v>34</v>
      </c>
      <c r="O615" s="2" t="s">
        <v>3623</v>
      </c>
      <c r="P615" s="2" t="s">
        <v>36</v>
      </c>
    </row>
    <row r="616" spans="1:16" x14ac:dyDescent="0.2">
      <c r="A616" s="2" t="s">
        <v>3624</v>
      </c>
      <c r="B616" s="2">
        <v>37</v>
      </c>
      <c r="C616" s="2">
        <v>3</v>
      </c>
      <c r="D616" s="2" t="s">
        <v>29</v>
      </c>
      <c r="E616" s="2">
        <v>822</v>
      </c>
      <c r="F616" s="2" t="s">
        <v>38</v>
      </c>
      <c r="G616" s="2" t="s">
        <v>2440</v>
      </c>
      <c r="H616" s="2" t="s">
        <v>3625</v>
      </c>
      <c r="I616" s="2" t="s">
        <v>3626</v>
      </c>
      <c r="J616" s="2" t="s">
        <v>3627</v>
      </c>
      <c r="K616" s="3">
        <v>46295</v>
      </c>
      <c r="L616" s="2" t="s">
        <v>3628</v>
      </c>
      <c r="M616" s="2" t="s">
        <v>34</v>
      </c>
      <c r="N616" s="2" t="s">
        <v>34</v>
      </c>
      <c r="O616" s="2" t="s">
        <v>34</v>
      </c>
      <c r="P616" s="2" t="s">
        <v>36</v>
      </c>
    </row>
    <row r="617" spans="1:16" x14ac:dyDescent="0.2">
      <c r="A617" s="2" t="s">
        <v>3629</v>
      </c>
      <c r="B617" s="2">
        <v>37</v>
      </c>
      <c r="C617" s="2">
        <v>4</v>
      </c>
      <c r="D617" s="2" t="s">
        <v>29</v>
      </c>
      <c r="E617" s="2">
        <v>904</v>
      </c>
      <c r="F617" s="2" t="s">
        <v>30</v>
      </c>
      <c r="G617" s="2" t="s">
        <v>1627</v>
      </c>
      <c r="H617" s="2" t="s">
        <v>3630</v>
      </c>
      <c r="I617" s="2" t="s">
        <v>3631</v>
      </c>
      <c r="J617" s="2" t="s">
        <v>34</v>
      </c>
      <c r="K617" s="2" t="s">
        <v>34</v>
      </c>
      <c r="L617" s="2" t="s">
        <v>3632</v>
      </c>
      <c r="M617" s="2" t="s">
        <v>34</v>
      </c>
      <c r="N617" s="2" t="s">
        <v>34</v>
      </c>
      <c r="O617" s="2" t="s">
        <v>3633</v>
      </c>
      <c r="P617" s="2" t="s">
        <v>36</v>
      </c>
    </row>
    <row r="618" spans="1:16" x14ac:dyDescent="0.2">
      <c r="A618" s="2" t="s">
        <v>3634</v>
      </c>
      <c r="B618" s="2">
        <v>37</v>
      </c>
      <c r="C618" s="2">
        <v>5</v>
      </c>
      <c r="D618" s="2" t="s">
        <v>29</v>
      </c>
      <c r="E618" s="2">
        <v>966</v>
      </c>
      <c r="F618" s="2" t="s">
        <v>30</v>
      </c>
      <c r="G618" s="2" t="s">
        <v>1387</v>
      </c>
      <c r="H618" s="2" t="s">
        <v>3635</v>
      </c>
      <c r="I618" s="2" t="s">
        <v>3636</v>
      </c>
      <c r="J618" s="2" t="s">
        <v>34</v>
      </c>
      <c r="K618" s="2" t="s">
        <v>34</v>
      </c>
      <c r="L618" s="2" t="s">
        <v>3637</v>
      </c>
      <c r="M618" s="2" t="s">
        <v>34</v>
      </c>
      <c r="N618" s="2" t="s">
        <v>34</v>
      </c>
      <c r="O618" s="2" t="s">
        <v>34</v>
      </c>
      <c r="P618" s="2" t="s">
        <v>36</v>
      </c>
    </row>
    <row r="619" spans="1:16" x14ac:dyDescent="0.2">
      <c r="A619" s="2" t="s">
        <v>3638</v>
      </c>
      <c r="B619" s="2">
        <v>37</v>
      </c>
      <c r="C619" s="2">
        <v>6</v>
      </c>
      <c r="D619" s="2" t="s">
        <v>29</v>
      </c>
      <c r="E619" s="2">
        <v>831</v>
      </c>
      <c r="F619" s="2" t="s">
        <v>30</v>
      </c>
      <c r="G619" s="2" t="s">
        <v>294</v>
      </c>
      <c r="H619" s="2" t="s">
        <v>3639</v>
      </c>
      <c r="I619" s="2" t="s">
        <v>3640</v>
      </c>
      <c r="J619" s="2" t="s">
        <v>34</v>
      </c>
      <c r="K619" s="2" t="s">
        <v>34</v>
      </c>
      <c r="L619" s="2" t="s">
        <v>3641</v>
      </c>
      <c r="M619" s="2" t="s">
        <v>34</v>
      </c>
      <c r="N619" s="2" t="s">
        <v>34</v>
      </c>
      <c r="O619" s="2" t="s">
        <v>34</v>
      </c>
      <c r="P619" s="2" t="s">
        <v>78</v>
      </c>
    </row>
    <row r="620" spans="1:16" x14ac:dyDescent="0.2">
      <c r="A620" s="2" t="s">
        <v>3642</v>
      </c>
      <c r="B620" s="2">
        <v>37</v>
      </c>
      <c r="C620" s="2">
        <v>7</v>
      </c>
      <c r="D620" s="2" t="s">
        <v>71</v>
      </c>
      <c r="E620" s="2">
        <v>1255</v>
      </c>
      <c r="F620" s="2" t="s">
        <v>30</v>
      </c>
      <c r="G620" s="2" t="s">
        <v>385</v>
      </c>
      <c r="H620" s="2" t="s">
        <v>3643</v>
      </c>
      <c r="I620" s="2" t="s">
        <v>3644</v>
      </c>
      <c r="J620" s="2" t="s">
        <v>34</v>
      </c>
      <c r="K620" s="2" t="s">
        <v>34</v>
      </c>
      <c r="L620" s="2" t="s">
        <v>3645</v>
      </c>
      <c r="M620" s="2" t="s">
        <v>34</v>
      </c>
      <c r="N620" s="2" t="s">
        <v>34</v>
      </c>
      <c r="O620" s="2" t="s">
        <v>34</v>
      </c>
      <c r="P620" s="2" t="s">
        <v>36</v>
      </c>
    </row>
    <row r="621" spans="1:16" x14ac:dyDescent="0.2">
      <c r="A621" s="2" t="s">
        <v>3646</v>
      </c>
      <c r="B621" s="2">
        <v>37</v>
      </c>
      <c r="C621" s="2">
        <v>8</v>
      </c>
      <c r="D621" s="2" t="s">
        <v>71</v>
      </c>
      <c r="E621" s="2">
        <v>1439</v>
      </c>
      <c r="F621" s="2" t="s">
        <v>30</v>
      </c>
      <c r="G621" s="2" t="s">
        <v>3647</v>
      </c>
      <c r="H621" s="2" t="s">
        <v>3648</v>
      </c>
      <c r="I621" s="2" t="s">
        <v>3649</v>
      </c>
      <c r="J621" s="2" t="s">
        <v>34</v>
      </c>
      <c r="K621" s="2" t="s">
        <v>34</v>
      </c>
      <c r="L621" s="2" t="s">
        <v>3650</v>
      </c>
      <c r="M621" s="2" t="s">
        <v>34</v>
      </c>
      <c r="N621" s="2" t="s">
        <v>34</v>
      </c>
      <c r="O621" s="2" t="s">
        <v>34</v>
      </c>
      <c r="P621" s="2" t="s">
        <v>36</v>
      </c>
    </row>
    <row r="622" spans="1:16" x14ac:dyDescent="0.2">
      <c r="A622" s="2" t="s">
        <v>3651</v>
      </c>
      <c r="B622" s="2">
        <v>37</v>
      </c>
      <c r="C622" s="2">
        <v>9</v>
      </c>
      <c r="D622" s="2" t="s">
        <v>71</v>
      </c>
      <c r="E622" s="2">
        <v>1487</v>
      </c>
      <c r="F622" s="2" t="s">
        <v>30</v>
      </c>
      <c r="G622" s="2" t="s">
        <v>704</v>
      </c>
      <c r="H622" s="2" t="s">
        <v>3652</v>
      </c>
      <c r="I622" s="2" t="s">
        <v>3653</v>
      </c>
      <c r="J622" s="2" t="s">
        <v>34</v>
      </c>
      <c r="K622" s="2" t="s">
        <v>34</v>
      </c>
      <c r="L622" s="2" t="s">
        <v>3654</v>
      </c>
      <c r="M622" s="2" t="s">
        <v>3655</v>
      </c>
      <c r="N622" s="2" t="s">
        <v>3656</v>
      </c>
      <c r="O622" s="2" t="s">
        <v>3657</v>
      </c>
      <c r="P622" s="2" t="s">
        <v>78</v>
      </c>
    </row>
    <row r="623" spans="1:16" x14ac:dyDescent="0.2">
      <c r="A623" s="2" t="s">
        <v>3658</v>
      </c>
      <c r="B623" s="2">
        <v>37</v>
      </c>
      <c r="C623" s="2">
        <v>10</v>
      </c>
      <c r="D623" s="2" t="s">
        <v>71</v>
      </c>
      <c r="E623" s="2">
        <v>1433</v>
      </c>
      <c r="F623" s="2" t="s">
        <v>30</v>
      </c>
      <c r="G623" s="2" t="s">
        <v>549</v>
      </c>
      <c r="H623" s="2" t="s">
        <v>3659</v>
      </c>
      <c r="I623" s="2" t="s">
        <v>3660</v>
      </c>
      <c r="J623" s="2" t="s">
        <v>34</v>
      </c>
      <c r="K623" s="2" t="s">
        <v>34</v>
      </c>
      <c r="L623" s="2" t="s">
        <v>3661</v>
      </c>
      <c r="M623" s="2" t="s">
        <v>3662</v>
      </c>
      <c r="N623" s="2" t="s">
        <v>34</v>
      </c>
      <c r="O623" s="2" t="s">
        <v>3663</v>
      </c>
      <c r="P623" s="2" t="s">
        <v>36</v>
      </c>
    </row>
    <row r="624" spans="1:16" x14ac:dyDescent="0.2">
      <c r="A624" s="2" t="s">
        <v>3664</v>
      </c>
      <c r="B624" s="2">
        <v>37</v>
      </c>
      <c r="C624" s="2">
        <v>11</v>
      </c>
      <c r="D624" s="2" t="s">
        <v>71</v>
      </c>
      <c r="E624" s="2">
        <v>1372</v>
      </c>
      <c r="F624" s="2" t="s">
        <v>30</v>
      </c>
      <c r="G624" s="2" t="s">
        <v>3320</v>
      </c>
      <c r="H624" s="2" t="s">
        <v>3665</v>
      </c>
      <c r="I624" s="2" t="s">
        <v>3666</v>
      </c>
      <c r="J624" s="2" t="s">
        <v>34</v>
      </c>
      <c r="K624" s="2" t="s">
        <v>34</v>
      </c>
      <c r="L624" s="2" t="s">
        <v>3667</v>
      </c>
      <c r="M624" s="2" t="s">
        <v>3668</v>
      </c>
      <c r="N624" s="2" t="s">
        <v>34</v>
      </c>
      <c r="O624" s="2" t="s">
        <v>3669</v>
      </c>
      <c r="P624" s="2" t="s">
        <v>36</v>
      </c>
    </row>
    <row r="625" spans="1:16" x14ac:dyDescent="0.2">
      <c r="A625" s="2" t="s">
        <v>3670</v>
      </c>
      <c r="B625" s="2">
        <v>37</v>
      </c>
      <c r="C625" s="2">
        <v>12</v>
      </c>
      <c r="D625" s="2" t="s">
        <v>71</v>
      </c>
      <c r="E625" s="2">
        <v>1279</v>
      </c>
      <c r="F625" s="2" t="s">
        <v>38</v>
      </c>
      <c r="G625" s="2" t="s">
        <v>2079</v>
      </c>
      <c r="H625" s="2" t="s">
        <v>3671</v>
      </c>
      <c r="I625" s="2" t="s">
        <v>3672</v>
      </c>
      <c r="J625" s="2" t="s">
        <v>2688</v>
      </c>
      <c r="K625" s="3">
        <v>46223</v>
      </c>
      <c r="L625" s="2" t="s">
        <v>3673</v>
      </c>
      <c r="M625" s="2" t="s">
        <v>34</v>
      </c>
      <c r="N625" s="2" t="s">
        <v>34</v>
      </c>
      <c r="O625" s="2" t="s">
        <v>3674</v>
      </c>
      <c r="P625" s="2" t="s">
        <v>36</v>
      </c>
    </row>
    <row r="626" spans="1:16" x14ac:dyDescent="0.2">
      <c r="A626" s="2" t="s">
        <v>3675</v>
      </c>
      <c r="B626" s="2">
        <v>37</v>
      </c>
      <c r="C626" s="2">
        <v>13</v>
      </c>
      <c r="D626" s="2" t="s">
        <v>113</v>
      </c>
      <c r="E626" s="2">
        <v>1918</v>
      </c>
      <c r="F626" s="2" t="s">
        <v>30</v>
      </c>
      <c r="G626" s="2" t="s">
        <v>3676</v>
      </c>
      <c r="H626" s="2" t="s">
        <v>3677</v>
      </c>
      <c r="I626" s="2" t="s">
        <v>3678</v>
      </c>
      <c r="J626" s="2" t="s">
        <v>34</v>
      </c>
      <c r="K626" s="2" t="s">
        <v>34</v>
      </c>
      <c r="L626" s="2" t="s">
        <v>3679</v>
      </c>
      <c r="M626" s="2" t="s">
        <v>3680</v>
      </c>
      <c r="N626" s="2" t="s">
        <v>3681</v>
      </c>
      <c r="O626" s="2" t="s">
        <v>34</v>
      </c>
      <c r="P626" s="2" t="s">
        <v>78</v>
      </c>
    </row>
    <row r="627" spans="1:16" x14ac:dyDescent="0.2">
      <c r="A627" s="2" t="s">
        <v>3682</v>
      </c>
      <c r="B627" s="2">
        <v>37</v>
      </c>
      <c r="C627" s="2">
        <v>14</v>
      </c>
      <c r="D627" s="2" t="s">
        <v>113</v>
      </c>
      <c r="E627" s="2">
        <v>1895</v>
      </c>
      <c r="F627" s="2" t="s">
        <v>38</v>
      </c>
      <c r="G627" s="2" t="s">
        <v>3683</v>
      </c>
      <c r="H627" s="2" t="s">
        <v>3684</v>
      </c>
      <c r="I627" s="2" t="s">
        <v>3685</v>
      </c>
      <c r="J627" s="2" t="s">
        <v>3686</v>
      </c>
      <c r="K627" s="3">
        <v>46408</v>
      </c>
      <c r="L627" s="2" t="s">
        <v>3687</v>
      </c>
      <c r="M627" s="2" t="s">
        <v>34</v>
      </c>
      <c r="N627" s="2" t="s">
        <v>34</v>
      </c>
      <c r="O627" s="2" t="s">
        <v>3688</v>
      </c>
      <c r="P627" s="2" t="s">
        <v>78</v>
      </c>
    </row>
    <row r="628" spans="1:16" x14ac:dyDescent="0.2">
      <c r="A628" s="2" t="s">
        <v>3689</v>
      </c>
      <c r="B628" s="2">
        <v>37</v>
      </c>
      <c r="C628" s="2">
        <v>15</v>
      </c>
      <c r="D628" s="2" t="s">
        <v>113</v>
      </c>
      <c r="E628" s="2">
        <v>2195</v>
      </c>
      <c r="F628" s="2" t="s">
        <v>38</v>
      </c>
      <c r="G628" s="2" t="s">
        <v>704</v>
      </c>
      <c r="H628" s="2" t="s">
        <v>3690</v>
      </c>
      <c r="I628" s="2" t="s">
        <v>3691</v>
      </c>
      <c r="J628" s="2" t="s">
        <v>1273</v>
      </c>
      <c r="K628" s="3">
        <v>46216</v>
      </c>
      <c r="L628" s="2" t="s">
        <v>3692</v>
      </c>
      <c r="M628" s="2" t="s">
        <v>34</v>
      </c>
      <c r="N628" s="2" t="s">
        <v>34</v>
      </c>
      <c r="O628" s="2" t="s">
        <v>34</v>
      </c>
      <c r="P628" s="2" t="s">
        <v>36</v>
      </c>
    </row>
    <row r="629" spans="1:16" x14ac:dyDescent="0.2">
      <c r="A629" s="2" t="s">
        <v>3693</v>
      </c>
      <c r="B629" s="2">
        <v>37</v>
      </c>
      <c r="C629" s="2">
        <v>16</v>
      </c>
      <c r="D629" s="2" t="s">
        <v>113</v>
      </c>
      <c r="E629" s="2">
        <v>1903</v>
      </c>
      <c r="F629" s="2" t="s">
        <v>30</v>
      </c>
      <c r="G629" s="2" t="s">
        <v>1685</v>
      </c>
      <c r="H629" s="2" t="s">
        <v>3694</v>
      </c>
      <c r="I629" s="2" t="s">
        <v>3695</v>
      </c>
      <c r="J629" s="2" t="s">
        <v>34</v>
      </c>
      <c r="K629" s="2" t="s">
        <v>34</v>
      </c>
      <c r="L629" s="2" t="s">
        <v>3696</v>
      </c>
      <c r="M629" s="2" t="s">
        <v>3697</v>
      </c>
      <c r="N629" s="2" t="s">
        <v>34</v>
      </c>
      <c r="O629" s="2" t="s">
        <v>34</v>
      </c>
      <c r="P629" s="2" t="s">
        <v>36</v>
      </c>
    </row>
    <row r="630" spans="1:16" x14ac:dyDescent="0.2">
      <c r="A630" s="2" t="s">
        <v>3698</v>
      </c>
      <c r="B630" s="2">
        <v>37</v>
      </c>
      <c r="C630" s="2">
        <v>17</v>
      </c>
      <c r="D630" s="2" t="s">
        <v>144</v>
      </c>
      <c r="E630" s="2">
        <v>3142</v>
      </c>
      <c r="F630" s="2" t="s">
        <v>30</v>
      </c>
      <c r="G630" s="2" t="s">
        <v>1342</v>
      </c>
      <c r="H630" s="2" t="s">
        <v>3699</v>
      </c>
      <c r="I630" s="2" t="s">
        <v>3700</v>
      </c>
      <c r="J630" s="2" t="s">
        <v>34</v>
      </c>
      <c r="K630" s="2" t="s">
        <v>34</v>
      </c>
      <c r="L630" s="2" t="s">
        <v>3701</v>
      </c>
      <c r="M630" s="2" t="s">
        <v>3702</v>
      </c>
      <c r="N630" s="2" t="s">
        <v>34</v>
      </c>
      <c r="O630" s="2" t="s">
        <v>34</v>
      </c>
      <c r="P630" s="2" t="s">
        <v>36</v>
      </c>
    </row>
    <row r="631" spans="1:16" x14ac:dyDescent="0.2">
      <c r="A631" s="2" t="s">
        <v>3703</v>
      </c>
      <c r="B631" s="2">
        <v>38</v>
      </c>
      <c r="C631" s="2">
        <v>1</v>
      </c>
      <c r="D631" s="2" t="s">
        <v>29</v>
      </c>
      <c r="E631" s="2">
        <v>915</v>
      </c>
      <c r="F631" s="2" t="s">
        <v>30</v>
      </c>
      <c r="G631" s="2" t="s">
        <v>1059</v>
      </c>
      <c r="H631" s="2" t="s">
        <v>3704</v>
      </c>
      <c r="I631" s="2" t="s">
        <v>3705</v>
      </c>
      <c r="J631" s="2" t="s">
        <v>34</v>
      </c>
      <c r="K631" s="2" t="s">
        <v>34</v>
      </c>
      <c r="L631" s="2" t="s">
        <v>3706</v>
      </c>
      <c r="M631" s="2" t="s">
        <v>34</v>
      </c>
      <c r="N631" s="2" t="s">
        <v>34</v>
      </c>
      <c r="O631" s="2" t="s">
        <v>34</v>
      </c>
      <c r="P631" s="2" t="s">
        <v>36</v>
      </c>
    </row>
    <row r="632" spans="1:16" x14ac:dyDescent="0.2">
      <c r="A632" s="2" t="s">
        <v>3707</v>
      </c>
      <c r="B632" s="2">
        <v>38</v>
      </c>
      <c r="C632" s="2">
        <v>2</v>
      </c>
      <c r="D632" s="2" t="s">
        <v>29</v>
      </c>
      <c r="E632" s="2">
        <v>873</v>
      </c>
      <c r="F632" s="2" t="s">
        <v>38</v>
      </c>
      <c r="G632" s="2" t="s">
        <v>3109</v>
      </c>
      <c r="H632" s="2" t="s">
        <v>3708</v>
      </c>
      <c r="I632" s="2" t="s">
        <v>3709</v>
      </c>
      <c r="J632" s="2" t="s">
        <v>3710</v>
      </c>
      <c r="K632" s="3">
        <v>46323</v>
      </c>
      <c r="L632" s="2" t="s">
        <v>3711</v>
      </c>
      <c r="M632" s="2" t="s">
        <v>34</v>
      </c>
      <c r="N632" s="2" t="s">
        <v>34</v>
      </c>
      <c r="O632" s="2" t="s">
        <v>3712</v>
      </c>
      <c r="P632" s="2" t="s">
        <v>36</v>
      </c>
    </row>
    <row r="633" spans="1:16" x14ac:dyDescent="0.2">
      <c r="A633" s="2" t="s">
        <v>3713</v>
      </c>
      <c r="B633" s="2">
        <v>38</v>
      </c>
      <c r="C633" s="2">
        <v>3</v>
      </c>
      <c r="D633" s="2" t="s">
        <v>29</v>
      </c>
      <c r="E633" s="2">
        <v>841</v>
      </c>
      <c r="F633" s="2" t="s">
        <v>30</v>
      </c>
      <c r="G633" s="2" t="s">
        <v>2506</v>
      </c>
      <c r="H633" s="2" t="s">
        <v>3714</v>
      </c>
      <c r="I633" s="2" t="s">
        <v>3715</v>
      </c>
      <c r="J633" s="2" t="s">
        <v>34</v>
      </c>
      <c r="K633" s="2" t="s">
        <v>34</v>
      </c>
      <c r="L633" s="2" t="s">
        <v>3716</v>
      </c>
      <c r="M633" s="2" t="s">
        <v>34</v>
      </c>
      <c r="N633" s="2" t="s">
        <v>34</v>
      </c>
      <c r="O633" s="2" t="s">
        <v>34</v>
      </c>
      <c r="P633" s="2" t="s">
        <v>36</v>
      </c>
    </row>
    <row r="634" spans="1:16" x14ac:dyDescent="0.2">
      <c r="A634" s="2" t="s">
        <v>3717</v>
      </c>
      <c r="B634" s="2">
        <v>38</v>
      </c>
      <c r="C634" s="2">
        <v>4</v>
      </c>
      <c r="D634" s="2" t="s">
        <v>29</v>
      </c>
      <c r="E634" s="2">
        <v>929</v>
      </c>
      <c r="F634" s="2" t="s">
        <v>30</v>
      </c>
      <c r="G634" s="2" t="s">
        <v>1622</v>
      </c>
      <c r="H634" s="2" t="s">
        <v>3718</v>
      </c>
      <c r="I634" s="2" t="s">
        <v>3719</v>
      </c>
      <c r="J634" s="2" t="s">
        <v>34</v>
      </c>
      <c r="K634" s="2" t="s">
        <v>34</v>
      </c>
      <c r="L634" s="2" t="s">
        <v>3720</v>
      </c>
      <c r="M634" s="2" t="s">
        <v>34</v>
      </c>
      <c r="N634" s="2" t="s">
        <v>34</v>
      </c>
      <c r="O634" s="2" t="s">
        <v>3721</v>
      </c>
      <c r="P634" s="2" t="s">
        <v>36</v>
      </c>
    </row>
    <row r="635" spans="1:16" x14ac:dyDescent="0.2">
      <c r="A635" s="2" t="s">
        <v>3722</v>
      </c>
      <c r="B635" s="2">
        <v>38</v>
      </c>
      <c r="C635" s="2">
        <v>5</v>
      </c>
      <c r="D635" s="2" t="s">
        <v>29</v>
      </c>
      <c r="E635" s="2">
        <v>879</v>
      </c>
      <c r="F635" s="2" t="s">
        <v>38</v>
      </c>
      <c r="G635" s="2" t="s">
        <v>3240</v>
      </c>
      <c r="H635" s="2" t="s">
        <v>3723</v>
      </c>
      <c r="I635" s="2" t="s">
        <v>3724</v>
      </c>
      <c r="J635" s="2" t="s">
        <v>39</v>
      </c>
      <c r="K635" s="3">
        <v>46385</v>
      </c>
      <c r="L635" s="2" t="s">
        <v>3725</v>
      </c>
      <c r="M635" s="2" t="s">
        <v>34</v>
      </c>
      <c r="N635" s="2" t="s">
        <v>34</v>
      </c>
      <c r="O635" s="2" t="s">
        <v>3726</v>
      </c>
      <c r="P635" s="2" t="s">
        <v>36</v>
      </c>
    </row>
    <row r="636" spans="1:16" x14ac:dyDescent="0.2">
      <c r="A636" s="2" t="s">
        <v>3727</v>
      </c>
      <c r="B636" s="2">
        <v>38</v>
      </c>
      <c r="C636" s="2">
        <v>6</v>
      </c>
      <c r="D636" s="2" t="s">
        <v>29</v>
      </c>
      <c r="E636" s="2">
        <v>850</v>
      </c>
      <c r="F636" s="2" t="s">
        <v>30</v>
      </c>
      <c r="G636" s="2" t="s">
        <v>3015</v>
      </c>
      <c r="H636" s="2" t="s">
        <v>3728</v>
      </c>
      <c r="I636" s="2" t="s">
        <v>3729</v>
      </c>
      <c r="J636" s="2" t="s">
        <v>34</v>
      </c>
      <c r="K636" s="2" t="s">
        <v>34</v>
      </c>
      <c r="L636" s="2" t="s">
        <v>3730</v>
      </c>
      <c r="M636" s="2" t="s">
        <v>34</v>
      </c>
      <c r="N636" s="2" t="s">
        <v>34</v>
      </c>
      <c r="O636" s="2" t="s">
        <v>34</v>
      </c>
      <c r="P636" s="2" t="s">
        <v>36</v>
      </c>
    </row>
    <row r="637" spans="1:16" x14ac:dyDescent="0.2">
      <c r="A637" s="2" t="s">
        <v>3731</v>
      </c>
      <c r="B637" s="2">
        <v>38</v>
      </c>
      <c r="C637" s="2">
        <v>7</v>
      </c>
      <c r="D637" s="2" t="s">
        <v>71</v>
      </c>
      <c r="E637" s="2">
        <v>1277</v>
      </c>
      <c r="F637" s="2" t="s">
        <v>38</v>
      </c>
      <c r="G637" s="2" t="s">
        <v>433</v>
      </c>
      <c r="H637" s="2" t="s">
        <v>3732</v>
      </c>
      <c r="I637" s="2" t="s">
        <v>3733</v>
      </c>
      <c r="J637" s="2" t="s">
        <v>3734</v>
      </c>
      <c r="K637" s="3">
        <v>46287</v>
      </c>
      <c r="L637" s="2" t="s">
        <v>3735</v>
      </c>
      <c r="M637" s="2" t="s">
        <v>34</v>
      </c>
      <c r="N637" s="2" t="s">
        <v>34</v>
      </c>
      <c r="O637" s="2" t="s">
        <v>34</v>
      </c>
      <c r="P637" s="2" t="s">
        <v>36</v>
      </c>
    </row>
    <row r="638" spans="1:16" x14ac:dyDescent="0.2">
      <c r="A638" s="2" t="s">
        <v>3736</v>
      </c>
      <c r="B638" s="2">
        <v>38</v>
      </c>
      <c r="C638" s="2">
        <v>8</v>
      </c>
      <c r="D638" s="2" t="s">
        <v>71</v>
      </c>
      <c r="E638" s="2">
        <v>1256</v>
      </c>
      <c r="F638" s="2" t="s">
        <v>30</v>
      </c>
      <c r="G638" s="2" t="s">
        <v>412</v>
      </c>
      <c r="H638" s="2" t="s">
        <v>3737</v>
      </c>
      <c r="I638" s="2" t="s">
        <v>3738</v>
      </c>
      <c r="J638" s="2" t="s">
        <v>34</v>
      </c>
      <c r="K638" s="2" t="s">
        <v>34</v>
      </c>
      <c r="L638" s="2" t="s">
        <v>3739</v>
      </c>
      <c r="M638" s="2" t="s">
        <v>3740</v>
      </c>
      <c r="N638" s="2" t="s">
        <v>34</v>
      </c>
      <c r="O638" s="2" t="s">
        <v>34</v>
      </c>
      <c r="P638" s="2" t="s">
        <v>36</v>
      </c>
    </row>
    <row r="639" spans="1:16" x14ac:dyDescent="0.2">
      <c r="A639" s="2" t="s">
        <v>3741</v>
      </c>
      <c r="B639" s="2">
        <v>38</v>
      </c>
      <c r="C639" s="2">
        <v>9</v>
      </c>
      <c r="D639" s="2" t="s">
        <v>71</v>
      </c>
      <c r="E639" s="2">
        <v>1354</v>
      </c>
      <c r="F639" s="2" t="s">
        <v>38</v>
      </c>
      <c r="G639" s="2" t="s">
        <v>3742</v>
      </c>
      <c r="H639" s="2" t="s">
        <v>3743</v>
      </c>
      <c r="I639" s="2" t="s">
        <v>3744</v>
      </c>
      <c r="J639" s="2" t="s">
        <v>3745</v>
      </c>
      <c r="K639" s="3">
        <v>46229</v>
      </c>
      <c r="L639" s="2" t="s">
        <v>3746</v>
      </c>
      <c r="M639" s="2" t="s">
        <v>3747</v>
      </c>
      <c r="N639" s="2" t="s">
        <v>34</v>
      </c>
      <c r="O639" s="2" t="s">
        <v>34</v>
      </c>
      <c r="P639" s="2" t="s">
        <v>36</v>
      </c>
    </row>
    <row r="640" spans="1:16" x14ac:dyDescent="0.2">
      <c r="A640" s="2" t="s">
        <v>3748</v>
      </c>
      <c r="B640" s="2">
        <v>38</v>
      </c>
      <c r="C640" s="2">
        <v>10</v>
      </c>
      <c r="D640" s="2" t="s">
        <v>71</v>
      </c>
      <c r="E640" s="2">
        <v>1336</v>
      </c>
      <c r="F640" s="2" t="s">
        <v>38</v>
      </c>
      <c r="G640" s="2" t="s">
        <v>3224</v>
      </c>
      <c r="H640" s="2" t="s">
        <v>3749</v>
      </c>
      <c r="I640" s="2" t="s">
        <v>3750</v>
      </c>
      <c r="J640" s="2" t="s">
        <v>1575</v>
      </c>
      <c r="K640" s="3">
        <v>46318</v>
      </c>
      <c r="L640" s="2" t="s">
        <v>3751</v>
      </c>
      <c r="M640" s="2" t="s">
        <v>34</v>
      </c>
      <c r="N640" s="2" t="s">
        <v>34</v>
      </c>
      <c r="O640" s="2" t="s">
        <v>3752</v>
      </c>
      <c r="P640" s="2" t="s">
        <v>36</v>
      </c>
    </row>
    <row r="641" spans="1:16" x14ac:dyDescent="0.2">
      <c r="A641" s="2" t="s">
        <v>3753</v>
      </c>
      <c r="B641" s="2">
        <v>38</v>
      </c>
      <c r="C641" s="2">
        <v>11</v>
      </c>
      <c r="D641" s="2" t="s">
        <v>71</v>
      </c>
      <c r="E641" s="2">
        <v>1480</v>
      </c>
      <c r="F641" s="2" t="s">
        <v>38</v>
      </c>
      <c r="G641" s="2" t="s">
        <v>2072</v>
      </c>
      <c r="H641" s="2" t="s">
        <v>3754</v>
      </c>
      <c r="I641" s="2" t="s">
        <v>3755</v>
      </c>
      <c r="J641" s="2" t="s">
        <v>3756</v>
      </c>
      <c r="K641" s="3">
        <v>46415</v>
      </c>
      <c r="L641" s="2" t="s">
        <v>3757</v>
      </c>
      <c r="M641" s="2" t="s">
        <v>34</v>
      </c>
      <c r="N641" s="2" t="s">
        <v>34</v>
      </c>
      <c r="O641" s="2" t="s">
        <v>34</v>
      </c>
      <c r="P641" s="2" t="s">
        <v>36</v>
      </c>
    </row>
    <row r="642" spans="1:16" x14ac:dyDescent="0.2">
      <c r="A642" s="2" t="s">
        <v>3758</v>
      </c>
      <c r="B642" s="2">
        <v>38</v>
      </c>
      <c r="C642" s="2">
        <v>12</v>
      </c>
      <c r="D642" s="2" t="s">
        <v>71</v>
      </c>
      <c r="E642" s="2">
        <v>1284</v>
      </c>
      <c r="F642" s="2" t="s">
        <v>30</v>
      </c>
      <c r="G642" s="2" t="s">
        <v>3759</v>
      </c>
      <c r="H642" s="2" t="s">
        <v>3760</v>
      </c>
      <c r="I642" s="2" t="s">
        <v>3761</v>
      </c>
      <c r="J642" s="2" t="s">
        <v>34</v>
      </c>
      <c r="K642" s="2" t="s">
        <v>34</v>
      </c>
      <c r="L642" s="2" t="s">
        <v>3762</v>
      </c>
      <c r="M642" s="2" t="s">
        <v>3763</v>
      </c>
      <c r="N642" s="2" t="s">
        <v>34</v>
      </c>
      <c r="O642" s="2" t="s">
        <v>34</v>
      </c>
      <c r="P642" s="2" t="s">
        <v>78</v>
      </c>
    </row>
    <row r="643" spans="1:16" x14ac:dyDescent="0.2">
      <c r="A643" s="2" t="s">
        <v>3764</v>
      </c>
      <c r="B643" s="2">
        <v>38</v>
      </c>
      <c r="C643" s="2">
        <v>13</v>
      </c>
      <c r="D643" s="2" t="s">
        <v>113</v>
      </c>
      <c r="E643" s="2">
        <v>1756</v>
      </c>
      <c r="F643" s="2" t="s">
        <v>30</v>
      </c>
      <c r="G643" s="2" t="s">
        <v>200</v>
      </c>
      <c r="H643" s="2" t="s">
        <v>3765</v>
      </c>
      <c r="I643" s="2" t="s">
        <v>3766</v>
      </c>
      <c r="J643" s="2" t="s">
        <v>34</v>
      </c>
      <c r="K643" s="2" t="s">
        <v>34</v>
      </c>
      <c r="L643" s="2" t="s">
        <v>3767</v>
      </c>
      <c r="M643" s="2" t="s">
        <v>34</v>
      </c>
      <c r="N643" s="2" t="s">
        <v>34</v>
      </c>
      <c r="O643" s="2" t="s">
        <v>34</v>
      </c>
      <c r="P643" s="2" t="s">
        <v>36</v>
      </c>
    </row>
    <row r="644" spans="1:16" x14ac:dyDescent="0.2">
      <c r="A644" s="2" t="s">
        <v>3768</v>
      </c>
      <c r="B644" s="2">
        <v>38</v>
      </c>
      <c r="C644" s="2">
        <v>14</v>
      </c>
      <c r="D644" s="2" t="s">
        <v>113</v>
      </c>
      <c r="E644" s="2">
        <v>1860</v>
      </c>
      <c r="F644" s="2" t="s">
        <v>30</v>
      </c>
      <c r="G644" s="2" t="s">
        <v>1593</v>
      </c>
      <c r="H644" s="2" t="s">
        <v>3769</v>
      </c>
      <c r="I644" s="2" t="s">
        <v>3770</v>
      </c>
      <c r="J644" s="2" t="s">
        <v>34</v>
      </c>
      <c r="K644" s="2" t="s">
        <v>34</v>
      </c>
      <c r="L644" s="2" t="s">
        <v>3771</v>
      </c>
      <c r="M644" s="2" t="s">
        <v>3772</v>
      </c>
      <c r="N644" s="2" t="s">
        <v>3773</v>
      </c>
      <c r="O644" s="2" t="s">
        <v>3774</v>
      </c>
      <c r="P644" s="2" t="s">
        <v>36</v>
      </c>
    </row>
    <row r="645" spans="1:16" x14ac:dyDescent="0.2">
      <c r="A645" s="2" t="s">
        <v>3775</v>
      </c>
      <c r="B645" s="2">
        <v>38</v>
      </c>
      <c r="C645" s="2">
        <v>15</v>
      </c>
      <c r="D645" s="2" t="s">
        <v>113</v>
      </c>
      <c r="E645" s="2">
        <v>1810</v>
      </c>
      <c r="F645" s="2" t="s">
        <v>30</v>
      </c>
      <c r="G645" s="2" t="s">
        <v>3776</v>
      </c>
      <c r="H645" s="2" t="s">
        <v>3777</v>
      </c>
      <c r="I645" s="2" t="s">
        <v>3778</v>
      </c>
      <c r="J645" s="2" t="s">
        <v>34</v>
      </c>
      <c r="K645" s="2" t="s">
        <v>34</v>
      </c>
      <c r="L645" s="2" t="s">
        <v>3779</v>
      </c>
      <c r="M645" s="2" t="s">
        <v>34</v>
      </c>
      <c r="N645" s="2" t="s">
        <v>34</v>
      </c>
      <c r="O645" s="2" t="s">
        <v>3780</v>
      </c>
      <c r="P645" s="2" t="s">
        <v>36</v>
      </c>
    </row>
    <row r="646" spans="1:16" x14ac:dyDescent="0.2">
      <c r="A646" s="2" t="s">
        <v>3781</v>
      </c>
      <c r="B646" s="2">
        <v>38</v>
      </c>
      <c r="C646" s="2">
        <v>16</v>
      </c>
      <c r="D646" s="2" t="s">
        <v>113</v>
      </c>
      <c r="E646" s="2">
        <v>2092</v>
      </c>
      <c r="F646" s="2" t="s">
        <v>30</v>
      </c>
      <c r="G646" s="2" t="s">
        <v>3782</v>
      </c>
      <c r="H646" s="2" t="s">
        <v>3783</v>
      </c>
      <c r="I646" s="2" t="s">
        <v>3784</v>
      </c>
      <c r="J646" s="2" t="s">
        <v>34</v>
      </c>
      <c r="K646" s="2" t="s">
        <v>34</v>
      </c>
      <c r="L646" s="2" t="s">
        <v>3785</v>
      </c>
      <c r="M646" s="2" t="s">
        <v>34</v>
      </c>
      <c r="N646" s="2" t="s">
        <v>34</v>
      </c>
      <c r="O646" s="2" t="s">
        <v>34</v>
      </c>
      <c r="P646" s="2" t="s">
        <v>36</v>
      </c>
    </row>
    <row r="647" spans="1:16" x14ac:dyDescent="0.2">
      <c r="A647" s="2" t="s">
        <v>3786</v>
      </c>
      <c r="B647" s="2">
        <v>38</v>
      </c>
      <c r="C647" s="2">
        <v>17</v>
      </c>
      <c r="D647" s="2" t="s">
        <v>144</v>
      </c>
      <c r="E647" s="2">
        <v>3092</v>
      </c>
      <c r="F647" s="2" t="s">
        <v>30</v>
      </c>
      <c r="G647" s="2" t="s">
        <v>3787</v>
      </c>
      <c r="H647" s="2" t="s">
        <v>3788</v>
      </c>
      <c r="I647" s="2" t="s">
        <v>3789</v>
      </c>
      <c r="J647" s="2" t="s">
        <v>34</v>
      </c>
      <c r="K647" s="2" t="s">
        <v>34</v>
      </c>
      <c r="L647" s="2" t="s">
        <v>3790</v>
      </c>
      <c r="M647" s="2" t="s">
        <v>3791</v>
      </c>
      <c r="N647" s="2" t="s">
        <v>34</v>
      </c>
      <c r="O647" s="2" t="s">
        <v>3792</v>
      </c>
      <c r="P647" s="2" t="s">
        <v>36</v>
      </c>
    </row>
    <row r="648" spans="1:16" x14ac:dyDescent="0.2">
      <c r="A648" s="2" t="s">
        <v>3793</v>
      </c>
      <c r="B648" s="2">
        <v>39</v>
      </c>
      <c r="C648" s="2">
        <v>1</v>
      </c>
      <c r="D648" s="2" t="s">
        <v>29</v>
      </c>
      <c r="E648" s="2">
        <v>938</v>
      </c>
      <c r="F648" s="2" t="s">
        <v>30</v>
      </c>
      <c r="G648" s="2" t="s">
        <v>1055</v>
      </c>
      <c r="H648" s="2" t="s">
        <v>3794</v>
      </c>
      <c r="I648" s="2" t="s">
        <v>3795</v>
      </c>
      <c r="J648" s="2" t="s">
        <v>34</v>
      </c>
      <c r="K648" s="2" t="s">
        <v>34</v>
      </c>
      <c r="L648" s="2" t="s">
        <v>3796</v>
      </c>
      <c r="M648" s="2" t="s">
        <v>34</v>
      </c>
      <c r="N648" s="2" t="s">
        <v>34</v>
      </c>
      <c r="O648" s="2" t="s">
        <v>34</v>
      </c>
      <c r="P648" s="2" t="s">
        <v>36</v>
      </c>
    </row>
    <row r="649" spans="1:16" x14ac:dyDescent="0.2">
      <c r="A649" s="2" t="s">
        <v>3797</v>
      </c>
      <c r="B649" s="2">
        <v>39</v>
      </c>
      <c r="C649" s="2">
        <v>2</v>
      </c>
      <c r="D649" s="2" t="s">
        <v>29</v>
      </c>
      <c r="E649" s="2">
        <v>896</v>
      </c>
      <c r="F649" s="2" t="s">
        <v>30</v>
      </c>
      <c r="G649" s="2" t="s">
        <v>2440</v>
      </c>
      <c r="H649" s="2" t="s">
        <v>3798</v>
      </c>
      <c r="I649" s="2" t="s">
        <v>3799</v>
      </c>
      <c r="J649" s="2" t="s">
        <v>34</v>
      </c>
      <c r="K649" s="2" t="s">
        <v>34</v>
      </c>
      <c r="L649" s="2" t="s">
        <v>3800</v>
      </c>
      <c r="M649" s="2" t="s">
        <v>34</v>
      </c>
      <c r="N649" s="2" t="s">
        <v>34</v>
      </c>
      <c r="O649" s="2" t="s">
        <v>34</v>
      </c>
      <c r="P649" s="2" t="s">
        <v>78</v>
      </c>
    </row>
    <row r="650" spans="1:16" x14ac:dyDescent="0.2">
      <c r="A650" s="2" t="s">
        <v>3801</v>
      </c>
      <c r="B650" s="2">
        <v>39</v>
      </c>
      <c r="C650" s="2">
        <v>3</v>
      </c>
      <c r="D650" s="2" t="s">
        <v>29</v>
      </c>
      <c r="E650" s="2">
        <v>866</v>
      </c>
      <c r="F650" s="2" t="s">
        <v>38</v>
      </c>
      <c r="G650" s="2" t="s">
        <v>3802</v>
      </c>
      <c r="H650" s="2" t="s">
        <v>3803</v>
      </c>
      <c r="I650" s="2" t="s">
        <v>3804</v>
      </c>
      <c r="J650" s="2" t="s">
        <v>565</v>
      </c>
      <c r="K650" s="3">
        <v>46193</v>
      </c>
      <c r="L650" s="2" t="s">
        <v>3805</v>
      </c>
      <c r="M650" s="2" t="s">
        <v>34</v>
      </c>
      <c r="N650" s="2" t="s">
        <v>34</v>
      </c>
      <c r="O650" s="2" t="s">
        <v>34</v>
      </c>
      <c r="P650" s="2" t="s">
        <v>36</v>
      </c>
    </row>
    <row r="651" spans="1:16" x14ac:dyDescent="0.2">
      <c r="A651" s="2" t="s">
        <v>3806</v>
      </c>
      <c r="B651" s="2">
        <v>39</v>
      </c>
      <c r="C651" s="2">
        <v>4</v>
      </c>
      <c r="D651" s="2" t="s">
        <v>29</v>
      </c>
      <c r="E651" s="2">
        <v>837</v>
      </c>
      <c r="F651" s="2" t="s">
        <v>38</v>
      </c>
      <c r="G651" s="2" t="s">
        <v>3807</v>
      </c>
      <c r="H651" s="2" t="s">
        <v>3808</v>
      </c>
      <c r="I651" s="2" t="s">
        <v>3809</v>
      </c>
      <c r="J651" s="2" t="s">
        <v>1706</v>
      </c>
      <c r="K651" s="3">
        <v>46488</v>
      </c>
      <c r="L651" s="2" t="s">
        <v>3810</v>
      </c>
      <c r="M651" s="2" t="s">
        <v>34</v>
      </c>
      <c r="N651" s="2" t="s">
        <v>34</v>
      </c>
      <c r="O651" s="2" t="s">
        <v>34</v>
      </c>
      <c r="P651" s="2" t="s">
        <v>36</v>
      </c>
    </row>
    <row r="652" spans="1:16" x14ac:dyDescent="0.2">
      <c r="A652" s="2" t="s">
        <v>3811</v>
      </c>
      <c r="B652" s="2">
        <v>39</v>
      </c>
      <c r="C652" s="2">
        <v>5</v>
      </c>
      <c r="D652" s="2" t="s">
        <v>29</v>
      </c>
      <c r="E652" s="2">
        <v>862</v>
      </c>
      <c r="F652" s="2" t="s">
        <v>30</v>
      </c>
      <c r="G652" s="2" t="s">
        <v>3812</v>
      </c>
      <c r="H652" s="2" t="s">
        <v>3813</v>
      </c>
      <c r="I652" s="2" t="s">
        <v>3814</v>
      </c>
      <c r="J652" s="2" t="s">
        <v>34</v>
      </c>
      <c r="K652" s="2" t="s">
        <v>34</v>
      </c>
      <c r="L652" s="2" t="s">
        <v>3815</v>
      </c>
      <c r="M652" s="2" t="s">
        <v>34</v>
      </c>
      <c r="N652" s="2" t="s">
        <v>34</v>
      </c>
      <c r="O652" s="2" t="s">
        <v>34</v>
      </c>
      <c r="P652" s="2" t="s">
        <v>36</v>
      </c>
    </row>
    <row r="653" spans="1:16" x14ac:dyDescent="0.2">
      <c r="A653" s="2" t="s">
        <v>3816</v>
      </c>
      <c r="B653" s="2">
        <v>39</v>
      </c>
      <c r="C653" s="2">
        <v>6</v>
      </c>
      <c r="D653" s="2" t="s">
        <v>29</v>
      </c>
      <c r="E653" s="2">
        <v>907</v>
      </c>
      <c r="F653" s="2" t="s">
        <v>30</v>
      </c>
      <c r="G653" s="2" t="s">
        <v>600</v>
      </c>
      <c r="H653" s="2" t="s">
        <v>3817</v>
      </c>
      <c r="I653" s="2" t="s">
        <v>3818</v>
      </c>
      <c r="J653" s="2" t="s">
        <v>34</v>
      </c>
      <c r="K653" s="2" t="s">
        <v>34</v>
      </c>
      <c r="L653" s="2" t="s">
        <v>3819</v>
      </c>
      <c r="M653" s="2" t="s">
        <v>34</v>
      </c>
      <c r="N653" s="2" t="s">
        <v>34</v>
      </c>
      <c r="O653" s="2" t="s">
        <v>34</v>
      </c>
      <c r="P653" s="2" t="s">
        <v>36</v>
      </c>
    </row>
    <row r="654" spans="1:16" x14ac:dyDescent="0.2">
      <c r="A654" s="2" t="s">
        <v>3820</v>
      </c>
      <c r="B654" s="2">
        <v>39</v>
      </c>
      <c r="C654" s="2">
        <v>7</v>
      </c>
      <c r="D654" s="2" t="s">
        <v>71</v>
      </c>
      <c r="E654" s="2">
        <v>1428</v>
      </c>
      <c r="F654" s="2" t="s">
        <v>30</v>
      </c>
      <c r="G654" s="2" t="s">
        <v>3076</v>
      </c>
      <c r="H654" s="2" t="s">
        <v>3821</v>
      </c>
      <c r="I654" s="2" t="s">
        <v>3822</v>
      </c>
      <c r="J654" s="2" t="s">
        <v>34</v>
      </c>
      <c r="K654" s="2" t="s">
        <v>34</v>
      </c>
      <c r="L654" s="2" t="s">
        <v>3823</v>
      </c>
      <c r="M654" s="2" t="s">
        <v>34</v>
      </c>
      <c r="N654" s="2" t="s">
        <v>34</v>
      </c>
      <c r="O654" s="2" t="s">
        <v>34</v>
      </c>
      <c r="P654" s="2" t="s">
        <v>36</v>
      </c>
    </row>
    <row r="655" spans="1:16" x14ac:dyDescent="0.2">
      <c r="A655" s="2" t="s">
        <v>3824</v>
      </c>
      <c r="B655" s="2">
        <v>39</v>
      </c>
      <c r="C655" s="2">
        <v>8</v>
      </c>
      <c r="D655" s="2" t="s">
        <v>71</v>
      </c>
      <c r="E655" s="2">
        <v>1267</v>
      </c>
      <c r="F655" s="2" t="s">
        <v>30</v>
      </c>
      <c r="G655" s="2" t="s">
        <v>3825</v>
      </c>
      <c r="H655" s="2" t="s">
        <v>3826</v>
      </c>
      <c r="I655" s="2" t="s">
        <v>3827</v>
      </c>
      <c r="J655" s="2" t="s">
        <v>34</v>
      </c>
      <c r="K655" s="2" t="s">
        <v>34</v>
      </c>
      <c r="L655" s="2" t="s">
        <v>3828</v>
      </c>
      <c r="M655" s="2" t="s">
        <v>3829</v>
      </c>
      <c r="N655" s="2" t="s">
        <v>3830</v>
      </c>
      <c r="O655" s="2" t="s">
        <v>3831</v>
      </c>
      <c r="P655" s="2" t="s">
        <v>36</v>
      </c>
    </row>
    <row r="656" spans="1:16" x14ac:dyDescent="0.2">
      <c r="A656" s="2" t="s">
        <v>3832</v>
      </c>
      <c r="B656" s="2">
        <v>39</v>
      </c>
      <c r="C656" s="2">
        <v>9</v>
      </c>
      <c r="D656" s="2" t="s">
        <v>71</v>
      </c>
      <c r="E656" s="2">
        <v>1258</v>
      </c>
      <c r="F656" s="2" t="s">
        <v>30</v>
      </c>
      <c r="G656" s="2" t="s">
        <v>3833</v>
      </c>
      <c r="H656" s="2" t="s">
        <v>3834</v>
      </c>
      <c r="I656" s="2" t="s">
        <v>3835</v>
      </c>
      <c r="J656" s="2" t="s">
        <v>34</v>
      </c>
      <c r="K656" s="2" t="s">
        <v>34</v>
      </c>
      <c r="L656" s="2" t="s">
        <v>3836</v>
      </c>
      <c r="M656" s="2" t="s">
        <v>34</v>
      </c>
      <c r="N656" s="2" t="s">
        <v>34</v>
      </c>
      <c r="O656" s="2" t="s">
        <v>34</v>
      </c>
      <c r="P656" s="2" t="s">
        <v>36</v>
      </c>
    </row>
    <row r="657" spans="1:16" x14ac:dyDescent="0.2">
      <c r="A657" s="2" t="s">
        <v>3837</v>
      </c>
      <c r="B657" s="2">
        <v>39</v>
      </c>
      <c r="C657" s="2">
        <v>10</v>
      </c>
      <c r="D657" s="2" t="s">
        <v>71</v>
      </c>
      <c r="E657" s="2">
        <v>1508</v>
      </c>
      <c r="F657" s="2" t="s">
        <v>38</v>
      </c>
      <c r="G657" s="2" t="s">
        <v>988</v>
      </c>
      <c r="H657" s="2" t="s">
        <v>3838</v>
      </c>
      <c r="I657" s="2" t="s">
        <v>3839</v>
      </c>
      <c r="J657" s="2" t="s">
        <v>3840</v>
      </c>
      <c r="K657" s="3">
        <v>46137</v>
      </c>
      <c r="L657" s="2" t="s">
        <v>3841</v>
      </c>
      <c r="M657" s="2" t="s">
        <v>34</v>
      </c>
      <c r="N657" s="2" t="s">
        <v>34</v>
      </c>
      <c r="O657" s="2" t="s">
        <v>34</v>
      </c>
      <c r="P657" s="2" t="s">
        <v>36</v>
      </c>
    </row>
    <row r="658" spans="1:16" x14ac:dyDescent="0.2">
      <c r="A658" s="2" t="s">
        <v>3842</v>
      </c>
      <c r="B658" s="2">
        <v>39</v>
      </c>
      <c r="C658" s="2">
        <v>11</v>
      </c>
      <c r="D658" s="2" t="s">
        <v>71</v>
      </c>
      <c r="E658" s="2">
        <v>1188</v>
      </c>
      <c r="F658" s="2" t="s">
        <v>38</v>
      </c>
      <c r="G658" s="2" t="s">
        <v>723</v>
      </c>
      <c r="H658" s="2" t="s">
        <v>3843</v>
      </c>
      <c r="I658" s="2" t="s">
        <v>3844</v>
      </c>
      <c r="J658" s="2" t="s">
        <v>3573</v>
      </c>
      <c r="K658" s="3">
        <v>46427</v>
      </c>
      <c r="L658" s="2" t="s">
        <v>3845</v>
      </c>
      <c r="M658" s="2" t="s">
        <v>3846</v>
      </c>
      <c r="N658" s="2" t="s">
        <v>34</v>
      </c>
      <c r="O658" s="2" t="s">
        <v>34</v>
      </c>
      <c r="P658" s="2" t="s">
        <v>78</v>
      </c>
    </row>
    <row r="659" spans="1:16" x14ac:dyDescent="0.2">
      <c r="A659" s="2" t="s">
        <v>3847</v>
      </c>
      <c r="B659" s="2">
        <v>39</v>
      </c>
      <c r="C659" s="2">
        <v>12</v>
      </c>
      <c r="D659" s="2" t="s">
        <v>71</v>
      </c>
      <c r="E659" s="2">
        <v>1265</v>
      </c>
      <c r="F659" s="2" t="s">
        <v>30</v>
      </c>
      <c r="G659" s="2" t="s">
        <v>2274</v>
      </c>
      <c r="H659" s="2" t="s">
        <v>3848</v>
      </c>
      <c r="I659" s="2" t="s">
        <v>3849</v>
      </c>
      <c r="J659" s="2" t="s">
        <v>34</v>
      </c>
      <c r="K659" s="2" t="s">
        <v>34</v>
      </c>
      <c r="L659" s="2" t="s">
        <v>3850</v>
      </c>
      <c r="M659" s="2" t="s">
        <v>3851</v>
      </c>
      <c r="N659" s="2" t="s">
        <v>34</v>
      </c>
      <c r="O659" s="2" t="s">
        <v>34</v>
      </c>
      <c r="P659" s="2" t="s">
        <v>78</v>
      </c>
    </row>
    <row r="660" spans="1:16" x14ac:dyDescent="0.2">
      <c r="A660" s="2" t="s">
        <v>3852</v>
      </c>
      <c r="B660" s="2">
        <v>39</v>
      </c>
      <c r="C660" s="2">
        <v>13</v>
      </c>
      <c r="D660" s="2" t="s">
        <v>113</v>
      </c>
      <c r="E660" s="2">
        <v>1773</v>
      </c>
      <c r="F660" s="2" t="s">
        <v>30</v>
      </c>
      <c r="G660" s="2" t="s">
        <v>3853</v>
      </c>
      <c r="H660" s="2" t="s">
        <v>3854</v>
      </c>
      <c r="I660" s="2" t="s">
        <v>3855</v>
      </c>
      <c r="J660" s="2" t="s">
        <v>34</v>
      </c>
      <c r="K660" s="2" t="s">
        <v>34</v>
      </c>
      <c r="L660" s="2" t="s">
        <v>3856</v>
      </c>
      <c r="M660" s="2" t="s">
        <v>3857</v>
      </c>
      <c r="N660" s="2" t="s">
        <v>34</v>
      </c>
      <c r="O660" s="2" t="s">
        <v>3858</v>
      </c>
      <c r="P660" s="2" t="s">
        <v>36</v>
      </c>
    </row>
    <row r="661" spans="1:16" x14ac:dyDescent="0.2">
      <c r="A661" s="2" t="s">
        <v>3859</v>
      </c>
      <c r="B661" s="2">
        <v>39</v>
      </c>
      <c r="C661" s="2">
        <v>14</v>
      </c>
      <c r="D661" s="2" t="s">
        <v>113</v>
      </c>
      <c r="E661" s="2">
        <v>1717</v>
      </c>
      <c r="F661" s="2" t="s">
        <v>38</v>
      </c>
      <c r="G661" s="2" t="s">
        <v>849</v>
      </c>
      <c r="H661" s="2" t="s">
        <v>3860</v>
      </c>
      <c r="I661" s="2" t="s">
        <v>3861</v>
      </c>
      <c r="J661" s="2" t="s">
        <v>260</v>
      </c>
      <c r="K661" s="3">
        <v>46161</v>
      </c>
      <c r="L661" s="2" t="s">
        <v>3862</v>
      </c>
      <c r="M661" s="2" t="s">
        <v>3863</v>
      </c>
      <c r="N661" s="2" t="s">
        <v>34</v>
      </c>
      <c r="O661" s="2" t="s">
        <v>34</v>
      </c>
      <c r="P661" s="2" t="s">
        <v>78</v>
      </c>
    </row>
    <row r="662" spans="1:16" x14ac:dyDescent="0.2">
      <c r="A662" s="2" t="s">
        <v>3864</v>
      </c>
      <c r="B662" s="2">
        <v>39</v>
      </c>
      <c r="C662" s="2">
        <v>15</v>
      </c>
      <c r="D662" s="2" t="s">
        <v>113</v>
      </c>
      <c r="E662" s="2">
        <v>1825</v>
      </c>
      <c r="F662" s="2" t="s">
        <v>38</v>
      </c>
      <c r="G662" s="2" t="s">
        <v>278</v>
      </c>
      <c r="H662" s="2" t="s">
        <v>3865</v>
      </c>
      <c r="I662" s="2" t="s">
        <v>3866</v>
      </c>
      <c r="J662" s="2" t="s">
        <v>3867</v>
      </c>
      <c r="K662" s="3">
        <v>46309</v>
      </c>
      <c r="L662" s="2" t="s">
        <v>3868</v>
      </c>
      <c r="M662" s="2" t="s">
        <v>3869</v>
      </c>
      <c r="N662" s="2" t="s">
        <v>34</v>
      </c>
      <c r="O662" s="2" t="s">
        <v>34</v>
      </c>
      <c r="P662" s="2" t="s">
        <v>36</v>
      </c>
    </row>
    <row r="663" spans="1:16" x14ac:dyDescent="0.2">
      <c r="A663" s="2" t="s">
        <v>3870</v>
      </c>
      <c r="B663" s="2">
        <v>39</v>
      </c>
      <c r="C663" s="2">
        <v>16</v>
      </c>
      <c r="D663" s="2" t="s">
        <v>113</v>
      </c>
      <c r="E663" s="2">
        <v>1993</v>
      </c>
      <c r="F663" s="2" t="s">
        <v>30</v>
      </c>
      <c r="G663" s="2" t="s">
        <v>3483</v>
      </c>
      <c r="H663" s="2" t="s">
        <v>3871</v>
      </c>
      <c r="I663" s="2" t="s">
        <v>3872</v>
      </c>
      <c r="J663" s="2" t="s">
        <v>34</v>
      </c>
      <c r="K663" s="2" t="s">
        <v>34</v>
      </c>
      <c r="L663" s="2" t="s">
        <v>3873</v>
      </c>
      <c r="M663" s="2" t="s">
        <v>3874</v>
      </c>
      <c r="N663" s="2" t="s">
        <v>34</v>
      </c>
      <c r="O663" s="2" t="s">
        <v>34</v>
      </c>
      <c r="P663" s="2" t="s">
        <v>36</v>
      </c>
    </row>
    <row r="664" spans="1:16" x14ac:dyDescent="0.2">
      <c r="A664" s="2" t="s">
        <v>3875</v>
      </c>
      <c r="B664" s="2">
        <v>39</v>
      </c>
      <c r="C664" s="2">
        <v>17</v>
      </c>
      <c r="D664" s="2" t="s">
        <v>144</v>
      </c>
      <c r="E664" s="2">
        <v>4062</v>
      </c>
      <c r="F664" s="2" t="s">
        <v>38</v>
      </c>
      <c r="G664" s="2" t="s">
        <v>3876</v>
      </c>
      <c r="H664" s="2" t="s">
        <v>3877</v>
      </c>
      <c r="I664" s="2" t="s">
        <v>3878</v>
      </c>
      <c r="J664" s="2" t="s">
        <v>3879</v>
      </c>
      <c r="K664" s="3">
        <v>46312</v>
      </c>
      <c r="L664" s="2" t="s">
        <v>3880</v>
      </c>
      <c r="M664" s="2" t="s">
        <v>3881</v>
      </c>
      <c r="N664" s="2" t="s">
        <v>34</v>
      </c>
      <c r="O664" s="2" t="s">
        <v>3882</v>
      </c>
      <c r="P664" s="2" t="s">
        <v>36</v>
      </c>
    </row>
    <row r="665" spans="1:16" x14ac:dyDescent="0.2">
      <c r="A665" s="2" t="s">
        <v>3883</v>
      </c>
      <c r="B665" s="2">
        <v>40</v>
      </c>
      <c r="C665" s="2">
        <v>1</v>
      </c>
      <c r="D665" s="2" t="s">
        <v>29</v>
      </c>
      <c r="E665" s="2">
        <v>872</v>
      </c>
      <c r="F665" s="2" t="s">
        <v>38</v>
      </c>
      <c r="G665" s="2" t="s">
        <v>1998</v>
      </c>
      <c r="H665" s="2" t="s">
        <v>3884</v>
      </c>
      <c r="I665" s="2" t="s">
        <v>3885</v>
      </c>
      <c r="J665" s="2" t="s">
        <v>215</v>
      </c>
      <c r="K665" s="3">
        <v>46279</v>
      </c>
      <c r="L665" s="2" t="s">
        <v>3886</v>
      </c>
      <c r="M665" s="2" t="s">
        <v>34</v>
      </c>
      <c r="N665" s="2" t="s">
        <v>34</v>
      </c>
      <c r="O665" s="2" t="s">
        <v>3887</v>
      </c>
      <c r="P665" s="2" t="s">
        <v>36</v>
      </c>
    </row>
    <row r="666" spans="1:16" x14ac:dyDescent="0.2">
      <c r="A666" s="2" t="s">
        <v>3888</v>
      </c>
      <c r="B666" s="2">
        <v>40</v>
      </c>
      <c r="C666" s="2">
        <v>2</v>
      </c>
      <c r="D666" s="2" t="s">
        <v>29</v>
      </c>
      <c r="E666" s="2">
        <v>953</v>
      </c>
      <c r="F666" s="2" t="s">
        <v>30</v>
      </c>
      <c r="G666" s="2" t="s">
        <v>1808</v>
      </c>
      <c r="H666" s="2" t="s">
        <v>3889</v>
      </c>
      <c r="I666" s="2" t="s">
        <v>3890</v>
      </c>
      <c r="J666" s="2" t="s">
        <v>34</v>
      </c>
      <c r="K666" s="2" t="s">
        <v>34</v>
      </c>
      <c r="L666" s="2" t="s">
        <v>3891</v>
      </c>
      <c r="M666" s="2" t="s">
        <v>34</v>
      </c>
      <c r="N666" s="2" t="s">
        <v>34</v>
      </c>
      <c r="O666" s="2" t="s">
        <v>3892</v>
      </c>
      <c r="P666" s="2" t="s">
        <v>36</v>
      </c>
    </row>
    <row r="667" spans="1:16" x14ac:dyDescent="0.2">
      <c r="A667" s="2" t="s">
        <v>3893</v>
      </c>
      <c r="B667" s="2">
        <v>40</v>
      </c>
      <c r="C667" s="2">
        <v>3</v>
      </c>
      <c r="D667" s="2" t="s">
        <v>29</v>
      </c>
      <c r="E667" s="2">
        <v>883</v>
      </c>
      <c r="F667" s="2" t="s">
        <v>30</v>
      </c>
      <c r="G667" s="2" t="s">
        <v>3894</v>
      </c>
      <c r="H667" s="2" t="s">
        <v>3895</v>
      </c>
      <c r="I667" s="2" t="s">
        <v>3896</v>
      </c>
      <c r="J667" s="2" t="s">
        <v>34</v>
      </c>
      <c r="K667" s="2" t="s">
        <v>34</v>
      </c>
      <c r="L667" s="2" t="s">
        <v>3897</v>
      </c>
      <c r="M667" s="2" t="s">
        <v>34</v>
      </c>
      <c r="N667" s="2" t="s">
        <v>34</v>
      </c>
      <c r="O667" s="2" t="s">
        <v>3898</v>
      </c>
      <c r="P667" s="2" t="s">
        <v>36</v>
      </c>
    </row>
    <row r="668" spans="1:16" x14ac:dyDescent="0.2">
      <c r="A668" s="2" t="s">
        <v>3899</v>
      </c>
      <c r="B668" s="2">
        <v>40</v>
      </c>
      <c r="C668" s="2">
        <v>4</v>
      </c>
      <c r="D668" s="2" t="s">
        <v>29</v>
      </c>
      <c r="E668" s="2">
        <v>869</v>
      </c>
      <c r="F668" s="2" t="s">
        <v>30</v>
      </c>
      <c r="G668" s="2" t="s">
        <v>1474</v>
      </c>
      <c r="H668" s="2" t="s">
        <v>3900</v>
      </c>
      <c r="I668" s="2" t="s">
        <v>3901</v>
      </c>
      <c r="J668" s="2" t="s">
        <v>34</v>
      </c>
      <c r="K668" s="2" t="s">
        <v>34</v>
      </c>
      <c r="L668" s="2" t="s">
        <v>3902</v>
      </c>
      <c r="M668" s="2" t="s">
        <v>34</v>
      </c>
      <c r="N668" s="2" t="s">
        <v>34</v>
      </c>
      <c r="O668" s="2" t="s">
        <v>34</v>
      </c>
      <c r="P668" s="2" t="s">
        <v>36</v>
      </c>
    </row>
    <row r="669" spans="1:16" x14ac:dyDescent="0.2">
      <c r="A669" s="2" t="s">
        <v>3903</v>
      </c>
      <c r="B669" s="2">
        <v>40</v>
      </c>
      <c r="C669" s="2">
        <v>5</v>
      </c>
      <c r="D669" s="2" t="s">
        <v>29</v>
      </c>
      <c r="E669" s="2">
        <v>949</v>
      </c>
      <c r="F669" s="2" t="s">
        <v>30</v>
      </c>
      <c r="G669" s="2" t="s">
        <v>412</v>
      </c>
      <c r="H669" s="2" t="s">
        <v>3904</v>
      </c>
      <c r="I669" s="2" t="s">
        <v>3905</v>
      </c>
      <c r="J669" s="2" t="s">
        <v>34</v>
      </c>
      <c r="K669" s="2" t="s">
        <v>34</v>
      </c>
      <c r="L669" s="2" t="s">
        <v>3906</v>
      </c>
      <c r="M669" s="2" t="s">
        <v>34</v>
      </c>
      <c r="N669" s="2" t="s">
        <v>34</v>
      </c>
      <c r="O669" s="2" t="s">
        <v>3907</v>
      </c>
      <c r="P669" s="2" t="s">
        <v>36</v>
      </c>
    </row>
    <row r="670" spans="1:16" x14ac:dyDescent="0.2">
      <c r="A670" s="2" t="s">
        <v>3908</v>
      </c>
      <c r="B670" s="2">
        <v>40</v>
      </c>
      <c r="C670" s="2">
        <v>6</v>
      </c>
      <c r="D670" s="2" t="s">
        <v>29</v>
      </c>
      <c r="E670" s="2">
        <v>893</v>
      </c>
      <c r="F670" s="2" t="s">
        <v>30</v>
      </c>
      <c r="G670" s="2" t="s">
        <v>2293</v>
      </c>
      <c r="H670" s="2" t="s">
        <v>3909</v>
      </c>
      <c r="I670" s="2" t="s">
        <v>3910</v>
      </c>
      <c r="J670" s="2" t="s">
        <v>34</v>
      </c>
      <c r="K670" s="2" t="s">
        <v>34</v>
      </c>
      <c r="L670" s="2" t="s">
        <v>3911</v>
      </c>
      <c r="M670" s="2" t="s">
        <v>34</v>
      </c>
      <c r="N670" s="2" t="s">
        <v>34</v>
      </c>
      <c r="O670" s="2" t="s">
        <v>34</v>
      </c>
      <c r="P670" s="2" t="s">
        <v>36</v>
      </c>
    </row>
    <row r="671" spans="1:16" x14ac:dyDescent="0.2">
      <c r="A671" s="2" t="s">
        <v>3912</v>
      </c>
      <c r="B671" s="2">
        <v>40</v>
      </c>
      <c r="C671" s="2">
        <v>7</v>
      </c>
      <c r="D671" s="2" t="s">
        <v>71</v>
      </c>
      <c r="E671" s="2">
        <v>1265</v>
      </c>
      <c r="F671" s="2" t="s">
        <v>30</v>
      </c>
      <c r="G671" s="2" t="s">
        <v>334</v>
      </c>
      <c r="H671" s="2" t="s">
        <v>3913</v>
      </c>
      <c r="I671" s="2" t="s">
        <v>3914</v>
      </c>
      <c r="J671" s="2" t="s">
        <v>34</v>
      </c>
      <c r="K671" s="2" t="s">
        <v>34</v>
      </c>
      <c r="L671" s="2" t="s">
        <v>3915</v>
      </c>
      <c r="M671" s="2" t="s">
        <v>3916</v>
      </c>
      <c r="N671" s="2" t="s">
        <v>34</v>
      </c>
      <c r="O671" s="2" t="s">
        <v>3917</v>
      </c>
      <c r="P671" s="2" t="s">
        <v>36</v>
      </c>
    </row>
    <row r="672" spans="1:16" x14ac:dyDescent="0.2">
      <c r="A672" s="2" t="s">
        <v>3918</v>
      </c>
      <c r="B672" s="2">
        <v>40</v>
      </c>
      <c r="C672" s="2">
        <v>8</v>
      </c>
      <c r="D672" s="2" t="s">
        <v>71</v>
      </c>
      <c r="E672" s="2">
        <v>1398</v>
      </c>
      <c r="F672" s="2" t="s">
        <v>30</v>
      </c>
      <c r="G672" s="2" t="s">
        <v>3919</v>
      </c>
      <c r="H672" s="2" t="s">
        <v>3920</v>
      </c>
      <c r="I672" s="2" t="s">
        <v>3921</v>
      </c>
      <c r="J672" s="2" t="s">
        <v>34</v>
      </c>
      <c r="K672" s="2" t="s">
        <v>34</v>
      </c>
      <c r="L672" s="2" t="s">
        <v>3922</v>
      </c>
      <c r="M672" s="2" t="s">
        <v>34</v>
      </c>
      <c r="N672" s="2" t="s">
        <v>34</v>
      </c>
      <c r="O672" s="2" t="s">
        <v>3923</v>
      </c>
      <c r="P672" s="2" t="s">
        <v>36</v>
      </c>
    </row>
    <row r="673" spans="1:16" x14ac:dyDescent="0.2">
      <c r="A673" s="2" t="s">
        <v>3924</v>
      </c>
      <c r="B673" s="2">
        <v>40</v>
      </c>
      <c r="C673" s="2">
        <v>9</v>
      </c>
      <c r="D673" s="2" t="s">
        <v>71</v>
      </c>
      <c r="E673" s="2">
        <v>1467</v>
      </c>
      <c r="F673" s="2" t="s">
        <v>30</v>
      </c>
      <c r="G673" s="2" t="s">
        <v>3925</v>
      </c>
      <c r="H673" s="2" t="s">
        <v>3926</v>
      </c>
      <c r="I673" s="2" t="s">
        <v>3927</v>
      </c>
      <c r="J673" s="2" t="s">
        <v>34</v>
      </c>
      <c r="K673" s="2" t="s">
        <v>34</v>
      </c>
      <c r="L673" s="2" t="s">
        <v>3928</v>
      </c>
      <c r="M673" s="2" t="s">
        <v>3929</v>
      </c>
      <c r="N673" s="2" t="s">
        <v>3930</v>
      </c>
      <c r="O673" s="2" t="s">
        <v>34</v>
      </c>
      <c r="P673" s="2" t="s">
        <v>78</v>
      </c>
    </row>
    <row r="674" spans="1:16" x14ac:dyDescent="0.2">
      <c r="A674" s="2" t="s">
        <v>3931</v>
      </c>
      <c r="B674" s="2">
        <v>40</v>
      </c>
      <c r="C674" s="2">
        <v>10</v>
      </c>
      <c r="D674" s="2" t="s">
        <v>71</v>
      </c>
      <c r="E674" s="2">
        <v>1431</v>
      </c>
      <c r="F674" s="2" t="s">
        <v>38</v>
      </c>
      <c r="G674" s="2" t="s">
        <v>3932</v>
      </c>
      <c r="H674" s="2" t="s">
        <v>3933</v>
      </c>
      <c r="I674" s="2" t="s">
        <v>3934</v>
      </c>
      <c r="J674" s="2" t="s">
        <v>3935</v>
      </c>
      <c r="K674" s="3">
        <v>46265</v>
      </c>
      <c r="L674" s="2" t="s">
        <v>3936</v>
      </c>
      <c r="M674" s="2" t="s">
        <v>34</v>
      </c>
      <c r="N674" s="2" t="s">
        <v>34</v>
      </c>
      <c r="O674" s="2" t="s">
        <v>3937</v>
      </c>
      <c r="P674" s="2" t="s">
        <v>78</v>
      </c>
    </row>
    <row r="675" spans="1:16" x14ac:dyDescent="0.2">
      <c r="A675" s="2" t="s">
        <v>3938</v>
      </c>
      <c r="B675" s="2">
        <v>40</v>
      </c>
      <c r="C675" s="2">
        <v>11</v>
      </c>
      <c r="D675" s="2" t="s">
        <v>71</v>
      </c>
      <c r="E675" s="2">
        <v>1377</v>
      </c>
      <c r="F675" s="2" t="s">
        <v>38</v>
      </c>
      <c r="G675" s="2" t="s">
        <v>743</v>
      </c>
      <c r="H675" s="2" t="s">
        <v>3939</v>
      </c>
      <c r="I675" s="2" t="s">
        <v>3940</v>
      </c>
      <c r="J675" s="2" t="s">
        <v>2031</v>
      </c>
      <c r="K675" s="3">
        <v>46466</v>
      </c>
      <c r="L675" s="2" t="s">
        <v>3941</v>
      </c>
      <c r="M675" s="2" t="s">
        <v>3942</v>
      </c>
      <c r="N675" s="2" t="s">
        <v>34</v>
      </c>
      <c r="O675" s="2" t="s">
        <v>34</v>
      </c>
      <c r="P675" s="2" t="s">
        <v>36</v>
      </c>
    </row>
    <row r="676" spans="1:16" x14ac:dyDescent="0.2">
      <c r="A676" s="2" t="s">
        <v>3943</v>
      </c>
      <c r="B676" s="2">
        <v>40</v>
      </c>
      <c r="C676" s="2">
        <v>12</v>
      </c>
      <c r="D676" s="2" t="s">
        <v>71</v>
      </c>
      <c r="E676" s="2">
        <v>1397</v>
      </c>
      <c r="F676" s="2" t="s">
        <v>30</v>
      </c>
      <c r="G676" s="2" t="s">
        <v>2136</v>
      </c>
      <c r="H676" s="2" t="s">
        <v>3944</v>
      </c>
      <c r="I676" s="2" t="s">
        <v>3945</v>
      </c>
      <c r="J676" s="2" t="s">
        <v>34</v>
      </c>
      <c r="K676" s="2" t="s">
        <v>34</v>
      </c>
      <c r="L676" s="2" t="s">
        <v>3946</v>
      </c>
      <c r="M676" s="2" t="s">
        <v>3947</v>
      </c>
      <c r="N676" s="2" t="s">
        <v>3948</v>
      </c>
      <c r="O676" s="2" t="s">
        <v>34</v>
      </c>
      <c r="P676" s="2" t="s">
        <v>36</v>
      </c>
    </row>
    <row r="677" spans="1:16" x14ac:dyDescent="0.2">
      <c r="A677" s="2" t="s">
        <v>3949</v>
      </c>
      <c r="B677" s="2">
        <v>40</v>
      </c>
      <c r="C677" s="2">
        <v>13</v>
      </c>
      <c r="D677" s="2" t="s">
        <v>113</v>
      </c>
      <c r="E677" s="2">
        <v>2116</v>
      </c>
      <c r="F677" s="2" t="s">
        <v>30</v>
      </c>
      <c r="G677" s="2" t="s">
        <v>2371</v>
      </c>
      <c r="H677" s="2" t="s">
        <v>3950</v>
      </c>
      <c r="I677" s="2" t="s">
        <v>3951</v>
      </c>
      <c r="J677" s="2" t="s">
        <v>34</v>
      </c>
      <c r="K677" s="2" t="s">
        <v>34</v>
      </c>
      <c r="L677" s="2" t="s">
        <v>3952</v>
      </c>
      <c r="M677" s="2" t="s">
        <v>3953</v>
      </c>
      <c r="N677" s="2" t="s">
        <v>34</v>
      </c>
      <c r="O677" s="2" t="s">
        <v>34</v>
      </c>
      <c r="P677" s="2" t="s">
        <v>36</v>
      </c>
    </row>
    <row r="678" spans="1:16" x14ac:dyDescent="0.2">
      <c r="A678" s="2" t="s">
        <v>3954</v>
      </c>
      <c r="B678" s="2">
        <v>40</v>
      </c>
      <c r="C678" s="2">
        <v>14</v>
      </c>
      <c r="D678" s="2" t="s">
        <v>113</v>
      </c>
      <c r="E678" s="2">
        <v>2043</v>
      </c>
      <c r="F678" s="2" t="s">
        <v>38</v>
      </c>
      <c r="G678" s="2" t="s">
        <v>3054</v>
      </c>
      <c r="H678" s="2" t="s">
        <v>3955</v>
      </c>
      <c r="I678" s="2" t="s">
        <v>3956</v>
      </c>
      <c r="J678" s="2" t="s">
        <v>3957</v>
      </c>
      <c r="K678" s="3">
        <v>46228</v>
      </c>
      <c r="L678" s="2" t="s">
        <v>3958</v>
      </c>
      <c r="M678" s="2" t="s">
        <v>3959</v>
      </c>
      <c r="N678" s="2" t="s">
        <v>34</v>
      </c>
      <c r="O678" s="2" t="s">
        <v>34</v>
      </c>
      <c r="P678" s="2" t="s">
        <v>36</v>
      </c>
    </row>
    <row r="679" spans="1:16" x14ac:dyDescent="0.2">
      <c r="A679" s="2" t="s">
        <v>3960</v>
      </c>
      <c r="B679" s="2">
        <v>40</v>
      </c>
      <c r="C679" s="2">
        <v>15</v>
      </c>
      <c r="D679" s="2" t="s">
        <v>113</v>
      </c>
      <c r="E679" s="2">
        <v>2041</v>
      </c>
      <c r="F679" s="2" t="s">
        <v>30</v>
      </c>
      <c r="G679" s="2" t="s">
        <v>3742</v>
      </c>
      <c r="H679" s="2" t="s">
        <v>3961</v>
      </c>
      <c r="I679" s="2" t="s">
        <v>3962</v>
      </c>
      <c r="J679" s="2" t="s">
        <v>34</v>
      </c>
      <c r="K679" s="2" t="s">
        <v>34</v>
      </c>
      <c r="L679" s="2" t="s">
        <v>3963</v>
      </c>
      <c r="M679" s="2" t="s">
        <v>34</v>
      </c>
      <c r="N679" s="2" t="s">
        <v>3964</v>
      </c>
      <c r="O679" s="2" t="s">
        <v>34</v>
      </c>
      <c r="P679" s="2" t="s">
        <v>36</v>
      </c>
    </row>
    <row r="680" spans="1:16" x14ac:dyDescent="0.2">
      <c r="A680" s="2" t="s">
        <v>3965</v>
      </c>
      <c r="B680" s="2">
        <v>40</v>
      </c>
      <c r="C680" s="2">
        <v>16</v>
      </c>
      <c r="D680" s="2" t="s">
        <v>113</v>
      </c>
      <c r="E680" s="2">
        <v>1925</v>
      </c>
      <c r="F680" s="2" t="s">
        <v>38</v>
      </c>
      <c r="G680" s="2" t="s">
        <v>3966</v>
      </c>
      <c r="H680" s="2" t="s">
        <v>3967</v>
      </c>
      <c r="I680" s="2" t="s">
        <v>3968</v>
      </c>
      <c r="J680" s="2" t="s">
        <v>3969</v>
      </c>
      <c r="K680" s="3">
        <v>46200</v>
      </c>
      <c r="L680" s="2" t="s">
        <v>3970</v>
      </c>
      <c r="M680" s="2" t="s">
        <v>3971</v>
      </c>
      <c r="N680" s="2" t="s">
        <v>34</v>
      </c>
      <c r="O680" s="2" t="s">
        <v>3972</v>
      </c>
      <c r="P680" s="2" t="s">
        <v>36</v>
      </c>
    </row>
    <row r="681" spans="1:16" x14ac:dyDescent="0.2">
      <c r="A681" s="2" t="s">
        <v>3973</v>
      </c>
      <c r="B681" s="2">
        <v>40</v>
      </c>
      <c r="C681" s="2">
        <v>17</v>
      </c>
      <c r="D681" s="2" t="s">
        <v>144</v>
      </c>
      <c r="E681" s="2">
        <v>3161</v>
      </c>
      <c r="F681" s="2" t="s">
        <v>30</v>
      </c>
      <c r="G681" s="2" t="s">
        <v>2840</v>
      </c>
      <c r="H681" s="2" t="s">
        <v>3974</v>
      </c>
      <c r="I681" s="2" t="s">
        <v>3975</v>
      </c>
      <c r="J681" s="2" t="s">
        <v>34</v>
      </c>
      <c r="K681" s="2" t="s">
        <v>34</v>
      </c>
      <c r="L681" s="2" t="s">
        <v>3976</v>
      </c>
      <c r="M681" s="2" t="s">
        <v>3977</v>
      </c>
      <c r="N681" s="2" t="s">
        <v>34</v>
      </c>
      <c r="O681" s="2" t="s">
        <v>34</v>
      </c>
      <c r="P681" s="2" t="s">
        <v>78</v>
      </c>
    </row>
    <row r="682" spans="1:16" x14ac:dyDescent="0.2">
      <c r="A682" s="2" t="s">
        <v>3978</v>
      </c>
      <c r="B682" s="2">
        <v>41</v>
      </c>
      <c r="C682" s="2">
        <v>1</v>
      </c>
      <c r="D682" s="2" t="s">
        <v>29</v>
      </c>
      <c r="E682" s="2">
        <v>867</v>
      </c>
      <c r="F682" s="2" t="s">
        <v>38</v>
      </c>
      <c r="G682" s="2" t="s">
        <v>3069</v>
      </c>
      <c r="H682" s="2" t="s">
        <v>3979</v>
      </c>
      <c r="I682" s="2" t="s">
        <v>3980</v>
      </c>
      <c r="J682" s="2" t="s">
        <v>565</v>
      </c>
      <c r="K682" s="3">
        <v>46319</v>
      </c>
      <c r="L682" s="2" t="s">
        <v>3981</v>
      </c>
      <c r="M682" s="2" t="s">
        <v>34</v>
      </c>
      <c r="N682" s="2" t="s">
        <v>34</v>
      </c>
      <c r="O682" s="2" t="s">
        <v>34</v>
      </c>
      <c r="P682" s="2" t="s">
        <v>78</v>
      </c>
    </row>
    <row r="683" spans="1:16" x14ac:dyDescent="0.2">
      <c r="A683" s="2" t="s">
        <v>3982</v>
      </c>
      <c r="B683" s="2">
        <v>41</v>
      </c>
      <c r="C683" s="2">
        <v>2</v>
      </c>
      <c r="D683" s="2" t="s">
        <v>29</v>
      </c>
      <c r="E683" s="2">
        <v>862</v>
      </c>
      <c r="F683" s="2" t="s">
        <v>30</v>
      </c>
      <c r="G683" s="2" t="s">
        <v>803</v>
      </c>
      <c r="H683" s="2" t="s">
        <v>3983</v>
      </c>
      <c r="I683" s="2" t="s">
        <v>3984</v>
      </c>
      <c r="J683" s="2" t="s">
        <v>34</v>
      </c>
      <c r="K683" s="2" t="s">
        <v>34</v>
      </c>
      <c r="L683" s="2" t="s">
        <v>3985</v>
      </c>
      <c r="M683" s="2" t="s">
        <v>34</v>
      </c>
      <c r="N683" s="2" t="s">
        <v>34</v>
      </c>
      <c r="O683" s="2" t="s">
        <v>3986</v>
      </c>
      <c r="P683" s="2" t="s">
        <v>36</v>
      </c>
    </row>
    <row r="684" spans="1:16" x14ac:dyDescent="0.2">
      <c r="A684" s="2" t="s">
        <v>3987</v>
      </c>
      <c r="B684" s="2">
        <v>41</v>
      </c>
      <c r="C684" s="2">
        <v>3</v>
      </c>
      <c r="D684" s="2" t="s">
        <v>29</v>
      </c>
      <c r="E684" s="2">
        <v>845</v>
      </c>
      <c r="F684" s="2" t="s">
        <v>38</v>
      </c>
      <c r="G684" s="2" t="s">
        <v>3988</v>
      </c>
      <c r="H684" s="2" t="s">
        <v>3989</v>
      </c>
      <c r="I684" s="2" t="s">
        <v>3990</v>
      </c>
      <c r="J684" s="2" t="s">
        <v>3991</v>
      </c>
      <c r="K684" s="3">
        <v>46128</v>
      </c>
      <c r="L684" s="2" t="s">
        <v>3992</v>
      </c>
      <c r="M684" s="2" t="s">
        <v>34</v>
      </c>
      <c r="N684" s="2" t="s">
        <v>34</v>
      </c>
      <c r="O684" s="2" t="s">
        <v>3993</v>
      </c>
      <c r="P684" s="2" t="s">
        <v>36</v>
      </c>
    </row>
    <row r="685" spans="1:16" x14ac:dyDescent="0.2">
      <c r="A685" s="2" t="s">
        <v>3994</v>
      </c>
      <c r="B685" s="2">
        <v>41</v>
      </c>
      <c r="C685" s="2">
        <v>4</v>
      </c>
      <c r="D685" s="2" t="s">
        <v>29</v>
      </c>
      <c r="E685" s="2">
        <v>953</v>
      </c>
      <c r="F685" s="2" t="s">
        <v>38</v>
      </c>
      <c r="G685" s="2" t="s">
        <v>3995</v>
      </c>
      <c r="H685" s="2" t="s">
        <v>3996</v>
      </c>
      <c r="I685" s="2" t="s">
        <v>3997</v>
      </c>
      <c r="J685" s="2" t="s">
        <v>2034</v>
      </c>
      <c r="K685" s="3">
        <v>46435</v>
      </c>
      <c r="L685" s="2" t="s">
        <v>3998</v>
      </c>
      <c r="M685" s="2" t="s">
        <v>34</v>
      </c>
      <c r="N685" s="2" t="s">
        <v>34</v>
      </c>
      <c r="O685" s="2" t="s">
        <v>34</v>
      </c>
      <c r="P685" s="2" t="s">
        <v>78</v>
      </c>
    </row>
    <row r="686" spans="1:16" x14ac:dyDescent="0.2">
      <c r="A686" s="2" t="s">
        <v>3999</v>
      </c>
      <c r="B686" s="2">
        <v>41</v>
      </c>
      <c r="C686" s="2">
        <v>5</v>
      </c>
      <c r="D686" s="2" t="s">
        <v>29</v>
      </c>
      <c r="E686" s="2">
        <v>922</v>
      </c>
      <c r="F686" s="2" t="s">
        <v>38</v>
      </c>
      <c r="G686" s="2" t="s">
        <v>821</v>
      </c>
      <c r="H686" s="2" t="s">
        <v>4000</v>
      </c>
      <c r="I686" s="2" t="s">
        <v>4001</v>
      </c>
      <c r="J686" s="2" t="s">
        <v>2257</v>
      </c>
      <c r="K686" s="3">
        <v>46467</v>
      </c>
      <c r="L686" s="2" t="s">
        <v>4002</v>
      </c>
      <c r="M686" s="2" t="s">
        <v>34</v>
      </c>
      <c r="N686" s="2" t="s">
        <v>34</v>
      </c>
      <c r="O686" s="2" t="s">
        <v>34</v>
      </c>
      <c r="P686" s="2" t="s">
        <v>36</v>
      </c>
    </row>
    <row r="687" spans="1:16" x14ac:dyDescent="0.2">
      <c r="A687" s="2" t="s">
        <v>4003</v>
      </c>
      <c r="B687" s="2">
        <v>41</v>
      </c>
      <c r="C687" s="2">
        <v>6</v>
      </c>
      <c r="D687" s="2" t="s">
        <v>29</v>
      </c>
      <c r="E687" s="2">
        <v>974</v>
      </c>
      <c r="F687" s="2" t="s">
        <v>38</v>
      </c>
      <c r="G687" s="2" t="s">
        <v>875</v>
      </c>
      <c r="H687" s="2" t="s">
        <v>4004</v>
      </c>
      <c r="I687" s="2" t="s">
        <v>4005</v>
      </c>
      <c r="J687" s="2" t="s">
        <v>4006</v>
      </c>
      <c r="K687" s="3">
        <v>46354</v>
      </c>
      <c r="L687" s="2" t="s">
        <v>4007</v>
      </c>
      <c r="M687" s="2" t="s">
        <v>34</v>
      </c>
      <c r="N687" s="2" t="s">
        <v>34</v>
      </c>
      <c r="O687" s="2" t="s">
        <v>34</v>
      </c>
      <c r="P687" s="2" t="s">
        <v>36</v>
      </c>
    </row>
    <row r="688" spans="1:16" x14ac:dyDescent="0.2">
      <c r="A688" s="2" t="s">
        <v>4008</v>
      </c>
      <c r="B688" s="2">
        <v>41</v>
      </c>
      <c r="C688" s="2">
        <v>7</v>
      </c>
      <c r="D688" s="2" t="s">
        <v>71</v>
      </c>
      <c r="E688" s="2">
        <v>1181</v>
      </c>
      <c r="F688" s="2" t="s">
        <v>30</v>
      </c>
      <c r="G688" s="2" t="s">
        <v>3449</v>
      </c>
      <c r="H688" s="2" t="s">
        <v>4009</v>
      </c>
      <c r="I688" s="2" t="s">
        <v>4010</v>
      </c>
      <c r="J688" s="2" t="s">
        <v>34</v>
      </c>
      <c r="K688" s="2" t="s">
        <v>34</v>
      </c>
      <c r="L688" s="2" t="s">
        <v>4011</v>
      </c>
      <c r="M688" s="2" t="s">
        <v>34</v>
      </c>
      <c r="N688" s="2" t="s">
        <v>34</v>
      </c>
      <c r="O688" s="2" t="s">
        <v>34</v>
      </c>
      <c r="P688" s="2" t="s">
        <v>36</v>
      </c>
    </row>
    <row r="689" spans="1:16" x14ac:dyDescent="0.2">
      <c r="A689" s="2" t="s">
        <v>4012</v>
      </c>
      <c r="B689" s="2">
        <v>41</v>
      </c>
      <c r="C689" s="2">
        <v>8</v>
      </c>
      <c r="D689" s="2" t="s">
        <v>71</v>
      </c>
      <c r="E689" s="2">
        <v>1384</v>
      </c>
      <c r="F689" s="2" t="s">
        <v>30</v>
      </c>
      <c r="G689" s="2" t="s">
        <v>3133</v>
      </c>
      <c r="H689" s="2" t="s">
        <v>4013</v>
      </c>
      <c r="I689" s="2" t="s">
        <v>4014</v>
      </c>
      <c r="J689" s="2" t="s">
        <v>34</v>
      </c>
      <c r="K689" s="2" t="s">
        <v>34</v>
      </c>
      <c r="L689" s="2" t="s">
        <v>4015</v>
      </c>
      <c r="M689" s="2" t="s">
        <v>4016</v>
      </c>
      <c r="N689" s="2" t="s">
        <v>34</v>
      </c>
      <c r="O689" s="2" t="s">
        <v>34</v>
      </c>
      <c r="P689" s="2" t="s">
        <v>36</v>
      </c>
    </row>
    <row r="690" spans="1:16" x14ac:dyDescent="0.2">
      <c r="A690" s="2" t="s">
        <v>4017</v>
      </c>
      <c r="B690" s="2">
        <v>41</v>
      </c>
      <c r="C690" s="2">
        <v>9</v>
      </c>
      <c r="D690" s="2" t="s">
        <v>71</v>
      </c>
      <c r="E690" s="2">
        <v>1330</v>
      </c>
      <c r="F690" s="2" t="s">
        <v>38</v>
      </c>
      <c r="G690" s="2" t="s">
        <v>1754</v>
      </c>
      <c r="H690" s="2" t="s">
        <v>4018</v>
      </c>
      <c r="I690" s="2" t="s">
        <v>4019</v>
      </c>
      <c r="J690" s="2" t="s">
        <v>699</v>
      </c>
      <c r="K690" s="3">
        <v>46471</v>
      </c>
      <c r="L690" s="2" t="s">
        <v>4020</v>
      </c>
      <c r="M690" s="2" t="s">
        <v>4021</v>
      </c>
      <c r="N690" s="2" t="s">
        <v>4022</v>
      </c>
      <c r="O690" s="2" t="s">
        <v>34</v>
      </c>
      <c r="P690" s="2" t="s">
        <v>78</v>
      </c>
    </row>
    <row r="691" spans="1:16" x14ac:dyDescent="0.2">
      <c r="A691" s="2" t="s">
        <v>4023</v>
      </c>
      <c r="B691" s="2">
        <v>41</v>
      </c>
      <c r="C691" s="2">
        <v>10</v>
      </c>
      <c r="D691" s="2" t="s">
        <v>71</v>
      </c>
      <c r="E691" s="2">
        <v>1419</v>
      </c>
      <c r="F691" s="2" t="s">
        <v>38</v>
      </c>
      <c r="G691" s="2" t="s">
        <v>2926</v>
      </c>
      <c r="H691" s="2" t="s">
        <v>4024</v>
      </c>
      <c r="I691" s="2" t="s">
        <v>4025</v>
      </c>
      <c r="J691" s="2" t="s">
        <v>973</v>
      </c>
      <c r="K691" s="3">
        <v>46221</v>
      </c>
      <c r="L691" s="2" t="s">
        <v>4026</v>
      </c>
      <c r="M691" s="2" t="s">
        <v>4027</v>
      </c>
      <c r="N691" s="2" t="s">
        <v>34</v>
      </c>
      <c r="O691" s="2" t="s">
        <v>34</v>
      </c>
      <c r="P691" s="2" t="s">
        <v>36</v>
      </c>
    </row>
    <row r="692" spans="1:16" x14ac:dyDescent="0.2">
      <c r="A692" s="2" t="s">
        <v>4028</v>
      </c>
      <c r="B692" s="2">
        <v>41</v>
      </c>
      <c r="C692" s="2">
        <v>11</v>
      </c>
      <c r="D692" s="2" t="s">
        <v>71</v>
      </c>
      <c r="E692" s="2">
        <v>1262</v>
      </c>
      <c r="F692" s="2" t="s">
        <v>38</v>
      </c>
      <c r="G692" s="2" t="s">
        <v>3879</v>
      </c>
      <c r="H692" s="2" t="s">
        <v>4029</v>
      </c>
      <c r="I692" s="2" t="s">
        <v>4030</v>
      </c>
      <c r="J692" s="2" t="s">
        <v>2089</v>
      </c>
      <c r="K692" s="3">
        <v>46338</v>
      </c>
      <c r="L692" s="2" t="s">
        <v>4031</v>
      </c>
      <c r="M692" s="2" t="s">
        <v>34</v>
      </c>
      <c r="N692" s="2" t="s">
        <v>34</v>
      </c>
      <c r="O692" s="2" t="s">
        <v>34</v>
      </c>
      <c r="P692" s="2" t="s">
        <v>36</v>
      </c>
    </row>
    <row r="693" spans="1:16" x14ac:dyDescent="0.2">
      <c r="A693" s="2" t="s">
        <v>4032</v>
      </c>
      <c r="B693" s="2">
        <v>41</v>
      </c>
      <c r="C693" s="2">
        <v>12</v>
      </c>
      <c r="D693" s="2" t="s">
        <v>71</v>
      </c>
      <c r="E693" s="2">
        <v>1294</v>
      </c>
      <c r="F693" s="2" t="s">
        <v>30</v>
      </c>
      <c r="G693" s="2" t="s">
        <v>4033</v>
      </c>
      <c r="H693" s="2" t="s">
        <v>4034</v>
      </c>
      <c r="I693" s="2" t="s">
        <v>4035</v>
      </c>
      <c r="J693" s="2" t="s">
        <v>34</v>
      </c>
      <c r="K693" s="2" t="s">
        <v>34</v>
      </c>
      <c r="L693" s="2" t="s">
        <v>4036</v>
      </c>
      <c r="M693" s="2" t="s">
        <v>34</v>
      </c>
      <c r="N693" s="2" t="s">
        <v>34</v>
      </c>
      <c r="O693" s="2" t="s">
        <v>34</v>
      </c>
      <c r="P693" s="2" t="s">
        <v>78</v>
      </c>
    </row>
    <row r="694" spans="1:16" x14ac:dyDescent="0.2">
      <c r="A694" s="2" t="s">
        <v>4037</v>
      </c>
      <c r="B694" s="2">
        <v>41</v>
      </c>
      <c r="C694" s="2">
        <v>13</v>
      </c>
      <c r="D694" s="2" t="s">
        <v>113</v>
      </c>
      <c r="E694" s="2">
        <v>1878</v>
      </c>
      <c r="F694" s="2" t="s">
        <v>30</v>
      </c>
      <c r="G694" s="2" t="s">
        <v>2866</v>
      </c>
      <c r="H694" s="2" t="s">
        <v>4038</v>
      </c>
      <c r="I694" s="2" t="s">
        <v>4039</v>
      </c>
      <c r="J694" s="2" t="s">
        <v>34</v>
      </c>
      <c r="K694" s="2" t="s">
        <v>34</v>
      </c>
      <c r="L694" s="2" t="s">
        <v>4040</v>
      </c>
      <c r="M694" s="2" t="s">
        <v>4041</v>
      </c>
      <c r="N694" s="2" t="s">
        <v>34</v>
      </c>
      <c r="O694" s="2" t="s">
        <v>34</v>
      </c>
      <c r="P694" s="2" t="s">
        <v>36</v>
      </c>
    </row>
    <row r="695" spans="1:16" x14ac:dyDescent="0.2">
      <c r="A695" s="2" t="s">
        <v>4042</v>
      </c>
      <c r="B695" s="2">
        <v>41</v>
      </c>
      <c r="C695" s="2">
        <v>14</v>
      </c>
      <c r="D695" s="2" t="s">
        <v>113</v>
      </c>
      <c r="E695" s="2">
        <v>2026</v>
      </c>
      <c r="F695" s="2" t="s">
        <v>38</v>
      </c>
      <c r="G695" s="2" t="s">
        <v>151</v>
      </c>
      <c r="H695" s="2" t="s">
        <v>4043</v>
      </c>
      <c r="I695" s="2" t="s">
        <v>4044</v>
      </c>
      <c r="J695" s="2" t="s">
        <v>1894</v>
      </c>
      <c r="K695" s="3">
        <v>46246</v>
      </c>
      <c r="L695" s="2" t="s">
        <v>4045</v>
      </c>
      <c r="M695" s="2" t="s">
        <v>4046</v>
      </c>
      <c r="N695" s="2" t="s">
        <v>34</v>
      </c>
      <c r="O695" s="2" t="s">
        <v>4047</v>
      </c>
      <c r="P695" s="2" t="s">
        <v>36</v>
      </c>
    </row>
    <row r="696" spans="1:16" x14ac:dyDescent="0.2">
      <c r="A696" s="2" t="s">
        <v>4048</v>
      </c>
      <c r="B696" s="2">
        <v>41</v>
      </c>
      <c r="C696" s="2">
        <v>15</v>
      </c>
      <c r="D696" s="2" t="s">
        <v>113</v>
      </c>
      <c r="E696" s="2">
        <v>2182</v>
      </c>
      <c r="F696" s="2" t="s">
        <v>30</v>
      </c>
      <c r="G696" s="2" t="s">
        <v>3327</v>
      </c>
      <c r="H696" s="2" t="s">
        <v>4049</v>
      </c>
      <c r="I696" s="2" t="s">
        <v>4050</v>
      </c>
      <c r="J696" s="2" t="s">
        <v>34</v>
      </c>
      <c r="K696" s="2" t="s">
        <v>34</v>
      </c>
      <c r="L696" s="2" t="s">
        <v>4051</v>
      </c>
      <c r="M696" s="2" t="s">
        <v>4052</v>
      </c>
      <c r="N696" s="2" t="s">
        <v>34</v>
      </c>
      <c r="O696" s="2" t="s">
        <v>34</v>
      </c>
      <c r="P696" s="2" t="s">
        <v>36</v>
      </c>
    </row>
    <row r="697" spans="1:16" x14ac:dyDescent="0.2">
      <c r="A697" s="2" t="s">
        <v>4053</v>
      </c>
      <c r="B697" s="2">
        <v>41</v>
      </c>
      <c r="C697" s="2">
        <v>16</v>
      </c>
      <c r="D697" s="2" t="s">
        <v>113</v>
      </c>
      <c r="E697" s="2">
        <v>2161</v>
      </c>
      <c r="F697" s="2" t="s">
        <v>30</v>
      </c>
      <c r="G697" s="2" t="s">
        <v>4054</v>
      </c>
      <c r="H697" s="2" t="s">
        <v>4055</v>
      </c>
      <c r="I697" s="2" t="s">
        <v>4056</v>
      </c>
      <c r="J697" s="2" t="s">
        <v>34</v>
      </c>
      <c r="K697" s="2" t="s">
        <v>34</v>
      </c>
      <c r="L697" s="2" t="s">
        <v>4057</v>
      </c>
      <c r="M697" s="2" t="s">
        <v>4058</v>
      </c>
      <c r="N697" s="2" t="s">
        <v>34</v>
      </c>
      <c r="O697" s="2" t="s">
        <v>34</v>
      </c>
      <c r="P697" s="2" t="s">
        <v>36</v>
      </c>
    </row>
    <row r="698" spans="1:16" x14ac:dyDescent="0.2">
      <c r="A698" s="2" t="s">
        <v>4059</v>
      </c>
      <c r="B698" s="2">
        <v>41</v>
      </c>
      <c r="C698" s="2">
        <v>17</v>
      </c>
      <c r="D698" s="2" t="s">
        <v>144</v>
      </c>
      <c r="E698" s="2">
        <v>3828</v>
      </c>
      <c r="F698" s="2" t="s">
        <v>38</v>
      </c>
      <c r="G698" s="2" t="s">
        <v>4060</v>
      </c>
      <c r="H698" s="2" t="s">
        <v>4061</v>
      </c>
      <c r="I698" s="2" t="s">
        <v>4062</v>
      </c>
      <c r="J698" s="2" t="s">
        <v>4063</v>
      </c>
      <c r="K698" s="3">
        <v>46410</v>
      </c>
      <c r="L698" s="2" t="s">
        <v>4064</v>
      </c>
      <c r="M698" s="2" t="s">
        <v>4065</v>
      </c>
      <c r="N698" s="2" t="s">
        <v>34</v>
      </c>
      <c r="O698" s="2" t="s">
        <v>4066</v>
      </c>
      <c r="P698" s="2" t="s">
        <v>36</v>
      </c>
    </row>
    <row r="699" spans="1:16" x14ac:dyDescent="0.2">
      <c r="A699" s="2" t="s">
        <v>4067</v>
      </c>
      <c r="B699" s="2">
        <v>42</v>
      </c>
      <c r="C699" s="2">
        <v>1</v>
      </c>
      <c r="D699" s="2" t="s">
        <v>29</v>
      </c>
      <c r="E699" s="2">
        <v>905</v>
      </c>
      <c r="F699" s="2" t="s">
        <v>38</v>
      </c>
      <c r="G699" s="2" t="s">
        <v>2067</v>
      </c>
      <c r="H699" s="2" t="s">
        <v>4068</v>
      </c>
      <c r="I699" s="2" t="s">
        <v>4069</v>
      </c>
      <c r="J699" s="2" t="s">
        <v>1062</v>
      </c>
      <c r="K699" s="3">
        <v>46200</v>
      </c>
      <c r="L699" s="2" t="s">
        <v>4070</v>
      </c>
      <c r="M699" s="2" t="s">
        <v>34</v>
      </c>
      <c r="N699" s="2" t="s">
        <v>34</v>
      </c>
      <c r="O699" s="2" t="s">
        <v>34</v>
      </c>
      <c r="P699" s="2" t="s">
        <v>78</v>
      </c>
    </row>
    <row r="700" spans="1:16" x14ac:dyDescent="0.2">
      <c r="A700" s="2" t="s">
        <v>4071</v>
      </c>
      <c r="B700" s="2">
        <v>42</v>
      </c>
      <c r="C700" s="2">
        <v>2</v>
      </c>
      <c r="D700" s="2" t="s">
        <v>29</v>
      </c>
      <c r="E700" s="2">
        <v>860</v>
      </c>
      <c r="F700" s="2" t="s">
        <v>30</v>
      </c>
      <c r="G700" s="2" t="s">
        <v>321</v>
      </c>
      <c r="H700" s="2" t="s">
        <v>4072</v>
      </c>
      <c r="I700" s="2" t="s">
        <v>4073</v>
      </c>
      <c r="J700" s="2" t="s">
        <v>34</v>
      </c>
      <c r="K700" s="2" t="s">
        <v>34</v>
      </c>
      <c r="L700" s="2" t="s">
        <v>4074</v>
      </c>
      <c r="M700" s="2" t="s">
        <v>34</v>
      </c>
      <c r="N700" s="2" t="s">
        <v>34</v>
      </c>
      <c r="O700" s="2" t="s">
        <v>34</v>
      </c>
      <c r="P700" s="2" t="s">
        <v>36</v>
      </c>
    </row>
    <row r="701" spans="1:16" x14ac:dyDescent="0.2">
      <c r="A701" s="2" t="s">
        <v>4075</v>
      </c>
      <c r="B701" s="2">
        <v>42</v>
      </c>
      <c r="C701" s="2">
        <v>3</v>
      </c>
      <c r="D701" s="2" t="s">
        <v>29</v>
      </c>
      <c r="E701" s="2">
        <v>892</v>
      </c>
      <c r="F701" s="2" t="s">
        <v>30</v>
      </c>
      <c r="G701" s="2" t="s">
        <v>3756</v>
      </c>
      <c r="H701" s="2" t="s">
        <v>4076</v>
      </c>
      <c r="I701" s="2" t="s">
        <v>4077</v>
      </c>
      <c r="J701" s="2" t="s">
        <v>34</v>
      </c>
      <c r="K701" s="2" t="s">
        <v>34</v>
      </c>
      <c r="L701" s="2" t="s">
        <v>4078</v>
      </c>
      <c r="M701" s="2" t="s">
        <v>34</v>
      </c>
      <c r="N701" s="2" t="s">
        <v>34</v>
      </c>
      <c r="O701" s="2" t="s">
        <v>34</v>
      </c>
      <c r="P701" s="2" t="s">
        <v>78</v>
      </c>
    </row>
    <row r="702" spans="1:16" x14ac:dyDescent="0.2">
      <c r="A702" s="2" t="s">
        <v>4079</v>
      </c>
      <c r="B702" s="2">
        <v>42</v>
      </c>
      <c r="C702" s="2">
        <v>4</v>
      </c>
      <c r="D702" s="2" t="s">
        <v>29</v>
      </c>
      <c r="E702" s="2">
        <v>897</v>
      </c>
      <c r="F702" s="2" t="s">
        <v>30</v>
      </c>
      <c r="G702" s="2" t="s">
        <v>3925</v>
      </c>
      <c r="H702" s="2" t="s">
        <v>4080</v>
      </c>
      <c r="I702" s="2" t="s">
        <v>4081</v>
      </c>
      <c r="J702" s="2" t="s">
        <v>34</v>
      </c>
      <c r="K702" s="2" t="s">
        <v>34</v>
      </c>
      <c r="L702" s="2" t="s">
        <v>4082</v>
      </c>
      <c r="M702" s="2" t="s">
        <v>34</v>
      </c>
      <c r="N702" s="2" t="s">
        <v>34</v>
      </c>
      <c r="O702" s="2" t="s">
        <v>4083</v>
      </c>
      <c r="P702" s="2" t="s">
        <v>36</v>
      </c>
    </row>
    <row r="703" spans="1:16" x14ac:dyDescent="0.2">
      <c r="A703" s="2" t="s">
        <v>4084</v>
      </c>
      <c r="B703" s="2">
        <v>42</v>
      </c>
      <c r="C703" s="2">
        <v>5</v>
      </c>
      <c r="D703" s="2" t="s">
        <v>29</v>
      </c>
      <c r="E703" s="2">
        <v>870</v>
      </c>
      <c r="F703" s="2" t="s">
        <v>38</v>
      </c>
      <c r="G703" s="2" t="s">
        <v>1048</v>
      </c>
      <c r="H703" s="2" t="s">
        <v>4085</v>
      </c>
      <c r="I703" s="2" t="s">
        <v>4086</v>
      </c>
      <c r="J703" s="2" t="s">
        <v>2351</v>
      </c>
      <c r="K703" s="3">
        <v>46197</v>
      </c>
      <c r="L703" s="2" t="s">
        <v>4087</v>
      </c>
      <c r="M703" s="2" t="s">
        <v>34</v>
      </c>
      <c r="N703" s="2" t="s">
        <v>34</v>
      </c>
      <c r="O703" s="2" t="s">
        <v>34</v>
      </c>
      <c r="P703" s="2" t="s">
        <v>78</v>
      </c>
    </row>
    <row r="704" spans="1:16" x14ac:dyDescent="0.2">
      <c r="A704" s="2" t="s">
        <v>4088</v>
      </c>
      <c r="B704" s="2">
        <v>42</v>
      </c>
      <c r="C704" s="2">
        <v>6</v>
      </c>
      <c r="D704" s="2" t="s">
        <v>29</v>
      </c>
      <c r="E704" s="2">
        <v>834</v>
      </c>
      <c r="F704" s="2" t="s">
        <v>30</v>
      </c>
      <c r="G704" s="2" t="s">
        <v>2225</v>
      </c>
      <c r="H704" s="2" t="s">
        <v>4089</v>
      </c>
      <c r="I704" s="2" t="s">
        <v>4090</v>
      </c>
      <c r="J704" s="2" t="s">
        <v>34</v>
      </c>
      <c r="K704" s="2" t="s">
        <v>34</v>
      </c>
      <c r="L704" s="2" t="s">
        <v>4091</v>
      </c>
      <c r="M704" s="2" t="s">
        <v>34</v>
      </c>
      <c r="N704" s="2" t="s">
        <v>34</v>
      </c>
      <c r="O704" s="2" t="s">
        <v>34</v>
      </c>
      <c r="P704" s="2" t="s">
        <v>36</v>
      </c>
    </row>
    <row r="705" spans="1:16" x14ac:dyDescent="0.2">
      <c r="A705" s="2" t="s">
        <v>4092</v>
      </c>
      <c r="B705" s="2">
        <v>42</v>
      </c>
      <c r="C705" s="2">
        <v>7</v>
      </c>
      <c r="D705" s="2" t="s">
        <v>71</v>
      </c>
      <c r="E705" s="2">
        <v>1501</v>
      </c>
      <c r="F705" s="2" t="s">
        <v>30</v>
      </c>
      <c r="G705" s="2" t="s">
        <v>511</v>
      </c>
      <c r="H705" s="2" t="s">
        <v>4093</v>
      </c>
      <c r="I705" s="2" t="s">
        <v>4094</v>
      </c>
      <c r="J705" s="2" t="s">
        <v>34</v>
      </c>
      <c r="K705" s="2" t="s">
        <v>34</v>
      </c>
      <c r="L705" s="2" t="s">
        <v>4095</v>
      </c>
      <c r="M705" s="2" t="s">
        <v>4096</v>
      </c>
      <c r="N705" s="2" t="s">
        <v>34</v>
      </c>
      <c r="O705" s="2" t="s">
        <v>34</v>
      </c>
      <c r="P705" s="2" t="s">
        <v>36</v>
      </c>
    </row>
    <row r="706" spans="1:16" x14ac:dyDescent="0.2">
      <c r="A706" s="2" t="s">
        <v>4097</v>
      </c>
      <c r="B706" s="2">
        <v>42</v>
      </c>
      <c r="C706" s="2">
        <v>8</v>
      </c>
      <c r="D706" s="2" t="s">
        <v>71</v>
      </c>
      <c r="E706" s="2">
        <v>1517</v>
      </c>
      <c r="F706" s="2" t="s">
        <v>38</v>
      </c>
      <c r="G706" s="2" t="s">
        <v>4098</v>
      </c>
      <c r="H706" s="2" t="s">
        <v>4099</v>
      </c>
      <c r="I706" s="2" t="s">
        <v>4100</v>
      </c>
      <c r="J706" s="2" t="s">
        <v>220</v>
      </c>
      <c r="K706" s="3">
        <v>46439</v>
      </c>
      <c r="L706" s="2" t="s">
        <v>4101</v>
      </c>
      <c r="M706" s="2" t="s">
        <v>4102</v>
      </c>
      <c r="N706" s="2" t="s">
        <v>4103</v>
      </c>
      <c r="O706" s="2" t="s">
        <v>4104</v>
      </c>
      <c r="P706" s="2" t="s">
        <v>36</v>
      </c>
    </row>
    <row r="707" spans="1:16" x14ac:dyDescent="0.2">
      <c r="A707" s="2" t="s">
        <v>4105</v>
      </c>
      <c r="B707" s="2">
        <v>42</v>
      </c>
      <c r="C707" s="2">
        <v>9</v>
      </c>
      <c r="D707" s="2" t="s">
        <v>71</v>
      </c>
      <c r="E707" s="2">
        <v>1295</v>
      </c>
      <c r="F707" s="2" t="s">
        <v>30</v>
      </c>
      <c r="G707" s="2" t="s">
        <v>3025</v>
      </c>
      <c r="H707" s="2" t="s">
        <v>4106</v>
      </c>
      <c r="I707" s="2" t="s">
        <v>4107</v>
      </c>
      <c r="J707" s="2" t="s">
        <v>34</v>
      </c>
      <c r="K707" s="2" t="s">
        <v>34</v>
      </c>
      <c r="L707" s="2" t="s">
        <v>4108</v>
      </c>
      <c r="M707" s="2" t="s">
        <v>4109</v>
      </c>
      <c r="N707" s="2" t="s">
        <v>34</v>
      </c>
      <c r="O707" s="2" t="s">
        <v>34</v>
      </c>
      <c r="P707" s="2" t="s">
        <v>36</v>
      </c>
    </row>
    <row r="708" spans="1:16" x14ac:dyDescent="0.2">
      <c r="A708" s="2" t="s">
        <v>4110</v>
      </c>
      <c r="B708" s="2">
        <v>42</v>
      </c>
      <c r="C708" s="2">
        <v>10</v>
      </c>
      <c r="D708" s="2" t="s">
        <v>71</v>
      </c>
      <c r="E708" s="2">
        <v>1510</v>
      </c>
      <c r="F708" s="2" t="s">
        <v>30</v>
      </c>
      <c r="G708" s="2" t="s">
        <v>3502</v>
      </c>
      <c r="H708" s="2" t="s">
        <v>4111</v>
      </c>
      <c r="I708" s="2" t="s">
        <v>4112</v>
      </c>
      <c r="J708" s="2" t="s">
        <v>34</v>
      </c>
      <c r="K708" s="2" t="s">
        <v>34</v>
      </c>
      <c r="L708" s="2" t="s">
        <v>4113</v>
      </c>
      <c r="M708" s="2" t="s">
        <v>4114</v>
      </c>
      <c r="N708" s="2" t="s">
        <v>34</v>
      </c>
      <c r="O708" s="2" t="s">
        <v>34</v>
      </c>
      <c r="P708" s="2" t="s">
        <v>36</v>
      </c>
    </row>
    <row r="709" spans="1:16" x14ac:dyDescent="0.2">
      <c r="A709" s="2" t="s">
        <v>4115</v>
      </c>
      <c r="B709" s="2">
        <v>42</v>
      </c>
      <c r="C709" s="2">
        <v>11</v>
      </c>
      <c r="D709" s="2" t="s">
        <v>71</v>
      </c>
      <c r="E709" s="2">
        <v>1381</v>
      </c>
      <c r="F709" s="2" t="s">
        <v>30</v>
      </c>
      <c r="G709" s="2" t="s">
        <v>4116</v>
      </c>
      <c r="H709" s="2" t="s">
        <v>4117</v>
      </c>
      <c r="I709" s="2" t="s">
        <v>4118</v>
      </c>
      <c r="J709" s="2" t="s">
        <v>34</v>
      </c>
      <c r="K709" s="2" t="s">
        <v>34</v>
      </c>
      <c r="L709" s="2" t="s">
        <v>4119</v>
      </c>
      <c r="M709" s="2" t="s">
        <v>4120</v>
      </c>
      <c r="N709" s="2" t="s">
        <v>34</v>
      </c>
      <c r="O709" s="2" t="s">
        <v>34</v>
      </c>
      <c r="P709" s="2" t="s">
        <v>36</v>
      </c>
    </row>
    <row r="710" spans="1:16" x14ac:dyDescent="0.2">
      <c r="A710" s="2" t="s">
        <v>4121</v>
      </c>
      <c r="B710" s="2">
        <v>42</v>
      </c>
      <c r="C710" s="2">
        <v>12</v>
      </c>
      <c r="D710" s="2" t="s">
        <v>71</v>
      </c>
      <c r="E710" s="2">
        <v>1517</v>
      </c>
      <c r="F710" s="2" t="s">
        <v>38</v>
      </c>
      <c r="G710" s="2" t="s">
        <v>363</v>
      </c>
      <c r="H710" s="2" t="s">
        <v>4122</v>
      </c>
      <c r="I710" s="2" t="s">
        <v>4123</v>
      </c>
      <c r="J710" s="2" t="s">
        <v>4124</v>
      </c>
      <c r="K710" s="3">
        <v>46345</v>
      </c>
      <c r="L710" s="2" t="s">
        <v>4125</v>
      </c>
      <c r="M710" s="2" t="s">
        <v>4126</v>
      </c>
      <c r="N710" s="2" t="s">
        <v>34</v>
      </c>
      <c r="O710" s="2" t="s">
        <v>4127</v>
      </c>
      <c r="P710" s="2" t="s">
        <v>36</v>
      </c>
    </row>
    <row r="711" spans="1:16" x14ac:dyDescent="0.2">
      <c r="A711" s="2" t="s">
        <v>4128</v>
      </c>
      <c r="B711" s="2">
        <v>42</v>
      </c>
      <c r="C711" s="2">
        <v>13</v>
      </c>
      <c r="D711" s="2" t="s">
        <v>113</v>
      </c>
      <c r="E711" s="2">
        <v>1685</v>
      </c>
      <c r="F711" s="2" t="s">
        <v>38</v>
      </c>
      <c r="G711" s="2" t="s">
        <v>2100</v>
      </c>
      <c r="H711" s="2" t="s">
        <v>4129</v>
      </c>
      <c r="I711" s="2" t="s">
        <v>4130</v>
      </c>
      <c r="J711" s="2" t="s">
        <v>606</v>
      </c>
      <c r="K711" s="3">
        <v>46198</v>
      </c>
      <c r="L711" s="2" t="s">
        <v>4131</v>
      </c>
      <c r="M711" s="2" t="s">
        <v>34</v>
      </c>
      <c r="N711" s="2" t="s">
        <v>34</v>
      </c>
      <c r="O711" s="2" t="s">
        <v>34</v>
      </c>
      <c r="P711" s="2" t="s">
        <v>36</v>
      </c>
    </row>
    <row r="712" spans="1:16" x14ac:dyDescent="0.2">
      <c r="A712" s="2" t="s">
        <v>4132</v>
      </c>
      <c r="B712" s="2">
        <v>42</v>
      </c>
      <c r="C712" s="2">
        <v>14</v>
      </c>
      <c r="D712" s="2" t="s">
        <v>113</v>
      </c>
      <c r="E712" s="2">
        <v>1950</v>
      </c>
      <c r="F712" s="2" t="s">
        <v>30</v>
      </c>
      <c r="G712" s="2" t="s">
        <v>4133</v>
      </c>
      <c r="H712" s="2" t="s">
        <v>4134</v>
      </c>
      <c r="I712" s="2" t="s">
        <v>4135</v>
      </c>
      <c r="J712" s="2" t="s">
        <v>34</v>
      </c>
      <c r="K712" s="2" t="s">
        <v>34</v>
      </c>
      <c r="L712" s="2" t="s">
        <v>4136</v>
      </c>
      <c r="M712" s="2" t="s">
        <v>4137</v>
      </c>
      <c r="N712" s="2" t="s">
        <v>34</v>
      </c>
      <c r="O712" s="2" t="s">
        <v>34</v>
      </c>
      <c r="P712" s="2" t="s">
        <v>78</v>
      </c>
    </row>
    <row r="713" spans="1:16" x14ac:dyDescent="0.2">
      <c r="A713" s="2" t="s">
        <v>4138</v>
      </c>
      <c r="B713" s="2">
        <v>42</v>
      </c>
      <c r="C713" s="2">
        <v>15</v>
      </c>
      <c r="D713" s="2" t="s">
        <v>113</v>
      </c>
      <c r="E713" s="2">
        <v>2172</v>
      </c>
      <c r="F713" s="2" t="s">
        <v>38</v>
      </c>
      <c r="G713" s="2" t="s">
        <v>2920</v>
      </c>
      <c r="H713" s="2" t="s">
        <v>4139</v>
      </c>
      <c r="I713" s="2" t="s">
        <v>4140</v>
      </c>
      <c r="J713" s="2" t="s">
        <v>3802</v>
      </c>
      <c r="K713" s="3">
        <v>46131</v>
      </c>
      <c r="L713" s="2" t="s">
        <v>4141</v>
      </c>
      <c r="M713" s="2" t="s">
        <v>4142</v>
      </c>
      <c r="N713" s="2" t="s">
        <v>34</v>
      </c>
      <c r="O713" s="2" t="s">
        <v>34</v>
      </c>
      <c r="P713" s="2" t="s">
        <v>36</v>
      </c>
    </row>
    <row r="714" spans="1:16" x14ac:dyDescent="0.2">
      <c r="A714" s="2" t="s">
        <v>4143</v>
      </c>
      <c r="B714" s="2">
        <v>42</v>
      </c>
      <c r="C714" s="2">
        <v>16</v>
      </c>
      <c r="D714" s="2" t="s">
        <v>113</v>
      </c>
      <c r="E714" s="2">
        <v>1871</v>
      </c>
      <c r="F714" s="2" t="s">
        <v>30</v>
      </c>
      <c r="G714" s="2" t="s">
        <v>2420</v>
      </c>
      <c r="H714" s="2" t="s">
        <v>4144</v>
      </c>
      <c r="I714" s="2" t="s">
        <v>4145</v>
      </c>
      <c r="J714" s="2" t="s">
        <v>34</v>
      </c>
      <c r="K714" s="2" t="s">
        <v>34</v>
      </c>
      <c r="L714" s="2" t="s">
        <v>4146</v>
      </c>
      <c r="M714" s="2" t="s">
        <v>34</v>
      </c>
      <c r="N714" s="2" t="s">
        <v>4147</v>
      </c>
      <c r="O714" s="2" t="s">
        <v>34</v>
      </c>
      <c r="P714" s="2" t="s">
        <v>36</v>
      </c>
    </row>
    <row r="715" spans="1:16" x14ac:dyDescent="0.2">
      <c r="A715" s="2" t="s">
        <v>4148</v>
      </c>
      <c r="B715" s="2">
        <v>42</v>
      </c>
      <c r="C715" s="2">
        <v>17</v>
      </c>
      <c r="D715" s="2" t="s">
        <v>144</v>
      </c>
      <c r="E715" s="2">
        <v>3619</v>
      </c>
      <c r="F715" s="2" t="s">
        <v>30</v>
      </c>
      <c r="G715" s="2" t="s">
        <v>2089</v>
      </c>
      <c r="H715" s="2" t="s">
        <v>4149</v>
      </c>
      <c r="I715" s="2" t="s">
        <v>4150</v>
      </c>
      <c r="J715" s="2" t="s">
        <v>34</v>
      </c>
      <c r="K715" s="2" t="s">
        <v>34</v>
      </c>
      <c r="L715" s="2" t="s">
        <v>4151</v>
      </c>
      <c r="M715" s="2" t="s">
        <v>4152</v>
      </c>
      <c r="N715" s="2" t="s">
        <v>34</v>
      </c>
      <c r="O715" s="2" t="s">
        <v>34</v>
      </c>
      <c r="P715" s="2" t="s">
        <v>36</v>
      </c>
    </row>
    <row r="716" spans="1:16" x14ac:dyDescent="0.2">
      <c r="A716" s="2" t="s">
        <v>4153</v>
      </c>
      <c r="B716" s="2">
        <v>43</v>
      </c>
      <c r="C716" s="2">
        <v>1</v>
      </c>
      <c r="D716" s="2" t="s">
        <v>29</v>
      </c>
      <c r="E716" s="2">
        <v>888</v>
      </c>
      <c r="F716" s="2" t="s">
        <v>30</v>
      </c>
      <c r="G716" s="2" t="s">
        <v>1304</v>
      </c>
      <c r="H716" s="2" t="s">
        <v>4154</v>
      </c>
      <c r="I716" s="2" t="s">
        <v>4155</v>
      </c>
      <c r="J716" s="2" t="s">
        <v>34</v>
      </c>
      <c r="K716" s="2" t="s">
        <v>34</v>
      </c>
      <c r="L716" s="2" t="s">
        <v>4156</v>
      </c>
      <c r="M716" s="2" t="s">
        <v>34</v>
      </c>
      <c r="N716" s="2" t="s">
        <v>34</v>
      </c>
      <c r="O716" s="2" t="s">
        <v>34</v>
      </c>
      <c r="P716" s="2" t="s">
        <v>36</v>
      </c>
    </row>
    <row r="717" spans="1:16" x14ac:dyDescent="0.2">
      <c r="A717" s="2" t="s">
        <v>4157</v>
      </c>
      <c r="B717" s="2">
        <v>43</v>
      </c>
      <c r="C717" s="2">
        <v>2</v>
      </c>
      <c r="D717" s="2" t="s">
        <v>29</v>
      </c>
      <c r="E717" s="2">
        <v>859</v>
      </c>
      <c r="F717" s="2" t="s">
        <v>30</v>
      </c>
      <c r="G717" s="2" t="s">
        <v>388</v>
      </c>
      <c r="H717" s="2" t="s">
        <v>4158</v>
      </c>
      <c r="I717" s="2" t="s">
        <v>4159</v>
      </c>
      <c r="J717" s="2" t="s">
        <v>34</v>
      </c>
      <c r="K717" s="2" t="s">
        <v>34</v>
      </c>
      <c r="L717" s="2" t="s">
        <v>4160</v>
      </c>
      <c r="M717" s="2" t="s">
        <v>34</v>
      </c>
      <c r="N717" s="2" t="s">
        <v>4161</v>
      </c>
      <c r="O717" s="2" t="s">
        <v>34</v>
      </c>
      <c r="P717" s="2" t="s">
        <v>36</v>
      </c>
    </row>
    <row r="718" spans="1:16" x14ac:dyDescent="0.2">
      <c r="A718" s="2" t="s">
        <v>4162</v>
      </c>
      <c r="B718" s="2">
        <v>43</v>
      </c>
      <c r="C718" s="2">
        <v>3</v>
      </c>
      <c r="D718" s="2" t="s">
        <v>29</v>
      </c>
      <c r="E718" s="2">
        <v>848</v>
      </c>
      <c r="F718" s="2" t="s">
        <v>30</v>
      </c>
      <c r="G718" s="2" t="s">
        <v>4163</v>
      </c>
      <c r="H718" s="2" t="s">
        <v>4164</v>
      </c>
      <c r="I718" s="2" t="s">
        <v>4165</v>
      </c>
      <c r="J718" s="2" t="s">
        <v>34</v>
      </c>
      <c r="K718" s="2" t="s">
        <v>34</v>
      </c>
      <c r="L718" s="2" t="s">
        <v>4166</v>
      </c>
      <c r="M718" s="2" t="s">
        <v>34</v>
      </c>
      <c r="N718" s="2" t="s">
        <v>34</v>
      </c>
      <c r="O718" s="2" t="s">
        <v>34</v>
      </c>
      <c r="P718" s="2" t="s">
        <v>36</v>
      </c>
    </row>
    <row r="719" spans="1:16" x14ac:dyDescent="0.2">
      <c r="A719" s="2" t="s">
        <v>4167</v>
      </c>
      <c r="B719" s="2">
        <v>43</v>
      </c>
      <c r="C719" s="2">
        <v>4</v>
      </c>
      <c r="D719" s="2" t="s">
        <v>29</v>
      </c>
      <c r="E719" s="2">
        <v>857</v>
      </c>
      <c r="F719" s="2" t="s">
        <v>30</v>
      </c>
      <c r="G719" s="2" t="s">
        <v>511</v>
      </c>
      <c r="H719" s="2" t="s">
        <v>4168</v>
      </c>
      <c r="I719" s="2" t="s">
        <v>4169</v>
      </c>
      <c r="J719" s="2" t="s">
        <v>34</v>
      </c>
      <c r="K719" s="2" t="s">
        <v>34</v>
      </c>
      <c r="L719" s="2" t="s">
        <v>4170</v>
      </c>
      <c r="M719" s="2" t="s">
        <v>34</v>
      </c>
      <c r="N719" s="2" t="s">
        <v>34</v>
      </c>
      <c r="O719" s="2" t="s">
        <v>34</v>
      </c>
      <c r="P719" s="2" t="s">
        <v>78</v>
      </c>
    </row>
    <row r="720" spans="1:16" x14ac:dyDescent="0.2">
      <c r="A720" s="2" t="s">
        <v>4171</v>
      </c>
      <c r="B720" s="2">
        <v>43</v>
      </c>
      <c r="C720" s="2">
        <v>5</v>
      </c>
      <c r="D720" s="2" t="s">
        <v>29</v>
      </c>
      <c r="E720" s="2">
        <v>851</v>
      </c>
      <c r="F720" s="2" t="s">
        <v>30</v>
      </c>
      <c r="G720" s="2" t="s">
        <v>1622</v>
      </c>
      <c r="H720" s="2" t="s">
        <v>4172</v>
      </c>
      <c r="I720" s="2" t="s">
        <v>4173</v>
      </c>
      <c r="J720" s="2" t="s">
        <v>34</v>
      </c>
      <c r="K720" s="2" t="s">
        <v>34</v>
      </c>
      <c r="L720" s="2" t="s">
        <v>4174</v>
      </c>
      <c r="M720" s="2" t="s">
        <v>34</v>
      </c>
      <c r="N720" s="2" t="s">
        <v>4175</v>
      </c>
      <c r="O720" s="2" t="s">
        <v>34</v>
      </c>
      <c r="P720" s="2" t="s">
        <v>36</v>
      </c>
    </row>
    <row r="721" spans="1:16" x14ac:dyDescent="0.2">
      <c r="A721" s="2" t="s">
        <v>4176</v>
      </c>
      <c r="B721" s="2">
        <v>43</v>
      </c>
      <c r="C721" s="2">
        <v>6</v>
      </c>
      <c r="D721" s="2" t="s">
        <v>29</v>
      </c>
      <c r="E721" s="2">
        <v>966</v>
      </c>
      <c r="F721" s="2" t="s">
        <v>30</v>
      </c>
      <c r="G721" s="2" t="s">
        <v>4177</v>
      </c>
      <c r="H721" s="2" t="s">
        <v>4178</v>
      </c>
      <c r="I721" s="2" t="s">
        <v>4179</v>
      </c>
      <c r="J721" s="2" t="s">
        <v>34</v>
      </c>
      <c r="K721" s="2" t="s">
        <v>34</v>
      </c>
      <c r="L721" s="2" t="s">
        <v>4180</v>
      </c>
      <c r="M721" s="2" t="s">
        <v>34</v>
      </c>
      <c r="N721" s="2" t="s">
        <v>34</v>
      </c>
      <c r="O721" s="2" t="s">
        <v>34</v>
      </c>
      <c r="P721" s="2" t="s">
        <v>36</v>
      </c>
    </row>
    <row r="722" spans="1:16" x14ac:dyDescent="0.2">
      <c r="A722" s="2" t="s">
        <v>4181</v>
      </c>
      <c r="B722" s="2">
        <v>43</v>
      </c>
      <c r="C722" s="2">
        <v>7</v>
      </c>
      <c r="D722" s="2" t="s">
        <v>71</v>
      </c>
      <c r="E722" s="2">
        <v>1356</v>
      </c>
      <c r="F722" s="2" t="s">
        <v>30</v>
      </c>
      <c r="G722" s="2" t="s">
        <v>4182</v>
      </c>
      <c r="H722" s="2" t="s">
        <v>4183</v>
      </c>
      <c r="I722" s="2" t="s">
        <v>4184</v>
      </c>
      <c r="J722" s="2" t="s">
        <v>34</v>
      </c>
      <c r="K722" s="2" t="s">
        <v>34</v>
      </c>
      <c r="L722" s="2" t="s">
        <v>4185</v>
      </c>
      <c r="M722" s="2" t="s">
        <v>4186</v>
      </c>
      <c r="N722" s="2" t="s">
        <v>34</v>
      </c>
      <c r="O722" s="2" t="s">
        <v>34</v>
      </c>
      <c r="P722" s="2" t="s">
        <v>36</v>
      </c>
    </row>
    <row r="723" spans="1:16" x14ac:dyDescent="0.2">
      <c r="A723" s="2" t="s">
        <v>4187</v>
      </c>
      <c r="B723" s="2">
        <v>43</v>
      </c>
      <c r="C723" s="2">
        <v>8</v>
      </c>
      <c r="D723" s="2" t="s">
        <v>71</v>
      </c>
      <c r="E723" s="2">
        <v>1259</v>
      </c>
      <c r="F723" s="2" t="s">
        <v>30</v>
      </c>
      <c r="G723" s="2" t="s">
        <v>4188</v>
      </c>
      <c r="H723" s="2" t="s">
        <v>4189</v>
      </c>
      <c r="I723" s="2" t="s">
        <v>4190</v>
      </c>
      <c r="J723" s="2" t="s">
        <v>34</v>
      </c>
      <c r="K723" s="2" t="s">
        <v>34</v>
      </c>
      <c r="L723" s="2" t="s">
        <v>4191</v>
      </c>
      <c r="M723" s="2" t="s">
        <v>4192</v>
      </c>
      <c r="N723" s="2" t="s">
        <v>34</v>
      </c>
      <c r="O723" s="2" t="s">
        <v>34</v>
      </c>
      <c r="P723" s="2" t="s">
        <v>78</v>
      </c>
    </row>
    <row r="724" spans="1:16" x14ac:dyDescent="0.2">
      <c r="A724" s="2" t="s">
        <v>4193</v>
      </c>
      <c r="B724" s="2">
        <v>43</v>
      </c>
      <c r="C724" s="2">
        <v>9</v>
      </c>
      <c r="D724" s="2" t="s">
        <v>71</v>
      </c>
      <c r="E724" s="2">
        <v>1491</v>
      </c>
      <c r="F724" s="2" t="s">
        <v>30</v>
      </c>
      <c r="G724" s="2" t="s">
        <v>4194</v>
      </c>
      <c r="H724" s="2" t="s">
        <v>4195</v>
      </c>
      <c r="I724" s="2" t="s">
        <v>4196</v>
      </c>
      <c r="J724" s="2" t="s">
        <v>34</v>
      </c>
      <c r="K724" s="2" t="s">
        <v>34</v>
      </c>
      <c r="L724" s="2" t="s">
        <v>4197</v>
      </c>
      <c r="M724" s="2" t="s">
        <v>4198</v>
      </c>
      <c r="N724" s="2" t="s">
        <v>34</v>
      </c>
      <c r="O724" s="2" t="s">
        <v>34</v>
      </c>
      <c r="P724" s="2" t="s">
        <v>78</v>
      </c>
    </row>
    <row r="725" spans="1:16" x14ac:dyDescent="0.2">
      <c r="A725" s="2" t="s">
        <v>4199</v>
      </c>
      <c r="B725" s="2">
        <v>43</v>
      </c>
      <c r="C725" s="2">
        <v>10</v>
      </c>
      <c r="D725" s="2" t="s">
        <v>71</v>
      </c>
      <c r="E725" s="2">
        <v>1297</v>
      </c>
      <c r="F725" s="2" t="s">
        <v>38</v>
      </c>
      <c r="G725" s="2" t="s">
        <v>3710</v>
      </c>
      <c r="H725" s="2" t="s">
        <v>4200</v>
      </c>
      <c r="I725" s="2" t="s">
        <v>4201</v>
      </c>
      <c r="J725" s="2" t="s">
        <v>2873</v>
      </c>
      <c r="K725" s="3">
        <v>46175</v>
      </c>
      <c r="L725" s="2" t="s">
        <v>4202</v>
      </c>
      <c r="M725" s="2" t="s">
        <v>4203</v>
      </c>
      <c r="N725" s="2" t="s">
        <v>34</v>
      </c>
      <c r="O725" s="2" t="s">
        <v>34</v>
      </c>
      <c r="P725" s="2" t="s">
        <v>78</v>
      </c>
    </row>
    <row r="726" spans="1:16" x14ac:dyDescent="0.2">
      <c r="A726" s="2" t="s">
        <v>4204</v>
      </c>
      <c r="B726" s="2">
        <v>43</v>
      </c>
      <c r="C726" s="2">
        <v>11</v>
      </c>
      <c r="D726" s="2" t="s">
        <v>71</v>
      </c>
      <c r="E726" s="2">
        <v>1474</v>
      </c>
      <c r="F726" s="2" t="s">
        <v>38</v>
      </c>
      <c r="G726" s="2" t="s">
        <v>4205</v>
      </c>
      <c r="H726" s="2" t="s">
        <v>4206</v>
      </c>
      <c r="I726" s="2" t="s">
        <v>4207</v>
      </c>
      <c r="J726" s="2" t="s">
        <v>4208</v>
      </c>
      <c r="K726" s="3">
        <v>46138</v>
      </c>
      <c r="L726" s="2" t="s">
        <v>4209</v>
      </c>
      <c r="M726" s="2" t="s">
        <v>34</v>
      </c>
      <c r="N726" s="2" t="s">
        <v>34</v>
      </c>
      <c r="O726" s="2" t="s">
        <v>34</v>
      </c>
      <c r="P726" s="2" t="s">
        <v>36</v>
      </c>
    </row>
    <row r="727" spans="1:16" x14ac:dyDescent="0.2">
      <c r="A727" s="2" t="s">
        <v>4210</v>
      </c>
      <c r="B727" s="2">
        <v>43</v>
      </c>
      <c r="C727" s="2">
        <v>12</v>
      </c>
      <c r="D727" s="2" t="s">
        <v>71</v>
      </c>
      <c r="E727" s="2">
        <v>1443</v>
      </c>
      <c r="F727" s="2" t="s">
        <v>30</v>
      </c>
      <c r="G727" s="2" t="s">
        <v>626</v>
      </c>
      <c r="H727" s="2" t="s">
        <v>4211</v>
      </c>
      <c r="I727" s="2" t="s">
        <v>4212</v>
      </c>
      <c r="J727" s="2" t="s">
        <v>34</v>
      </c>
      <c r="K727" s="2" t="s">
        <v>34</v>
      </c>
      <c r="L727" s="2" t="s">
        <v>4213</v>
      </c>
      <c r="M727" s="2" t="s">
        <v>34</v>
      </c>
      <c r="N727" s="2" t="s">
        <v>34</v>
      </c>
      <c r="O727" s="2" t="s">
        <v>34</v>
      </c>
      <c r="P727" s="2" t="s">
        <v>36</v>
      </c>
    </row>
    <row r="728" spans="1:16" x14ac:dyDescent="0.2">
      <c r="A728" s="2" t="s">
        <v>4214</v>
      </c>
      <c r="B728" s="2">
        <v>43</v>
      </c>
      <c r="C728" s="2">
        <v>13</v>
      </c>
      <c r="D728" s="2" t="s">
        <v>113</v>
      </c>
      <c r="E728" s="2">
        <v>1900</v>
      </c>
      <c r="F728" s="2" t="s">
        <v>38</v>
      </c>
      <c r="G728" s="2" t="s">
        <v>2026</v>
      </c>
      <c r="H728" s="2" t="s">
        <v>4215</v>
      </c>
      <c r="I728" s="2" t="s">
        <v>4216</v>
      </c>
      <c r="J728" s="2" t="s">
        <v>2316</v>
      </c>
      <c r="K728" s="3">
        <v>46396</v>
      </c>
      <c r="L728" s="2" t="s">
        <v>4217</v>
      </c>
      <c r="M728" s="2" t="s">
        <v>34</v>
      </c>
      <c r="N728" s="2" t="s">
        <v>34</v>
      </c>
      <c r="O728" s="2" t="s">
        <v>34</v>
      </c>
      <c r="P728" s="2" t="s">
        <v>36</v>
      </c>
    </row>
    <row r="729" spans="1:16" x14ac:dyDescent="0.2">
      <c r="A729" s="2" t="s">
        <v>4218</v>
      </c>
      <c r="B729" s="2">
        <v>43</v>
      </c>
      <c r="C729" s="2">
        <v>14</v>
      </c>
      <c r="D729" s="2" t="s">
        <v>113</v>
      </c>
      <c r="E729" s="2">
        <v>1829</v>
      </c>
      <c r="F729" s="2" t="s">
        <v>30</v>
      </c>
      <c r="G729" s="2" t="s">
        <v>3426</v>
      </c>
      <c r="H729" s="2" t="s">
        <v>4219</v>
      </c>
      <c r="I729" s="2" t="s">
        <v>4220</v>
      </c>
      <c r="J729" s="2" t="s">
        <v>34</v>
      </c>
      <c r="K729" s="2" t="s">
        <v>34</v>
      </c>
      <c r="L729" s="2" t="s">
        <v>4221</v>
      </c>
      <c r="M729" s="2" t="s">
        <v>4222</v>
      </c>
      <c r="N729" s="2" t="s">
        <v>4223</v>
      </c>
      <c r="O729" s="2" t="s">
        <v>34</v>
      </c>
      <c r="P729" s="2" t="s">
        <v>36</v>
      </c>
    </row>
    <row r="730" spans="1:16" x14ac:dyDescent="0.2">
      <c r="A730" s="2" t="s">
        <v>4224</v>
      </c>
      <c r="B730" s="2">
        <v>43</v>
      </c>
      <c r="C730" s="2">
        <v>15</v>
      </c>
      <c r="D730" s="2" t="s">
        <v>113</v>
      </c>
      <c r="E730" s="2">
        <v>1765</v>
      </c>
      <c r="F730" s="2" t="s">
        <v>38</v>
      </c>
      <c r="G730" s="2" t="s">
        <v>430</v>
      </c>
      <c r="H730" s="2" t="s">
        <v>4225</v>
      </c>
      <c r="I730" s="2" t="s">
        <v>4226</v>
      </c>
      <c r="J730" s="2" t="s">
        <v>4227</v>
      </c>
      <c r="K730" s="3">
        <v>46488</v>
      </c>
      <c r="L730" s="2" t="s">
        <v>4228</v>
      </c>
      <c r="M730" s="2" t="s">
        <v>4229</v>
      </c>
      <c r="N730" s="2" t="s">
        <v>34</v>
      </c>
      <c r="O730" s="2" t="s">
        <v>34</v>
      </c>
      <c r="P730" s="2" t="s">
        <v>36</v>
      </c>
    </row>
    <row r="731" spans="1:16" x14ac:dyDescent="0.2">
      <c r="A731" s="2" t="s">
        <v>4230</v>
      </c>
      <c r="B731" s="2">
        <v>43</v>
      </c>
      <c r="C731" s="2">
        <v>16</v>
      </c>
      <c r="D731" s="2" t="s">
        <v>113</v>
      </c>
      <c r="E731" s="2">
        <v>2053</v>
      </c>
      <c r="F731" s="2" t="s">
        <v>38</v>
      </c>
      <c r="G731" s="2" t="s">
        <v>3133</v>
      </c>
      <c r="H731" s="2" t="s">
        <v>4231</v>
      </c>
      <c r="I731" s="2" t="s">
        <v>4232</v>
      </c>
      <c r="J731" s="2" t="s">
        <v>2244</v>
      </c>
      <c r="K731" s="3">
        <v>46139</v>
      </c>
      <c r="L731" s="2" t="s">
        <v>4233</v>
      </c>
      <c r="M731" s="2" t="s">
        <v>34</v>
      </c>
      <c r="N731" s="2" t="s">
        <v>34</v>
      </c>
      <c r="O731" s="2" t="s">
        <v>34</v>
      </c>
      <c r="P731" s="2" t="s">
        <v>36</v>
      </c>
    </row>
    <row r="732" spans="1:16" x14ac:dyDescent="0.2">
      <c r="A732" s="2" t="s">
        <v>4234</v>
      </c>
      <c r="B732" s="2">
        <v>43</v>
      </c>
      <c r="C732" s="2">
        <v>17</v>
      </c>
      <c r="D732" s="2" t="s">
        <v>144</v>
      </c>
      <c r="E732" s="2">
        <v>3472</v>
      </c>
      <c r="F732" s="2" t="s">
        <v>30</v>
      </c>
      <c r="G732" s="2" t="s">
        <v>4235</v>
      </c>
      <c r="H732" s="2" t="s">
        <v>4236</v>
      </c>
      <c r="I732" s="2" t="s">
        <v>4237</v>
      </c>
      <c r="J732" s="2" t="s">
        <v>34</v>
      </c>
      <c r="K732" s="2" t="s">
        <v>34</v>
      </c>
      <c r="L732" s="2" t="s">
        <v>4238</v>
      </c>
      <c r="M732" s="2" t="s">
        <v>4239</v>
      </c>
      <c r="N732" s="2" t="s">
        <v>34</v>
      </c>
      <c r="O732" s="2" t="s">
        <v>34</v>
      </c>
      <c r="P732" s="2" t="s">
        <v>36</v>
      </c>
    </row>
    <row r="733" spans="1:16" x14ac:dyDescent="0.2">
      <c r="A733" s="2" t="s">
        <v>4240</v>
      </c>
      <c r="B733" s="2">
        <v>44</v>
      </c>
      <c r="C733" s="2">
        <v>1</v>
      </c>
      <c r="D733" s="2" t="s">
        <v>29</v>
      </c>
      <c r="E733" s="2">
        <v>930</v>
      </c>
      <c r="F733" s="2" t="s">
        <v>30</v>
      </c>
      <c r="G733" s="2" t="s">
        <v>4241</v>
      </c>
      <c r="H733" s="2" t="s">
        <v>4242</v>
      </c>
      <c r="I733" s="2" t="s">
        <v>4243</v>
      </c>
      <c r="J733" s="2" t="s">
        <v>34</v>
      </c>
      <c r="K733" s="2" t="s">
        <v>34</v>
      </c>
      <c r="L733" s="2" t="s">
        <v>4244</v>
      </c>
      <c r="M733" s="2" t="s">
        <v>34</v>
      </c>
      <c r="N733" s="2" t="s">
        <v>34</v>
      </c>
      <c r="O733" s="2" t="s">
        <v>34</v>
      </c>
      <c r="P733" s="2" t="s">
        <v>78</v>
      </c>
    </row>
    <row r="734" spans="1:16" x14ac:dyDescent="0.2">
      <c r="A734" s="2" t="s">
        <v>4245</v>
      </c>
      <c r="B734" s="2">
        <v>44</v>
      </c>
      <c r="C734" s="2">
        <v>2</v>
      </c>
      <c r="D734" s="2" t="s">
        <v>29</v>
      </c>
      <c r="E734" s="2">
        <v>821</v>
      </c>
      <c r="F734" s="2" t="s">
        <v>30</v>
      </c>
      <c r="G734" s="2" t="s">
        <v>1491</v>
      </c>
      <c r="H734" s="2" t="s">
        <v>4246</v>
      </c>
      <c r="I734" s="2" t="s">
        <v>4247</v>
      </c>
      <c r="J734" s="2" t="s">
        <v>34</v>
      </c>
      <c r="K734" s="2" t="s">
        <v>34</v>
      </c>
      <c r="L734" s="2" t="s">
        <v>4248</v>
      </c>
      <c r="M734" s="2" t="s">
        <v>34</v>
      </c>
      <c r="N734" s="2" t="s">
        <v>34</v>
      </c>
      <c r="O734" s="2" t="s">
        <v>34</v>
      </c>
      <c r="P734" s="2" t="s">
        <v>78</v>
      </c>
    </row>
    <row r="735" spans="1:16" x14ac:dyDescent="0.2">
      <c r="A735" s="2" t="s">
        <v>4249</v>
      </c>
      <c r="B735" s="2">
        <v>44</v>
      </c>
      <c r="C735" s="2">
        <v>3</v>
      </c>
      <c r="D735" s="2" t="s">
        <v>29</v>
      </c>
      <c r="E735" s="2">
        <v>957</v>
      </c>
      <c r="F735" s="2" t="s">
        <v>30</v>
      </c>
      <c r="G735" s="2" t="s">
        <v>518</v>
      </c>
      <c r="H735" s="2" t="s">
        <v>4250</v>
      </c>
      <c r="I735" s="2" t="s">
        <v>4251</v>
      </c>
      <c r="J735" s="2" t="s">
        <v>34</v>
      </c>
      <c r="K735" s="2" t="s">
        <v>34</v>
      </c>
      <c r="L735" s="2" t="s">
        <v>4252</v>
      </c>
      <c r="M735" s="2" t="s">
        <v>34</v>
      </c>
      <c r="N735" s="2" t="s">
        <v>34</v>
      </c>
      <c r="O735" s="2" t="s">
        <v>34</v>
      </c>
      <c r="P735" s="2" t="s">
        <v>36</v>
      </c>
    </row>
    <row r="736" spans="1:16" x14ac:dyDescent="0.2">
      <c r="A736" s="2" t="s">
        <v>4253</v>
      </c>
      <c r="B736" s="2">
        <v>44</v>
      </c>
      <c r="C736" s="2">
        <v>4</v>
      </c>
      <c r="D736" s="2" t="s">
        <v>29</v>
      </c>
      <c r="E736" s="2">
        <v>821</v>
      </c>
      <c r="F736" s="2" t="s">
        <v>30</v>
      </c>
      <c r="G736" s="2" t="s">
        <v>273</v>
      </c>
      <c r="H736" s="2" t="s">
        <v>4254</v>
      </c>
      <c r="I736" s="2" t="s">
        <v>4255</v>
      </c>
      <c r="J736" s="2" t="s">
        <v>34</v>
      </c>
      <c r="K736" s="2" t="s">
        <v>34</v>
      </c>
      <c r="L736" s="2" t="s">
        <v>4256</v>
      </c>
      <c r="M736" s="2" t="s">
        <v>34</v>
      </c>
      <c r="N736" s="2" t="s">
        <v>34</v>
      </c>
      <c r="O736" s="2" t="s">
        <v>34</v>
      </c>
      <c r="P736" s="2" t="s">
        <v>36</v>
      </c>
    </row>
    <row r="737" spans="1:16" x14ac:dyDescent="0.2">
      <c r="A737" s="2" t="s">
        <v>4257</v>
      </c>
      <c r="B737" s="2">
        <v>44</v>
      </c>
      <c r="C737" s="2">
        <v>5</v>
      </c>
      <c r="D737" s="2" t="s">
        <v>29</v>
      </c>
      <c r="E737" s="2">
        <v>828</v>
      </c>
      <c r="F737" s="2" t="s">
        <v>38</v>
      </c>
      <c r="G737" s="2" t="s">
        <v>600</v>
      </c>
      <c r="H737" s="2" t="s">
        <v>4258</v>
      </c>
      <c r="I737" s="2" t="s">
        <v>4259</v>
      </c>
      <c r="J737" s="2" t="s">
        <v>3776</v>
      </c>
      <c r="K737" s="3">
        <v>46380</v>
      </c>
      <c r="L737" s="2" t="s">
        <v>4260</v>
      </c>
      <c r="M737" s="2" t="s">
        <v>34</v>
      </c>
      <c r="N737" s="2" t="s">
        <v>34</v>
      </c>
      <c r="O737" s="2" t="s">
        <v>34</v>
      </c>
      <c r="P737" s="2" t="s">
        <v>36</v>
      </c>
    </row>
    <row r="738" spans="1:16" x14ac:dyDescent="0.2">
      <c r="A738" s="2" t="s">
        <v>4261</v>
      </c>
      <c r="B738" s="2">
        <v>44</v>
      </c>
      <c r="C738" s="2">
        <v>6</v>
      </c>
      <c r="D738" s="2" t="s">
        <v>29</v>
      </c>
      <c r="E738" s="2">
        <v>903</v>
      </c>
      <c r="F738" s="2" t="s">
        <v>30</v>
      </c>
      <c r="G738" s="2" t="s">
        <v>4262</v>
      </c>
      <c r="H738" s="2" t="s">
        <v>4263</v>
      </c>
      <c r="I738" s="2" t="s">
        <v>4264</v>
      </c>
      <c r="J738" s="2" t="s">
        <v>34</v>
      </c>
      <c r="K738" s="2" t="s">
        <v>34</v>
      </c>
      <c r="L738" s="2" t="s">
        <v>4265</v>
      </c>
      <c r="M738" s="2" t="s">
        <v>34</v>
      </c>
      <c r="N738" s="2" t="s">
        <v>4266</v>
      </c>
      <c r="O738" s="2" t="s">
        <v>34</v>
      </c>
      <c r="P738" s="2" t="s">
        <v>36</v>
      </c>
    </row>
    <row r="739" spans="1:16" x14ac:dyDescent="0.2">
      <c r="A739" s="2" t="s">
        <v>4267</v>
      </c>
      <c r="B739" s="2">
        <v>44</v>
      </c>
      <c r="C739" s="2">
        <v>7</v>
      </c>
      <c r="D739" s="2" t="s">
        <v>71</v>
      </c>
      <c r="E739" s="2">
        <v>1186</v>
      </c>
      <c r="F739" s="2" t="s">
        <v>30</v>
      </c>
      <c r="G739" s="2" t="s">
        <v>299</v>
      </c>
      <c r="H739" s="2" t="s">
        <v>4268</v>
      </c>
      <c r="I739" s="2" t="s">
        <v>4269</v>
      </c>
      <c r="J739" s="2" t="s">
        <v>34</v>
      </c>
      <c r="K739" s="2" t="s">
        <v>34</v>
      </c>
      <c r="L739" s="2" t="s">
        <v>4270</v>
      </c>
      <c r="M739" s="2" t="s">
        <v>34</v>
      </c>
      <c r="N739" s="2" t="s">
        <v>34</v>
      </c>
      <c r="O739" s="2" t="s">
        <v>34</v>
      </c>
      <c r="P739" s="2" t="s">
        <v>36</v>
      </c>
    </row>
    <row r="740" spans="1:16" x14ac:dyDescent="0.2">
      <c r="A740" s="2" t="s">
        <v>4271</v>
      </c>
      <c r="B740" s="2">
        <v>44</v>
      </c>
      <c r="C740" s="2">
        <v>8</v>
      </c>
      <c r="D740" s="2" t="s">
        <v>71</v>
      </c>
      <c r="E740" s="2">
        <v>1324</v>
      </c>
      <c r="F740" s="2" t="s">
        <v>38</v>
      </c>
      <c r="G740" s="2" t="s">
        <v>2371</v>
      </c>
      <c r="H740" s="2" t="s">
        <v>4272</v>
      </c>
      <c r="I740" s="2" t="s">
        <v>4273</v>
      </c>
      <c r="J740" s="2" t="s">
        <v>2420</v>
      </c>
      <c r="K740" s="3">
        <v>46370</v>
      </c>
      <c r="L740" s="2" t="s">
        <v>4274</v>
      </c>
      <c r="M740" s="2" t="s">
        <v>4275</v>
      </c>
      <c r="N740" s="2" t="s">
        <v>34</v>
      </c>
      <c r="O740" s="2" t="s">
        <v>34</v>
      </c>
      <c r="P740" s="2" t="s">
        <v>78</v>
      </c>
    </row>
    <row r="741" spans="1:16" x14ac:dyDescent="0.2">
      <c r="A741" s="2" t="s">
        <v>4276</v>
      </c>
      <c r="B741" s="2">
        <v>44</v>
      </c>
      <c r="C741" s="2">
        <v>9</v>
      </c>
      <c r="D741" s="2" t="s">
        <v>71</v>
      </c>
      <c r="E741" s="2">
        <v>1399</v>
      </c>
      <c r="F741" s="2" t="s">
        <v>38</v>
      </c>
      <c r="G741" s="2" t="s">
        <v>821</v>
      </c>
      <c r="H741" s="2" t="s">
        <v>4277</v>
      </c>
      <c r="I741" s="2" t="s">
        <v>4278</v>
      </c>
      <c r="J741" s="2" t="s">
        <v>577</v>
      </c>
      <c r="K741" s="3">
        <v>46384</v>
      </c>
      <c r="L741" s="2" t="s">
        <v>4279</v>
      </c>
      <c r="M741" s="2" t="s">
        <v>4280</v>
      </c>
      <c r="N741" s="2" t="s">
        <v>34</v>
      </c>
      <c r="O741" s="2" t="s">
        <v>34</v>
      </c>
      <c r="P741" s="2" t="s">
        <v>36</v>
      </c>
    </row>
    <row r="742" spans="1:16" x14ac:dyDescent="0.2">
      <c r="A742" s="2" t="s">
        <v>4281</v>
      </c>
      <c r="B742" s="2">
        <v>44</v>
      </c>
      <c r="C742" s="2">
        <v>10</v>
      </c>
      <c r="D742" s="2" t="s">
        <v>71</v>
      </c>
      <c r="E742" s="2">
        <v>1297</v>
      </c>
      <c r="F742" s="2" t="s">
        <v>30</v>
      </c>
      <c r="G742" s="2" t="s">
        <v>4282</v>
      </c>
      <c r="H742" s="2" t="s">
        <v>4283</v>
      </c>
      <c r="I742" s="2" t="s">
        <v>4284</v>
      </c>
      <c r="J742" s="2" t="s">
        <v>34</v>
      </c>
      <c r="K742" s="2" t="s">
        <v>34</v>
      </c>
      <c r="L742" s="2" t="s">
        <v>4285</v>
      </c>
      <c r="M742" s="2" t="s">
        <v>34</v>
      </c>
      <c r="N742" s="2" t="s">
        <v>34</v>
      </c>
      <c r="O742" s="2" t="s">
        <v>34</v>
      </c>
      <c r="P742" s="2" t="s">
        <v>36</v>
      </c>
    </row>
    <row r="743" spans="1:16" x14ac:dyDescent="0.2">
      <c r="A743" s="2" t="s">
        <v>4286</v>
      </c>
      <c r="B743" s="2">
        <v>44</v>
      </c>
      <c r="C743" s="2">
        <v>11</v>
      </c>
      <c r="D743" s="2" t="s">
        <v>71</v>
      </c>
      <c r="E743" s="2">
        <v>1206</v>
      </c>
      <c r="F743" s="2" t="s">
        <v>30</v>
      </c>
      <c r="G743" s="2" t="s">
        <v>1296</v>
      </c>
      <c r="H743" s="2" t="s">
        <v>4287</v>
      </c>
      <c r="I743" s="2" t="s">
        <v>4288</v>
      </c>
      <c r="J743" s="2" t="s">
        <v>34</v>
      </c>
      <c r="K743" s="2" t="s">
        <v>34</v>
      </c>
      <c r="L743" s="2" t="s">
        <v>4289</v>
      </c>
      <c r="M743" s="2" t="s">
        <v>34</v>
      </c>
      <c r="N743" s="2" t="s">
        <v>34</v>
      </c>
      <c r="O743" s="2" t="s">
        <v>34</v>
      </c>
      <c r="P743" s="2" t="s">
        <v>36</v>
      </c>
    </row>
    <row r="744" spans="1:16" x14ac:dyDescent="0.2">
      <c r="A744" s="2" t="s">
        <v>4290</v>
      </c>
      <c r="B744" s="2">
        <v>44</v>
      </c>
      <c r="C744" s="2">
        <v>12</v>
      </c>
      <c r="D744" s="2" t="s">
        <v>71</v>
      </c>
      <c r="E744" s="2">
        <v>1441</v>
      </c>
      <c r="F744" s="2" t="s">
        <v>30</v>
      </c>
      <c r="G744" s="2" t="s">
        <v>4060</v>
      </c>
      <c r="H744" s="2" t="s">
        <v>4291</v>
      </c>
      <c r="I744" s="2" t="s">
        <v>4292</v>
      </c>
      <c r="J744" s="2" t="s">
        <v>34</v>
      </c>
      <c r="K744" s="2" t="s">
        <v>34</v>
      </c>
      <c r="L744" s="2" t="s">
        <v>4293</v>
      </c>
      <c r="M744" s="2" t="s">
        <v>4294</v>
      </c>
      <c r="N744" s="2" t="s">
        <v>34</v>
      </c>
      <c r="O744" s="2" t="s">
        <v>34</v>
      </c>
      <c r="P744" s="2" t="s">
        <v>36</v>
      </c>
    </row>
    <row r="745" spans="1:16" x14ac:dyDescent="0.2">
      <c r="A745" s="2" t="s">
        <v>4295</v>
      </c>
      <c r="B745" s="2">
        <v>44</v>
      </c>
      <c r="C745" s="2">
        <v>13</v>
      </c>
      <c r="D745" s="2" t="s">
        <v>113</v>
      </c>
      <c r="E745" s="2">
        <v>1698</v>
      </c>
      <c r="F745" s="2" t="s">
        <v>30</v>
      </c>
      <c r="G745" s="2" t="s">
        <v>4296</v>
      </c>
      <c r="H745" s="2" t="s">
        <v>4297</v>
      </c>
      <c r="I745" s="2" t="s">
        <v>4298</v>
      </c>
      <c r="J745" s="2" t="s">
        <v>34</v>
      </c>
      <c r="K745" s="2" t="s">
        <v>34</v>
      </c>
      <c r="L745" s="2" t="s">
        <v>4299</v>
      </c>
      <c r="M745" s="2" t="s">
        <v>34</v>
      </c>
      <c r="N745" s="2" t="s">
        <v>34</v>
      </c>
      <c r="O745" s="2" t="s">
        <v>34</v>
      </c>
      <c r="P745" s="2" t="s">
        <v>36</v>
      </c>
    </row>
    <row r="746" spans="1:16" x14ac:dyDescent="0.2">
      <c r="A746" s="2" t="s">
        <v>4300</v>
      </c>
      <c r="B746" s="2">
        <v>44</v>
      </c>
      <c r="C746" s="2">
        <v>14</v>
      </c>
      <c r="D746" s="2" t="s">
        <v>113</v>
      </c>
      <c r="E746" s="2">
        <v>2091</v>
      </c>
      <c r="F746" s="2" t="s">
        <v>30</v>
      </c>
      <c r="G746" s="2" t="s">
        <v>321</v>
      </c>
      <c r="H746" s="2" t="s">
        <v>4301</v>
      </c>
      <c r="I746" s="2" t="s">
        <v>4302</v>
      </c>
      <c r="J746" s="2" t="s">
        <v>34</v>
      </c>
      <c r="K746" s="2" t="s">
        <v>34</v>
      </c>
      <c r="L746" s="2" t="s">
        <v>4303</v>
      </c>
      <c r="M746" s="2" t="s">
        <v>4304</v>
      </c>
      <c r="N746" s="2" t="s">
        <v>4305</v>
      </c>
      <c r="O746" s="2" t="s">
        <v>34</v>
      </c>
      <c r="P746" s="2" t="s">
        <v>36</v>
      </c>
    </row>
    <row r="747" spans="1:16" x14ac:dyDescent="0.2">
      <c r="A747" s="2" t="s">
        <v>4306</v>
      </c>
      <c r="B747" s="2">
        <v>44</v>
      </c>
      <c r="C747" s="2">
        <v>15</v>
      </c>
      <c r="D747" s="2" t="s">
        <v>113</v>
      </c>
      <c r="E747" s="2">
        <v>1989</v>
      </c>
      <c r="F747" s="2" t="s">
        <v>38</v>
      </c>
      <c r="G747" s="2" t="s">
        <v>1940</v>
      </c>
      <c r="H747" s="2" t="s">
        <v>4307</v>
      </c>
      <c r="I747" s="2" t="s">
        <v>4308</v>
      </c>
      <c r="J747" s="2" t="s">
        <v>1127</v>
      </c>
      <c r="K747" s="3">
        <v>46384</v>
      </c>
      <c r="L747" s="2" t="s">
        <v>4309</v>
      </c>
      <c r="M747" s="2" t="s">
        <v>4310</v>
      </c>
      <c r="N747" s="2" t="s">
        <v>34</v>
      </c>
      <c r="O747" s="2" t="s">
        <v>34</v>
      </c>
      <c r="P747" s="2" t="s">
        <v>36</v>
      </c>
    </row>
    <row r="748" spans="1:16" x14ac:dyDescent="0.2">
      <c r="A748" s="2" t="s">
        <v>4311</v>
      </c>
      <c r="B748" s="2">
        <v>44</v>
      </c>
      <c r="C748" s="2">
        <v>16</v>
      </c>
      <c r="D748" s="2" t="s">
        <v>113</v>
      </c>
      <c r="E748" s="2">
        <v>1758</v>
      </c>
      <c r="F748" s="2" t="s">
        <v>30</v>
      </c>
      <c r="G748" s="2" t="s">
        <v>3627</v>
      </c>
      <c r="H748" s="2" t="s">
        <v>4312</v>
      </c>
      <c r="I748" s="2" t="s">
        <v>4313</v>
      </c>
      <c r="J748" s="2" t="s">
        <v>34</v>
      </c>
      <c r="K748" s="2" t="s">
        <v>34</v>
      </c>
      <c r="L748" s="2" t="s">
        <v>4314</v>
      </c>
      <c r="M748" s="2" t="s">
        <v>4315</v>
      </c>
      <c r="N748" s="2" t="s">
        <v>34</v>
      </c>
      <c r="O748" s="2" t="s">
        <v>34</v>
      </c>
      <c r="P748" s="2" t="s">
        <v>78</v>
      </c>
    </row>
    <row r="749" spans="1:16" x14ac:dyDescent="0.2">
      <c r="A749" s="2" t="s">
        <v>4316</v>
      </c>
      <c r="B749" s="2">
        <v>44</v>
      </c>
      <c r="C749" s="2">
        <v>17</v>
      </c>
      <c r="D749" s="2" t="s">
        <v>144</v>
      </c>
      <c r="E749" s="2">
        <v>3002</v>
      </c>
      <c r="F749" s="2" t="s">
        <v>30</v>
      </c>
      <c r="G749" s="2" t="s">
        <v>867</v>
      </c>
      <c r="H749" s="2" t="s">
        <v>4317</v>
      </c>
      <c r="I749" s="2" t="s">
        <v>4318</v>
      </c>
      <c r="J749" s="2" t="s">
        <v>34</v>
      </c>
      <c r="K749" s="2" t="s">
        <v>34</v>
      </c>
      <c r="L749" s="2" t="s">
        <v>4319</v>
      </c>
      <c r="M749" s="2" t="s">
        <v>4320</v>
      </c>
      <c r="N749" s="2" t="s">
        <v>34</v>
      </c>
      <c r="O749" s="2" t="s">
        <v>34</v>
      </c>
      <c r="P749" s="2" t="s">
        <v>36</v>
      </c>
    </row>
    <row r="750" spans="1:16" x14ac:dyDescent="0.2">
      <c r="A750" s="2" t="s">
        <v>4321</v>
      </c>
      <c r="B750" s="2">
        <v>45</v>
      </c>
      <c r="C750" s="2">
        <v>1</v>
      </c>
      <c r="D750" s="2" t="s">
        <v>29</v>
      </c>
      <c r="E750" s="2">
        <v>859</v>
      </c>
      <c r="F750" s="2" t="s">
        <v>30</v>
      </c>
      <c r="G750" s="2" t="s">
        <v>4322</v>
      </c>
      <c r="H750" s="2" t="s">
        <v>4323</v>
      </c>
      <c r="I750" s="2" t="s">
        <v>4324</v>
      </c>
      <c r="J750" s="2" t="s">
        <v>34</v>
      </c>
      <c r="K750" s="2" t="s">
        <v>34</v>
      </c>
      <c r="L750" s="2" t="s">
        <v>4325</v>
      </c>
      <c r="M750" s="2" t="s">
        <v>34</v>
      </c>
      <c r="N750" s="2" t="s">
        <v>34</v>
      </c>
      <c r="O750" s="2" t="s">
        <v>34</v>
      </c>
      <c r="P750" s="2" t="s">
        <v>36</v>
      </c>
    </row>
    <row r="751" spans="1:16" x14ac:dyDescent="0.2">
      <c r="A751" s="2" t="s">
        <v>4326</v>
      </c>
      <c r="B751" s="2">
        <v>45</v>
      </c>
      <c r="C751" s="2">
        <v>2</v>
      </c>
      <c r="D751" s="2" t="s">
        <v>29</v>
      </c>
      <c r="E751" s="2">
        <v>963</v>
      </c>
      <c r="F751" s="2" t="s">
        <v>30</v>
      </c>
      <c r="G751" s="2" t="s">
        <v>1411</v>
      </c>
      <c r="H751" s="2" t="s">
        <v>4327</v>
      </c>
      <c r="I751" s="2" t="s">
        <v>4328</v>
      </c>
      <c r="J751" s="2" t="s">
        <v>34</v>
      </c>
      <c r="K751" s="2" t="s">
        <v>34</v>
      </c>
      <c r="L751" s="2" t="s">
        <v>4329</v>
      </c>
      <c r="M751" s="2" t="s">
        <v>34</v>
      </c>
      <c r="N751" s="2" t="s">
        <v>34</v>
      </c>
      <c r="O751" s="2" t="s">
        <v>34</v>
      </c>
      <c r="P751" s="2" t="s">
        <v>36</v>
      </c>
    </row>
    <row r="752" spans="1:16" x14ac:dyDescent="0.2">
      <c r="A752" s="2" t="s">
        <v>4330</v>
      </c>
      <c r="B752" s="2">
        <v>45</v>
      </c>
      <c r="C752" s="2">
        <v>3</v>
      </c>
      <c r="D752" s="2" t="s">
        <v>29</v>
      </c>
      <c r="E752" s="2">
        <v>954</v>
      </c>
      <c r="F752" s="2" t="s">
        <v>30</v>
      </c>
      <c r="G752" s="2" t="s">
        <v>2840</v>
      </c>
      <c r="H752" s="2" t="s">
        <v>4331</v>
      </c>
      <c r="I752" s="2" t="s">
        <v>4332</v>
      </c>
      <c r="J752" s="2" t="s">
        <v>34</v>
      </c>
      <c r="K752" s="2" t="s">
        <v>34</v>
      </c>
      <c r="L752" s="2" t="s">
        <v>4333</v>
      </c>
      <c r="M752" s="2" t="s">
        <v>34</v>
      </c>
      <c r="N752" s="2" t="s">
        <v>34</v>
      </c>
      <c r="O752" s="2" t="s">
        <v>34</v>
      </c>
      <c r="P752" s="2" t="s">
        <v>78</v>
      </c>
    </row>
    <row r="753" spans="1:16" x14ac:dyDescent="0.2">
      <c r="A753" s="2" t="s">
        <v>4334</v>
      </c>
      <c r="B753" s="2">
        <v>45</v>
      </c>
      <c r="C753" s="2">
        <v>4</v>
      </c>
      <c r="D753" s="2" t="s">
        <v>29</v>
      </c>
      <c r="E753" s="2">
        <v>835</v>
      </c>
      <c r="F753" s="2" t="s">
        <v>38</v>
      </c>
      <c r="G753" s="2" t="s">
        <v>3332</v>
      </c>
      <c r="H753" s="2" t="s">
        <v>4335</v>
      </c>
      <c r="I753" s="2" t="s">
        <v>4336</v>
      </c>
      <c r="J753" s="2" t="s">
        <v>4337</v>
      </c>
      <c r="K753" s="3">
        <v>46351</v>
      </c>
      <c r="L753" s="2" t="s">
        <v>4338</v>
      </c>
      <c r="M753" s="2" t="s">
        <v>34</v>
      </c>
      <c r="N753" s="2" t="s">
        <v>34</v>
      </c>
      <c r="O753" s="2" t="s">
        <v>34</v>
      </c>
      <c r="P753" s="2" t="s">
        <v>36</v>
      </c>
    </row>
    <row r="754" spans="1:16" x14ac:dyDescent="0.2">
      <c r="A754" s="2" t="s">
        <v>4339</v>
      </c>
      <c r="B754" s="2">
        <v>45</v>
      </c>
      <c r="C754" s="2">
        <v>5</v>
      </c>
      <c r="D754" s="2" t="s">
        <v>29</v>
      </c>
      <c r="E754" s="2">
        <v>922</v>
      </c>
      <c r="F754" s="2" t="s">
        <v>30</v>
      </c>
      <c r="G754" s="2" t="s">
        <v>1474</v>
      </c>
      <c r="H754" s="2" t="s">
        <v>4340</v>
      </c>
      <c r="I754" s="2" t="s">
        <v>4341</v>
      </c>
      <c r="J754" s="2" t="s">
        <v>34</v>
      </c>
      <c r="K754" s="2" t="s">
        <v>34</v>
      </c>
      <c r="L754" s="2" t="s">
        <v>4342</v>
      </c>
      <c r="M754" s="2" t="s">
        <v>34</v>
      </c>
      <c r="N754" s="2" t="s">
        <v>34</v>
      </c>
      <c r="O754" s="2" t="s">
        <v>34</v>
      </c>
      <c r="P754" s="2" t="s">
        <v>36</v>
      </c>
    </row>
    <row r="755" spans="1:16" x14ac:dyDescent="0.2">
      <c r="A755" s="2" t="s">
        <v>4343</v>
      </c>
      <c r="B755" s="2">
        <v>45</v>
      </c>
      <c r="C755" s="2">
        <v>6</v>
      </c>
      <c r="D755" s="2" t="s">
        <v>29</v>
      </c>
      <c r="E755" s="2">
        <v>951</v>
      </c>
      <c r="F755" s="2" t="s">
        <v>30</v>
      </c>
      <c r="G755" s="2" t="s">
        <v>4344</v>
      </c>
      <c r="H755" s="2" t="s">
        <v>4345</v>
      </c>
      <c r="I755" s="2" t="s">
        <v>4346</v>
      </c>
      <c r="J755" s="2" t="s">
        <v>34</v>
      </c>
      <c r="K755" s="2" t="s">
        <v>34</v>
      </c>
      <c r="L755" s="2" t="s">
        <v>4347</v>
      </c>
      <c r="M755" s="2" t="s">
        <v>34</v>
      </c>
      <c r="N755" s="2" t="s">
        <v>34</v>
      </c>
      <c r="O755" s="2" t="s">
        <v>34</v>
      </c>
      <c r="P755" s="2" t="s">
        <v>36</v>
      </c>
    </row>
    <row r="756" spans="1:16" x14ac:dyDescent="0.2">
      <c r="A756" s="2" t="s">
        <v>4348</v>
      </c>
      <c r="B756" s="2">
        <v>45</v>
      </c>
      <c r="C756" s="2">
        <v>7</v>
      </c>
      <c r="D756" s="2" t="s">
        <v>71</v>
      </c>
      <c r="E756" s="2">
        <v>1267</v>
      </c>
      <c r="F756" s="2" t="s">
        <v>30</v>
      </c>
      <c r="G756" s="2" t="s">
        <v>4349</v>
      </c>
      <c r="H756" s="2" t="s">
        <v>4350</v>
      </c>
      <c r="I756" s="2" t="s">
        <v>4351</v>
      </c>
      <c r="J756" s="2" t="s">
        <v>34</v>
      </c>
      <c r="K756" s="2" t="s">
        <v>34</v>
      </c>
      <c r="L756" s="2" t="s">
        <v>4352</v>
      </c>
      <c r="M756" s="2" t="s">
        <v>34</v>
      </c>
      <c r="N756" s="2" t="s">
        <v>34</v>
      </c>
      <c r="O756" s="2" t="s">
        <v>34</v>
      </c>
      <c r="P756" s="2" t="s">
        <v>36</v>
      </c>
    </row>
    <row r="757" spans="1:16" x14ac:dyDescent="0.2">
      <c r="A757" s="2" t="s">
        <v>4353</v>
      </c>
      <c r="B757" s="2">
        <v>45</v>
      </c>
      <c r="C757" s="2">
        <v>8</v>
      </c>
      <c r="D757" s="2" t="s">
        <v>71</v>
      </c>
      <c r="E757" s="2">
        <v>1318</v>
      </c>
      <c r="F757" s="2" t="s">
        <v>38</v>
      </c>
      <c r="G757" s="2" t="s">
        <v>391</v>
      </c>
      <c r="H757" s="2" t="s">
        <v>4354</v>
      </c>
      <c r="I757" s="2" t="s">
        <v>4355</v>
      </c>
      <c r="J757" s="2" t="s">
        <v>3807</v>
      </c>
      <c r="K757" s="3">
        <v>46145</v>
      </c>
      <c r="L757" s="2" t="s">
        <v>4356</v>
      </c>
      <c r="M757" s="2" t="s">
        <v>4357</v>
      </c>
      <c r="N757" s="2" t="s">
        <v>34</v>
      </c>
      <c r="O757" s="2" t="s">
        <v>34</v>
      </c>
      <c r="P757" s="2" t="s">
        <v>36</v>
      </c>
    </row>
    <row r="758" spans="1:16" x14ac:dyDescent="0.2">
      <c r="A758" s="2" t="s">
        <v>4358</v>
      </c>
      <c r="B758" s="2">
        <v>45</v>
      </c>
      <c r="C758" s="2">
        <v>9</v>
      </c>
      <c r="D758" s="2" t="s">
        <v>71</v>
      </c>
      <c r="E758" s="2">
        <v>1461</v>
      </c>
      <c r="F758" s="2" t="s">
        <v>30</v>
      </c>
      <c r="G758" s="2" t="s">
        <v>4054</v>
      </c>
      <c r="H758" s="2" t="s">
        <v>4359</v>
      </c>
      <c r="I758" s="2" t="s">
        <v>4360</v>
      </c>
      <c r="J758" s="2" t="s">
        <v>34</v>
      </c>
      <c r="K758" s="2" t="s">
        <v>34</v>
      </c>
      <c r="L758" s="2" t="s">
        <v>4361</v>
      </c>
      <c r="M758" s="2" t="s">
        <v>4362</v>
      </c>
      <c r="N758" s="2" t="s">
        <v>4363</v>
      </c>
      <c r="O758" s="2" t="s">
        <v>34</v>
      </c>
      <c r="P758" s="2" t="s">
        <v>78</v>
      </c>
    </row>
    <row r="759" spans="1:16" x14ac:dyDescent="0.2">
      <c r="A759" s="2" t="s">
        <v>4364</v>
      </c>
      <c r="B759" s="2">
        <v>45</v>
      </c>
      <c r="C759" s="2">
        <v>10</v>
      </c>
      <c r="D759" s="2" t="s">
        <v>71</v>
      </c>
      <c r="E759" s="2">
        <v>1292</v>
      </c>
      <c r="F759" s="2" t="s">
        <v>30</v>
      </c>
      <c r="G759" s="2" t="s">
        <v>4124</v>
      </c>
      <c r="H759" s="2" t="s">
        <v>4365</v>
      </c>
      <c r="I759" s="2" t="s">
        <v>4366</v>
      </c>
      <c r="J759" s="2" t="s">
        <v>34</v>
      </c>
      <c r="K759" s="2" t="s">
        <v>34</v>
      </c>
      <c r="L759" s="2" t="s">
        <v>4367</v>
      </c>
      <c r="M759" s="2" t="s">
        <v>34</v>
      </c>
      <c r="N759" s="2" t="s">
        <v>34</v>
      </c>
      <c r="O759" s="2" t="s">
        <v>34</v>
      </c>
      <c r="P759" s="2" t="s">
        <v>78</v>
      </c>
    </row>
    <row r="760" spans="1:16" x14ac:dyDescent="0.2">
      <c r="A760" s="2" t="s">
        <v>4368</v>
      </c>
      <c r="B760" s="2">
        <v>45</v>
      </c>
      <c r="C760" s="2">
        <v>11</v>
      </c>
      <c r="D760" s="2" t="s">
        <v>71</v>
      </c>
      <c r="E760" s="2">
        <v>1234</v>
      </c>
      <c r="F760" s="2" t="s">
        <v>30</v>
      </c>
      <c r="G760" s="2" t="s">
        <v>983</v>
      </c>
      <c r="H760" s="2" t="s">
        <v>4369</v>
      </c>
      <c r="I760" s="2" t="s">
        <v>4370</v>
      </c>
      <c r="J760" s="2" t="s">
        <v>34</v>
      </c>
      <c r="K760" s="2" t="s">
        <v>34</v>
      </c>
      <c r="L760" s="2" t="s">
        <v>4371</v>
      </c>
      <c r="M760" s="2" t="s">
        <v>34</v>
      </c>
      <c r="N760" s="2" t="s">
        <v>34</v>
      </c>
      <c r="O760" s="2" t="s">
        <v>34</v>
      </c>
      <c r="P760" s="2" t="s">
        <v>36</v>
      </c>
    </row>
    <row r="761" spans="1:16" x14ac:dyDescent="0.2">
      <c r="A761" s="2" t="s">
        <v>4372</v>
      </c>
      <c r="B761" s="2">
        <v>45</v>
      </c>
      <c r="C761" s="2">
        <v>12</v>
      </c>
      <c r="D761" s="2" t="s">
        <v>71</v>
      </c>
      <c r="E761" s="2">
        <v>1317</v>
      </c>
      <c r="F761" s="2" t="s">
        <v>30</v>
      </c>
      <c r="G761" s="2" t="s">
        <v>1062</v>
      </c>
      <c r="H761" s="2" t="s">
        <v>4373</v>
      </c>
      <c r="I761" s="2" t="s">
        <v>4374</v>
      </c>
      <c r="J761" s="2" t="s">
        <v>34</v>
      </c>
      <c r="K761" s="2" t="s">
        <v>34</v>
      </c>
      <c r="L761" s="2" t="s">
        <v>4375</v>
      </c>
      <c r="M761" s="2" t="s">
        <v>4376</v>
      </c>
      <c r="N761" s="2" t="s">
        <v>34</v>
      </c>
      <c r="O761" s="2" t="s">
        <v>34</v>
      </c>
      <c r="P761" s="2" t="s">
        <v>36</v>
      </c>
    </row>
    <row r="762" spans="1:16" x14ac:dyDescent="0.2">
      <c r="A762" s="2" t="s">
        <v>4377</v>
      </c>
      <c r="B762" s="2">
        <v>45</v>
      </c>
      <c r="C762" s="2">
        <v>13</v>
      </c>
      <c r="D762" s="2" t="s">
        <v>113</v>
      </c>
      <c r="E762" s="2">
        <v>1801</v>
      </c>
      <c r="F762" s="2" t="s">
        <v>30</v>
      </c>
      <c r="G762" s="2" t="s">
        <v>4378</v>
      </c>
      <c r="H762" s="2" t="s">
        <v>4379</v>
      </c>
      <c r="I762" s="2" t="s">
        <v>4380</v>
      </c>
      <c r="J762" s="2" t="s">
        <v>34</v>
      </c>
      <c r="K762" s="2" t="s">
        <v>34</v>
      </c>
      <c r="L762" s="2" t="s">
        <v>4381</v>
      </c>
      <c r="M762" s="2" t="s">
        <v>4382</v>
      </c>
      <c r="N762" s="2" t="s">
        <v>34</v>
      </c>
      <c r="O762" s="2" t="s">
        <v>34</v>
      </c>
      <c r="P762" s="2" t="s">
        <v>36</v>
      </c>
    </row>
    <row r="763" spans="1:16" x14ac:dyDescent="0.2">
      <c r="A763" s="2" t="s">
        <v>4383</v>
      </c>
      <c r="B763" s="2">
        <v>45</v>
      </c>
      <c r="C763" s="2">
        <v>14</v>
      </c>
      <c r="D763" s="2" t="s">
        <v>113</v>
      </c>
      <c r="E763" s="2">
        <v>1938</v>
      </c>
      <c r="F763" s="2" t="s">
        <v>30</v>
      </c>
      <c r="G763" s="2" t="s">
        <v>2665</v>
      </c>
      <c r="H763" s="2" t="s">
        <v>4384</v>
      </c>
      <c r="I763" s="2" t="s">
        <v>4385</v>
      </c>
      <c r="J763" s="2" t="s">
        <v>34</v>
      </c>
      <c r="K763" s="2" t="s">
        <v>34</v>
      </c>
      <c r="L763" s="2" t="s">
        <v>4386</v>
      </c>
      <c r="M763" s="2" t="s">
        <v>34</v>
      </c>
      <c r="N763" s="2" t="s">
        <v>34</v>
      </c>
      <c r="O763" s="2" t="s">
        <v>34</v>
      </c>
      <c r="P763" s="2" t="s">
        <v>36</v>
      </c>
    </row>
    <row r="764" spans="1:16" x14ac:dyDescent="0.2">
      <c r="A764" s="2" t="s">
        <v>4387</v>
      </c>
      <c r="B764" s="2">
        <v>45</v>
      </c>
      <c r="C764" s="2">
        <v>15</v>
      </c>
      <c r="D764" s="2" t="s">
        <v>113</v>
      </c>
      <c r="E764" s="2">
        <v>2086</v>
      </c>
      <c r="F764" s="2" t="s">
        <v>30</v>
      </c>
      <c r="G764" s="2" t="s">
        <v>4098</v>
      </c>
      <c r="H764" s="2" t="s">
        <v>4388</v>
      </c>
      <c r="I764" s="2" t="s">
        <v>4389</v>
      </c>
      <c r="J764" s="2" t="s">
        <v>34</v>
      </c>
      <c r="K764" s="2" t="s">
        <v>34</v>
      </c>
      <c r="L764" s="2" t="s">
        <v>4390</v>
      </c>
      <c r="M764" s="2" t="s">
        <v>4391</v>
      </c>
      <c r="N764" s="2" t="s">
        <v>34</v>
      </c>
      <c r="O764" s="2" t="s">
        <v>34</v>
      </c>
      <c r="P764" s="2" t="s">
        <v>36</v>
      </c>
    </row>
    <row r="765" spans="1:16" x14ac:dyDescent="0.2">
      <c r="A765" s="2" t="s">
        <v>4392</v>
      </c>
      <c r="B765" s="2">
        <v>45</v>
      </c>
      <c r="C765" s="2">
        <v>16</v>
      </c>
      <c r="D765" s="2" t="s">
        <v>113</v>
      </c>
      <c r="E765" s="2">
        <v>1752</v>
      </c>
      <c r="F765" s="2" t="s">
        <v>30</v>
      </c>
      <c r="G765" s="2" t="s">
        <v>2313</v>
      </c>
      <c r="H765" s="2" t="s">
        <v>4393</v>
      </c>
      <c r="I765" s="2" t="s">
        <v>4394</v>
      </c>
      <c r="J765" s="2" t="s">
        <v>34</v>
      </c>
      <c r="K765" s="2" t="s">
        <v>34</v>
      </c>
      <c r="L765" s="2" t="s">
        <v>4395</v>
      </c>
      <c r="M765" s="2" t="s">
        <v>4396</v>
      </c>
      <c r="N765" s="2" t="s">
        <v>34</v>
      </c>
      <c r="O765" s="2" t="s">
        <v>34</v>
      </c>
      <c r="P765" s="2" t="s">
        <v>78</v>
      </c>
    </row>
    <row r="766" spans="1:16" x14ac:dyDescent="0.2">
      <c r="A766" s="2" t="s">
        <v>4397</v>
      </c>
      <c r="B766" s="2">
        <v>45</v>
      </c>
      <c r="C766" s="2">
        <v>17</v>
      </c>
      <c r="D766" s="2" t="s">
        <v>144</v>
      </c>
      <c r="E766" s="2">
        <v>3348</v>
      </c>
      <c r="F766" s="2" t="s">
        <v>30</v>
      </c>
      <c r="G766" s="2" t="s">
        <v>849</v>
      </c>
      <c r="H766" s="2" t="s">
        <v>4398</v>
      </c>
      <c r="I766" s="2" t="s">
        <v>4399</v>
      </c>
      <c r="J766" s="2" t="s">
        <v>34</v>
      </c>
      <c r="K766" s="2" t="s">
        <v>34</v>
      </c>
      <c r="L766" s="2" t="s">
        <v>4400</v>
      </c>
      <c r="M766" s="2" t="s">
        <v>4401</v>
      </c>
      <c r="N766" s="2" t="s">
        <v>34</v>
      </c>
      <c r="O766" s="2" t="s">
        <v>34</v>
      </c>
      <c r="P766" s="2" t="s">
        <v>36</v>
      </c>
    </row>
    <row r="767" spans="1:16" x14ac:dyDescent="0.2">
      <c r="A767" s="2" t="s">
        <v>4402</v>
      </c>
      <c r="B767" s="2">
        <v>46</v>
      </c>
      <c r="C767" s="2">
        <v>1</v>
      </c>
      <c r="D767" s="2" t="s">
        <v>29</v>
      </c>
      <c r="E767" s="2">
        <v>906</v>
      </c>
      <c r="F767" s="2" t="s">
        <v>30</v>
      </c>
      <c r="G767" s="2" t="s">
        <v>4403</v>
      </c>
      <c r="H767" s="2" t="s">
        <v>4404</v>
      </c>
      <c r="I767" s="2" t="s">
        <v>4405</v>
      </c>
      <c r="J767" s="2" t="s">
        <v>34</v>
      </c>
      <c r="K767" s="2" t="s">
        <v>34</v>
      </c>
      <c r="L767" s="2" t="s">
        <v>4406</v>
      </c>
      <c r="M767" s="2" t="s">
        <v>34</v>
      </c>
      <c r="N767" s="2" t="s">
        <v>34</v>
      </c>
      <c r="O767" s="2" t="s">
        <v>34</v>
      </c>
      <c r="P767" s="2" t="s">
        <v>36</v>
      </c>
    </row>
    <row r="768" spans="1:16" x14ac:dyDescent="0.2">
      <c r="A768" s="2" t="s">
        <v>4407</v>
      </c>
      <c r="B768" s="2">
        <v>46</v>
      </c>
      <c r="C768" s="2">
        <v>2</v>
      </c>
      <c r="D768" s="2" t="s">
        <v>29</v>
      </c>
      <c r="E768" s="2">
        <v>904</v>
      </c>
      <c r="F768" s="2" t="s">
        <v>30</v>
      </c>
      <c r="G768" s="2" t="s">
        <v>4322</v>
      </c>
      <c r="H768" s="2" t="s">
        <v>4408</v>
      </c>
      <c r="I768" s="2" t="s">
        <v>4409</v>
      </c>
      <c r="J768" s="2" t="s">
        <v>34</v>
      </c>
      <c r="K768" s="2" t="s">
        <v>34</v>
      </c>
      <c r="L768" s="2" t="s">
        <v>4410</v>
      </c>
      <c r="M768" s="2" t="s">
        <v>34</v>
      </c>
      <c r="N768" s="2" t="s">
        <v>34</v>
      </c>
      <c r="O768" s="2" t="s">
        <v>34</v>
      </c>
      <c r="P768" s="2" t="s">
        <v>36</v>
      </c>
    </row>
    <row r="769" spans="1:16" x14ac:dyDescent="0.2">
      <c r="A769" s="2" t="s">
        <v>4411</v>
      </c>
      <c r="B769" s="2">
        <v>46</v>
      </c>
      <c r="C769" s="2">
        <v>3</v>
      </c>
      <c r="D769" s="2" t="s">
        <v>29</v>
      </c>
      <c r="E769" s="2">
        <v>831</v>
      </c>
      <c r="F769" s="2" t="s">
        <v>30</v>
      </c>
      <c r="G769" s="2" t="s">
        <v>4412</v>
      </c>
      <c r="H769" s="2" t="s">
        <v>4413</v>
      </c>
      <c r="I769" s="2" t="s">
        <v>4414</v>
      </c>
      <c r="J769" s="2" t="s">
        <v>34</v>
      </c>
      <c r="K769" s="2" t="s">
        <v>34</v>
      </c>
      <c r="L769" s="2" t="s">
        <v>4415</v>
      </c>
      <c r="M769" s="2" t="s">
        <v>34</v>
      </c>
      <c r="N769" s="2" t="s">
        <v>34</v>
      </c>
      <c r="O769" s="2" t="s">
        <v>34</v>
      </c>
      <c r="P769" s="2" t="s">
        <v>78</v>
      </c>
    </row>
    <row r="770" spans="1:16" x14ac:dyDescent="0.2">
      <c r="A770" s="2" t="s">
        <v>4416</v>
      </c>
      <c r="B770" s="2">
        <v>46</v>
      </c>
      <c r="C770" s="2">
        <v>4</v>
      </c>
      <c r="D770" s="2" t="s">
        <v>29</v>
      </c>
      <c r="E770" s="2">
        <v>826</v>
      </c>
      <c r="F770" s="2" t="s">
        <v>30</v>
      </c>
      <c r="G770" s="2" t="s">
        <v>2571</v>
      </c>
      <c r="H770" s="2" t="s">
        <v>4417</v>
      </c>
      <c r="I770" s="2" t="s">
        <v>4418</v>
      </c>
      <c r="J770" s="2" t="s">
        <v>34</v>
      </c>
      <c r="K770" s="2" t="s">
        <v>34</v>
      </c>
      <c r="L770" s="2" t="s">
        <v>4419</v>
      </c>
      <c r="M770" s="2" t="s">
        <v>34</v>
      </c>
      <c r="N770" s="2" t="s">
        <v>34</v>
      </c>
      <c r="O770" s="2" t="s">
        <v>34</v>
      </c>
      <c r="P770" s="2" t="s">
        <v>78</v>
      </c>
    </row>
    <row r="771" spans="1:16" x14ac:dyDescent="0.2">
      <c r="A771" s="2" t="s">
        <v>4420</v>
      </c>
      <c r="B771" s="2">
        <v>46</v>
      </c>
      <c r="C771" s="2">
        <v>5</v>
      </c>
      <c r="D771" s="2" t="s">
        <v>29</v>
      </c>
      <c r="E771" s="2">
        <v>918</v>
      </c>
      <c r="F771" s="2" t="s">
        <v>38</v>
      </c>
      <c r="G771" s="2" t="s">
        <v>3327</v>
      </c>
      <c r="H771" s="2" t="s">
        <v>4421</v>
      </c>
      <c r="I771" s="2" t="s">
        <v>4422</v>
      </c>
      <c r="J771" s="2" t="s">
        <v>385</v>
      </c>
      <c r="K771" s="3">
        <v>46174</v>
      </c>
      <c r="L771" s="2" t="s">
        <v>4423</v>
      </c>
      <c r="M771" s="2" t="s">
        <v>34</v>
      </c>
      <c r="N771" s="2" t="s">
        <v>34</v>
      </c>
      <c r="O771" s="2" t="s">
        <v>34</v>
      </c>
      <c r="P771" s="2" t="s">
        <v>36</v>
      </c>
    </row>
    <row r="772" spans="1:16" x14ac:dyDescent="0.2">
      <c r="A772" s="2" t="s">
        <v>4424</v>
      </c>
      <c r="B772" s="2">
        <v>46</v>
      </c>
      <c r="C772" s="2">
        <v>6</v>
      </c>
      <c r="D772" s="2" t="s">
        <v>29</v>
      </c>
      <c r="E772" s="2">
        <v>841</v>
      </c>
      <c r="F772" s="2" t="s">
        <v>30</v>
      </c>
      <c r="G772" s="2" t="s">
        <v>704</v>
      </c>
      <c r="H772" s="2" t="s">
        <v>4425</v>
      </c>
      <c r="I772" s="2" t="s">
        <v>4426</v>
      </c>
      <c r="J772" s="2" t="s">
        <v>34</v>
      </c>
      <c r="K772" s="2" t="s">
        <v>34</v>
      </c>
      <c r="L772" s="2" t="s">
        <v>4427</v>
      </c>
      <c r="M772" s="2" t="s">
        <v>34</v>
      </c>
      <c r="N772" s="2" t="s">
        <v>34</v>
      </c>
      <c r="O772" s="2" t="s">
        <v>34</v>
      </c>
      <c r="P772" s="2" t="s">
        <v>36</v>
      </c>
    </row>
    <row r="773" spans="1:16" x14ac:dyDescent="0.2">
      <c r="A773" s="2" t="s">
        <v>4428</v>
      </c>
      <c r="B773" s="2">
        <v>46</v>
      </c>
      <c r="C773" s="2">
        <v>7</v>
      </c>
      <c r="D773" s="2" t="s">
        <v>71</v>
      </c>
      <c r="E773" s="2">
        <v>1499</v>
      </c>
      <c r="F773" s="2" t="s">
        <v>38</v>
      </c>
      <c r="G773" s="2" t="s">
        <v>2016</v>
      </c>
      <c r="H773" s="2" t="s">
        <v>4429</v>
      </c>
      <c r="I773" s="2" t="s">
        <v>4430</v>
      </c>
      <c r="J773" s="2" t="s">
        <v>2926</v>
      </c>
      <c r="K773" s="3">
        <v>46283</v>
      </c>
      <c r="L773" s="2" t="s">
        <v>4431</v>
      </c>
      <c r="M773" s="2" t="s">
        <v>34</v>
      </c>
      <c r="N773" s="2" t="s">
        <v>34</v>
      </c>
      <c r="O773" s="2" t="s">
        <v>34</v>
      </c>
      <c r="P773" s="2" t="s">
        <v>36</v>
      </c>
    </row>
    <row r="774" spans="1:16" x14ac:dyDescent="0.2">
      <c r="A774" s="2" t="s">
        <v>4432</v>
      </c>
      <c r="B774" s="2">
        <v>46</v>
      </c>
      <c r="C774" s="2">
        <v>8</v>
      </c>
      <c r="D774" s="2" t="s">
        <v>71</v>
      </c>
      <c r="E774" s="2">
        <v>1256</v>
      </c>
      <c r="F774" s="2" t="s">
        <v>30</v>
      </c>
      <c r="G774" s="2" t="s">
        <v>1912</v>
      </c>
      <c r="H774" s="2" t="s">
        <v>4433</v>
      </c>
      <c r="I774" s="2" t="s">
        <v>4434</v>
      </c>
      <c r="J774" s="2" t="s">
        <v>34</v>
      </c>
      <c r="K774" s="2" t="s">
        <v>34</v>
      </c>
      <c r="L774" s="2" t="s">
        <v>4435</v>
      </c>
      <c r="M774" s="2" t="s">
        <v>34</v>
      </c>
      <c r="N774" s="2" t="s">
        <v>34</v>
      </c>
      <c r="O774" s="2" t="s">
        <v>34</v>
      </c>
      <c r="P774" s="2" t="s">
        <v>78</v>
      </c>
    </row>
    <row r="775" spans="1:16" x14ac:dyDescent="0.2">
      <c r="A775" s="2" t="s">
        <v>4436</v>
      </c>
      <c r="B775" s="2">
        <v>46</v>
      </c>
      <c r="C775" s="2">
        <v>9</v>
      </c>
      <c r="D775" s="2" t="s">
        <v>71</v>
      </c>
      <c r="E775" s="2">
        <v>1475</v>
      </c>
      <c r="F775" s="2" t="s">
        <v>30</v>
      </c>
      <c r="G775" s="2" t="s">
        <v>966</v>
      </c>
      <c r="H775" s="2" t="s">
        <v>4437</v>
      </c>
      <c r="I775" s="2" t="s">
        <v>4438</v>
      </c>
      <c r="J775" s="2" t="s">
        <v>34</v>
      </c>
      <c r="K775" s="2" t="s">
        <v>34</v>
      </c>
      <c r="L775" s="2" t="s">
        <v>4439</v>
      </c>
      <c r="M775" s="2" t="s">
        <v>4440</v>
      </c>
      <c r="N775" s="2" t="s">
        <v>34</v>
      </c>
      <c r="O775" s="2" t="s">
        <v>34</v>
      </c>
      <c r="P775" s="2" t="s">
        <v>36</v>
      </c>
    </row>
    <row r="776" spans="1:16" x14ac:dyDescent="0.2">
      <c r="A776" s="2" t="s">
        <v>4441</v>
      </c>
      <c r="B776" s="2">
        <v>46</v>
      </c>
      <c r="C776" s="2">
        <v>10</v>
      </c>
      <c r="D776" s="2" t="s">
        <v>71</v>
      </c>
      <c r="E776" s="2">
        <v>1426</v>
      </c>
      <c r="F776" s="2" t="s">
        <v>38</v>
      </c>
      <c r="G776" s="2" t="s">
        <v>966</v>
      </c>
      <c r="H776" s="2" t="s">
        <v>4442</v>
      </c>
      <c r="I776" s="2" t="s">
        <v>4443</v>
      </c>
      <c r="J776" s="2" t="s">
        <v>594</v>
      </c>
      <c r="K776" s="3">
        <v>46227</v>
      </c>
      <c r="L776" s="2" t="s">
        <v>4444</v>
      </c>
      <c r="M776" s="2" t="s">
        <v>4445</v>
      </c>
      <c r="N776" s="2" t="s">
        <v>34</v>
      </c>
      <c r="O776" s="2" t="s">
        <v>34</v>
      </c>
      <c r="P776" s="2" t="s">
        <v>36</v>
      </c>
    </row>
    <row r="777" spans="1:16" x14ac:dyDescent="0.2">
      <c r="A777" s="2" t="s">
        <v>4446</v>
      </c>
      <c r="B777" s="2">
        <v>46</v>
      </c>
      <c r="C777" s="2">
        <v>11</v>
      </c>
      <c r="D777" s="2" t="s">
        <v>71</v>
      </c>
      <c r="E777" s="2">
        <v>1454</v>
      </c>
      <c r="F777" s="2" t="s">
        <v>30</v>
      </c>
      <c r="G777" s="2" t="s">
        <v>3745</v>
      </c>
      <c r="H777" s="2" t="s">
        <v>4447</v>
      </c>
      <c r="I777" s="2" t="s">
        <v>4448</v>
      </c>
      <c r="J777" s="2" t="s">
        <v>34</v>
      </c>
      <c r="K777" s="2" t="s">
        <v>34</v>
      </c>
      <c r="L777" s="2" t="s">
        <v>4449</v>
      </c>
      <c r="M777" s="2" t="s">
        <v>4450</v>
      </c>
      <c r="N777" s="2" t="s">
        <v>34</v>
      </c>
      <c r="O777" s="2" t="s">
        <v>34</v>
      </c>
      <c r="P777" s="2" t="s">
        <v>78</v>
      </c>
    </row>
    <row r="778" spans="1:16" x14ac:dyDescent="0.2">
      <c r="A778" s="2" t="s">
        <v>4451</v>
      </c>
      <c r="B778" s="2">
        <v>46</v>
      </c>
      <c r="C778" s="2">
        <v>12</v>
      </c>
      <c r="D778" s="2" t="s">
        <v>71</v>
      </c>
      <c r="E778" s="2">
        <v>1224</v>
      </c>
      <c r="F778" s="2" t="s">
        <v>30</v>
      </c>
      <c r="G778" s="2" t="s">
        <v>2406</v>
      </c>
      <c r="H778" s="2" t="s">
        <v>4452</v>
      </c>
      <c r="I778" s="2" t="s">
        <v>4453</v>
      </c>
      <c r="J778" s="2" t="s">
        <v>34</v>
      </c>
      <c r="K778" s="2" t="s">
        <v>34</v>
      </c>
      <c r="L778" s="2" t="s">
        <v>4454</v>
      </c>
      <c r="M778" s="2" t="s">
        <v>4455</v>
      </c>
      <c r="N778" s="2" t="s">
        <v>34</v>
      </c>
      <c r="O778" s="2" t="s">
        <v>34</v>
      </c>
      <c r="P778" s="2" t="s">
        <v>36</v>
      </c>
    </row>
    <row r="779" spans="1:16" x14ac:dyDescent="0.2">
      <c r="A779" s="2" t="s">
        <v>4456</v>
      </c>
      <c r="B779" s="2">
        <v>46</v>
      </c>
      <c r="C779" s="2">
        <v>13</v>
      </c>
      <c r="D779" s="2" t="s">
        <v>113</v>
      </c>
      <c r="E779" s="2">
        <v>2007</v>
      </c>
      <c r="F779" s="2" t="s">
        <v>38</v>
      </c>
      <c r="G779" s="2" t="s">
        <v>1062</v>
      </c>
      <c r="H779" s="2" t="s">
        <v>4457</v>
      </c>
      <c r="I779" s="2" t="s">
        <v>4458</v>
      </c>
      <c r="J779" s="2" t="s">
        <v>1963</v>
      </c>
      <c r="K779" s="3">
        <v>46259</v>
      </c>
      <c r="L779" s="2" t="s">
        <v>4459</v>
      </c>
      <c r="M779" s="2" t="s">
        <v>4460</v>
      </c>
      <c r="N779" s="2" t="s">
        <v>34</v>
      </c>
      <c r="O779" s="2" t="s">
        <v>34</v>
      </c>
      <c r="P779" s="2" t="s">
        <v>78</v>
      </c>
    </row>
    <row r="780" spans="1:16" x14ac:dyDescent="0.2">
      <c r="A780" s="2" t="s">
        <v>4461</v>
      </c>
      <c r="B780" s="2">
        <v>46</v>
      </c>
      <c r="C780" s="2">
        <v>14</v>
      </c>
      <c r="D780" s="2" t="s">
        <v>113</v>
      </c>
      <c r="E780" s="2">
        <v>1865</v>
      </c>
      <c r="F780" s="2" t="s">
        <v>30</v>
      </c>
      <c r="G780" s="2" t="s">
        <v>331</v>
      </c>
      <c r="H780" s="2" t="s">
        <v>4462</v>
      </c>
      <c r="I780" s="2" t="s">
        <v>4463</v>
      </c>
      <c r="J780" s="2" t="s">
        <v>34</v>
      </c>
      <c r="K780" s="2" t="s">
        <v>34</v>
      </c>
      <c r="L780" s="2" t="s">
        <v>4464</v>
      </c>
      <c r="M780" s="2" t="s">
        <v>34</v>
      </c>
      <c r="N780" s="2" t="s">
        <v>34</v>
      </c>
      <c r="O780" s="2" t="s">
        <v>34</v>
      </c>
      <c r="P780" s="2" t="s">
        <v>36</v>
      </c>
    </row>
    <row r="781" spans="1:16" x14ac:dyDescent="0.2">
      <c r="A781" s="2" t="s">
        <v>4465</v>
      </c>
      <c r="B781" s="2">
        <v>46</v>
      </c>
      <c r="C781" s="2">
        <v>15</v>
      </c>
      <c r="D781" s="2" t="s">
        <v>113</v>
      </c>
      <c r="E781" s="2">
        <v>2030</v>
      </c>
      <c r="F781" s="2" t="s">
        <v>38</v>
      </c>
      <c r="G781" s="2" t="s">
        <v>4466</v>
      </c>
      <c r="H781" s="2" t="s">
        <v>4467</v>
      </c>
      <c r="I781" s="2" t="s">
        <v>4468</v>
      </c>
      <c r="J781" s="2" t="s">
        <v>2247</v>
      </c>
      <c r="K781" s="3">
        <v>46400</v>
      </c>
      <c r="L781" s="2" t="s">
        <v>4469</v>
      </c>
      <c r="M781" s="2" t="s">
        <v>4470</v>
      </c>
      <c r="N781" s="2" t="s">
        <v>34</v>
      </c>
      <c r="O781" s="2" t="s">
        <v>34</v>
      </c>
      <c r="P781" s="2" t="s">
        <v>36</v>
      </c>
    </row>
    <row r="782" spans="1:16" x14ac:dyDescent="0.2">
      <c r="A782" s="2" t="s">
        <v>4471</v>
      </c>
      <c r="B782" s="2">
        <v>46</v>
      </c>
      <c r="C782" s="2">
        <v>16</v>
      </c>
      <c r="D782" s="2" t="s">
        <v>113</v>
      </c>
      <c r="E782" s="2">
        <v>2076</v>
      </c>
      <c r="F782" s="2" t="s">
        <v>38</v>
      </c>
      <c r="G782" s="2" t="s">
        <v>1387</v>
      </c>
      <c r="H782" s="2" t="s">
        <v>4472</v>
      </c>
      <c r="I782" s="2" t="s">
        <v>4473</v>
      </c>
      <c r="J782" s="2" t="s">
        <v>2420</v>
      </c>
      <c r="K782" s="3">
        <v>46374</v>
      </c>
      <c r="L782" s="2" t="s">
        <v>4474</v>
      </c>
      <c r="M782" s="2" t="s">
        <v>4475</v>
      </c>
      <c r="N782" s="2" t="s">
        <v>34</v>
      </c>
      <c r="O782" s="2" t="s">
        <v>34</v>
      </c>
      <c r="P782" s="2" t="s">
        <v>36</v>
      </c>
    </row>
    <row r="783" spans="1:16" x14ac:dyDescent="0.2">
      <c r="A783" s="2" t="s">
        <v>4476</v>
      </c>
      <c r="B783" s="2">
        <v>46</v>
      </c>
      <c r="C783" s="2">
        <v>17</v>
      </c>
      <c r="D783" s="2" t="s">
        <v>144</v>
      </c>
      <c r="E783" s="2">
        <v>3119</v>
      </c>
      <c r="F783" s="2" t="s">
        <v>30</v>
      </c>
      <c r="G783" s="2" t="s">
        <v>345</v>
      </c>
      <c r="H783" s="2" t="s">
        <v>4477</v>
      </c>
      <c r="I783" s="2" t="s">
        <v>4478</v>
      </c>
      <c r="J783" s="2" t="s">
        <v>34</v>
      </c>
      <c r="K783" s="2" t="s">
        <v>34</v>
      </c>
      <c r="L783" s="2" t="s">
        <v>4479</v>
      </c>
      <c r="M783" s="2" t="s">
        <v>4480</v>
      </c>
      <c r="N783" s="2" t="s">
        <v>34</v>
      </c>
      <c r="O783" s="2" t="s">
        <v>34</v>
      </c>
      <c r="P783" s="2" t="s">
        <v>36</v>
      </c>
    </row>
    <row r="784" spans="1:16" x14ac:dyDescent="0.2">
      <c r="A784" s="2" t="s">
        <v>4481</v>
      </c>
      <c r="B784" s="2">
        <v>47</v>
      </c>
      <c r="C784" s="2">
        <v>1</v>
      </c>
      <c r="D784" s="2" t="s">
        <v>29</v>
      </c>
      <c r="E784" s="2">
        <v>928</v>
      </c>
      <c r="F784" s="2" t="s">
        <v>30</v>
      </c>
      <c r="G784" s="2" t="s">
        <v>549</v>
      </c>
      <c r="H784" s="2" t="s">
        <v>4482</v>
      </c>
      <c r="I784" s="2" t="s">
        <v>4483</v>
      </c>
      <c r="J784" s="2" t="s">
        <v>34</v>
      </c>
      <c r="K784" s="2" t="s">
        <v>34</v>
      </c>
      <c r="L784" s="2" t="s">
        <v>4484</v>
      </c>
      <c r="M784" s="2" t="s">
        <v>34</v>
      </c>
      <c r="N784" s="2" t="s">
        <v>34</v>
      </c>
      <c r="O784" s="2" t="s">
        <v>34</v>
      </c>
      <c r="P784" s="2" t="s">
        <v>36</v>
      </c>
    </row>
    <row r="785" spans="1:16" x14ac:dyDescent="0.2">
      <c r="A785" s="2" t="s">
        <v>4485</v>
      </c>
      <c r="B785" s="2">
        <v>47</v>
      </c>
      <c r="C785" s="2">
        <v>2</v>
      </c>
      <c r="D785" s="2" t="s">
        <v>29</v>
      </c>
      <c r="E785" s="2">
        <v>843</v>
      </c>
      <c r="F785" s="2" t="s">
        <v>38</v>
      </c>
      <c r="G785" s="2" t="s">
        <v>707</v>
      </c>
      <c r="H785" s="2" t="s">
        <v>4486</v>
      </c>
      <c r="I785" s="2" t="s">
        <v>4487</v>
      </c>
      <c r="J785" s="2" t="s">
        <v>3802</v>
      </c>
      <c r="K785" s="3">
        <v>46310</v>
      </c>
      <c r="L785" s="2" t="s">
        <v>4488</v>
      </c>
      <c r="M785" s="2" t="s">
        <v>34</v>
      </c>
      <c r="N785" s="2" t="s">
        <v>34</v>
      </c>
      <c r="O785" s="2" t="s">
        <v>34</v>
      </c>
      <c r="P785" s="2" t="s">
        <v>78</v>
      </c>
    </row>
    <row r="786" spans="1:16" x14ac:dyDescent="0.2">
      <c r="A786" s="2" t="s">
        <v>4489</v>
      </c>
      <c r="B786" s="2">
        <v>47</v>
      </c>
      <c r="C786" s="2">
        <v>3</v>
      </c>
      <c r="D786" s="2" t="s">
        <v>29</v>
      </c>
      <c r="E786" s="2">
        <v>974</v>
      </c>
      <c r="F786" s="2" t="s">
        <v>30</v>
      </c>
      <c r="G786" s="2" t="s">
        <v>4098</v>
      </c>
      <c r="H786" s="2" t="s">
        <v>4490</v>
      </c>
      <c r="I786" s="2" t="s">
        <v>4491</v>
      </c>
      <c r="J786" s="2" t="s">
        <v>34</v>
      </c>
      <c r="K786" s="2" t="s">
        <v>34</v>
      </c>
      <c r="L786" s="2" t="s">
        <v>4492</v>
      </c>
      <c r="M786" s="2" t="s">
        <v>34</v>
      </c>
      <c r="N786" s="2" t="s">
        <v>34</v>
      </c>
      <c r="O786" s="2" t="s">
        <v>34</v>
      </c>
      <c r="P786" s="2" t="s">
        <v>36</v>
      </c>
    </row>
    <row r="787" spans="1:16" x14ac:dyDescent="0.2">
      <c r="A787" s="2" t="s">
        <v>4493</v>
      </c>
      <c r="B787" s="2">
        <v>47</v>
      </c>
      <c r="C787" s="2">
        <v>4</v>
      </c>
      <c r="D787" s="2" t="s">
        <v>29</v>
      </c>
      <c r="E787" s="2">
        <v>915</v>
      </c>
      <c r="F787" s="2" t="s">
        <v>30</v>
      </c>
      <c r="G787" s="2" t="s">
        <v>1661</v>
      </c>
      <c r="H787" s="2" t="s">
        <v>4494</v>
      </c>
      <c r="I787" s="2" t="s">
        <v>4495</v>
      </c>
      <c r="J787" s="2" t="s">
        <v>34</v>
      </c>
      <c r="K787" s="2" t="s">
        <v>34</v>
      </c>
      <c r="L787" s="2" t="s">
        <v>4496</v>
      </c>
      <c r="M787" s="2" t="s">
        <v>34</v>
      </c>
      <c r="N787" s="2" t="s">
        <v>34</v>
      </c>
      <c r="O787" s="2" t="s">
        <v>34</v>
      </c>
      <c r="P787" s="2" t="s">
        <v>36</v>
      </c>
    </row>
    <row r="788" spans="1:16" x14ac:dyDescent="0.2">
      <c r="A788" s="2" t="s">
        <v>4497</v>
      </c>
      <c r="B788" s="2">
        <v>47</v>
      </c>
      <c r="C788" s="2">
        <v>5</v>
      </c>
      <c r="D788" s="2" t="s">
        <v>29</v>
      </c>
      <c r="E788" s="2">
        <v>905</v>
      </c>
      <c r="F788" s="2" t="s">
        <v>30</v>
      </c>
      <c r="G788" s="2" t="s">
        <v>1661</v>
      </c>
      <c r="H788" s="2" t="s">
        <v>4498</v>
      </c>
      <c r="I788" s="2" t="s">
        <v>4499</v>
      </c>
      <c r="J788" s="2" t="s">
        <v>34</v>
      </c>
      <c r="K788" s="2" t="s">
        <v>34</v>
      </c>
      <c r="L788" s="2" t="s">
        <v>4500</v>
      </c>
      <c r="M788" s="2" t="s">
        <v>34</v>
      </c>
      <c r="N788" s="2" t="s">
        <v>34</v>
      </c>
      <c r="O788" s="2" t="s">
        <v>34</v>
      </c>
      <c r="P788" s="2" t="s">
        <v>36</v>
      </c>
    </row>
    <row r="789" spans="1:16" x14ac:dyDescent="0.2">
      <c r="A789" s="2" t="s">
        <v>4501</v>
      </c>
      <c r="B789" s="2">
        <v>47</v>
      </c>
      <c r="C789" s="2">
        <v>6</v>
      </c>
      <c r="D789" s="2" t="s">
        <v>29</v>
      </c>
      <c r="E789" s="2">
        <v>899</v>
      </c>
      <c r="F789" s="2" t="s">
        <v>38</v>
      </c>
      <c r="G789" s="2" t="s">
        <v>4502</v>
      </c>
      <c r="H789" s="2" t="s">
        <v>4503</v>
      </c>
      <c r="I789" s="2" t="s">
        <v>4504</v>
      </c>
      <c r="J789" s="2" t="s">
        <v>2536</v>
      </c>
      <c r="K789" s="3">
        <v>46396</v>
      </c>
      <c r="L789" s="2" t="s">
        <v>4505</v>
      </c>
      <c r="M789" s="2" t="s">
        <v>34</v>
      </c>
      <c r="N789" s="2" t="s">
        <v>34</v>
      </c>
      <c r="O789" s="2" t="s">
        <v>34</v>
      </c>
      <c r="P789" s="2" t="s">
        <v>78</v>
      </c>
    </row>
    <row r="790" spans="1:16" x14ac:dyDescent="0.2">
      <c r="A790" s="2" t="s">
        <v>4506</v>
      </c>
      <c r="B790" s="2">
        <v>47</v>
      </c>
      <c r="C790" s="2">
        <v>7</v>
      </c>
      <c r="D790" s="2" t="s">
        <v>71</v>
      </c>
      <c r="E790" s="2">
        <v>1204</v>
      </c>
      <c r="F790" s="2" t="s">
        <v>38</v>
      </c>
      <c r="G790" s="2" t="s">
        <v>3320</v>
      </c>
      <c r="H790" s="2" t="s">
        <v>4507</v>
      </c>
      <c r="I790" s="2" t="s">
        <v>4508</v>
      </c>
      <c r="J790" s="2" t="s">
        <v>4509</v>
      </c>
      <c r="K790" s="3">
        <v>46321</v>
      </c>
      <c r="L790" s="2" t="s">
        <v>4510</v>
      </c>
      <c r="M790" s="2" t="s">
        <v>4511</v>
      </c>
      <c r="N790" s="2" t="s">
        <v>34</v>
      </c>
      <c r="O790" s="2" t="s">
        <v>34</v>
      </c>
      <c r="P790" s="2" t="s">
        <v>36</v>
      </c>
    </row>
    <row r="791" spans="1:16" x14ac:dyDescent="0.2">
      <c r="A791" s="2" t="s">
        <v>4512</v>
      </c>
      <c r="B791" s="2">
        <v>47</v>
      </c>
      <c r="C791" s="2">
        <v>8</v>
      </c>
      <c r="D791" s="2" t="s">
        <v>71</v>
      </c>
      <c r="E791" s="2">
        <v>1229</v>
      </c>
      <c r="F791" s="2" t="s">
        <v>38</v>
      </c>
      <c r="G791" s="2" t="s">
        <v>4513</v>
      </c>
      <c r="H791" s="2" t="s">
        <v>4514</v>
      </c>
      <c r="I791" s="2" t="s">
        <v>4515</v>
      </c>
      <c r="J791" s="2" t="s">
        <v>3686</v>
      </c>
      <c r="K791" s="3">
        <v>46489</v>
      </c>
      <c r="L791" s="2" t="s">
        <v>4516</v>
      </c>
      <c r="M791" s="2" t="s">
        <v>4517</v>
      </c>
      <c r="N791" s="2" t="s">
        <v>34</v>
      </c>
      <c r="O791" s="2" t="s">
        <v>34</v>
      </c>
      <c r="P791" s="2" t="s">
        <v>36</v>
      </c>
    </row>
    <row r="792" spans="1:16" x14ac:dyDescent="0.2">
      <c r="A792" s="2" t="s">
        <v>4518</v>
      </c>
      <c r="B792" s="2">
        <v>47</v>
      </c>
      <c r="C792" s="2">
        <v>9</v>
      </c>
      <c r="D792" s="2" t="s">
        <v>71</v>
      </c>
      <c r="E792" s="2">
        <v>1328</v>
      </c>
      <c r="F792" s="2" t="s">
        <v>38</v>
      </c>
      <c r="G792" s="2" t="s">
        <v>4519</v>
      </c>
      <c r="H792" s="2" t="s">
        <v>4520</v>
      </c>
      <c r="I792" s="2" t="s">
        <v>4521</v>
      </c>
      <c r="J792" s="2" t="s">
        <v>193</v>
      </c>
      <c r="K792" s="3">
        <v>46462</v>
      </c>
      <c r="L792" s="2" t="s">
        <v>4522</v>
      </c>
      <c r="M792" s="2" t="s">
        <v>34</v>
      </c>
      <c r="N792" s="2" t="s">
        <v>34</v>
      </c>
      <c r="O792" s="2" t="s">
        <v>34</v>
      </c>
      <c r="P792" s="2" t="s">
        <v>36</v>
      </c>
    </row>
    <row r="793" spans="1:16" x14ac:dyDescent="0.2">
      <c r="A793" s="2" t="s">
        <v>4523</v>
      </c>
      <c r="B793" s="2">
        <v>47</v>
      </c>
      <c r="C793" s="2">
        <v>10</v>
      </c>
      <c r="D793" s="2" t="s">
        <v>71</v>
      </c>
      <c r="E793" s="2">
        <v>1436</v>
      </c>
      <c r="F793" s="2" t="s">
        <v>30</v>
      </c>
      <c r="G793" s="2" t="s">
        <v>2031</v>
      </c>
      <c r="H793" s="2" t="s">
        <v>4524</v>
      </c>
      <c r="I793" s="2" t="s">
        <v>4525</v>
      </c>
      <c r="J793" s="2" t="s">
        <v>34</v>
      </c>
      <c r="K793" s="2" t="s">
        <v>34</v>
      </c>
      <c r="L793" s="2" t="s">
        <v>4526</v>
      </c>
      <c r="M793" s="2" t="s">
        <v>4527</v>
      </c>
      <c r="N793" s="2" t="s">
        <v>34</v>
      </c>
      <c r="O793" s="2" t="s">
        <v>34</v>
      </c>
      <c r="P793" s="2" t="s">
        <v>36</v>
      </c>
    </row>
    <row r="794" spans="1:16" x14ac:dyDescent="0.2">
      <c r="A794" s="2" t="s">
        <v>4528</v>
      </c>
      <c r="B794" s="2">
        <v>47</v>
      </c>
      <c r="C794" s="2">
        <v>11</v>
      </c>
      <c r="D794" s="2" t="s">
        <v>71</v>
      </c>
      <c r="E794" s="2">
        <v>1499</v>
      </c>
      <c r="F794" s="2" t="s">
        <v>38</v>
      </c>
      <c r="G794" s="2" t="s">
        <v>4529</v>
      </c>
      <c r="H794" s="2" t="s">
        <v>4530</v>
      </c>
      <c r="I794" s="2" t="s">
        <v>4531</v>
      </c>
      <c r="J794" s="2" t="s">
        <v>4532</v>
      </c>
      <c r="K794" s="3">
        <v>46234</v>
      </c>
      <c r="L794" s="2" t="s">
        <v>4533</v>
      </c>
      <c r="M794" s="2" t="s">
        <v>34</v>
      </c>
      <c r="N794" s="2" t="s">
        <v>34</v>
      </c>
      <c r="O794" s="2" t="s">
        <v>34</v>
      </c>
      <c r="P794" s="2" t="s">
        <v>36</v>
      </c>
    </row>
    <row r="795" spans="1:16" x14ac:dyDescent="0.2">
      <c r="A795" s="2" t="s">
        <v>4534</v>
      </c>
      <c r="B795" s="2">
        <v>47</v>
      </c>
      <c r="C795" s="2">
        <v>12</v>
      </c>
      <c r="D795" s="2" t="s">
        <v>71</v>
      </c>
      <c r="E795" s="2">
        <v>1229</v>
      </c>
      <c r="F795" s="2" t="s">
        <v>38</v>
      </c>
      <c r="G795" s="2" t="s">
        <v>4535</v>
      </c>
      <c r="H795" s="2" t="s">
        <v>4536</v>
      </c>
      <c r="I795" s="2" t="s">
        <v>4537</v>
      </c>
      <c r="J795" s="2" t="s">
        <v>2293</v>
      </c>
      <c r="K795" s="3">
        <v>46487</v>
      </c>
      <c r="L795" s="2" t="s">
        <v>4538</v>
      </c>
      <c r="M795" s="2" t="s">
        <v>4539</v>
      </c>
      <c r="N795" s="2" t="s">
        <v>34</v>
      </c>
      <c r="O795" s="2" t="s">
        <v>34</v>
      </c>
      <c r="P795" s="2" t="s">
        <v>36</v>
      </c>
    </row>
    <row r="796" spans="1:16" x14ac:dyDescent="0.2">
      <c r="A796" s="2" t="s">
        <v>4540</v>
      </c>
      <c r="B796" s="2">
        <v>47</v>
      </c>
      <c r="C796" s="2">
        <v>13</v>
      </c>
      <c r="D796" s="2" t="s">
        <v>113</v>
      </c>
      <c r="E796" s="2">
        <v>1719</v>
      </c>
      <c r="F796" s="2" t="s">
        <v>30</v>
      </c>
      <c r="G796" s="2" t="s">
        <v>1706</v>
      </c>
      <c r="H796" s="2" t="s">
        <v>4541</v>
      </c>
      <c r="I796" s="2" t="s">
        <v>4542</v>
      </c>
      <c r="J796" s="2" t="s">
        <v>34</v>
      </c>
      <c r="K796" s="2" t="s">
        <v>34</v>
      </c>
      <c r="L796" s="2" t="s">
        <v>4543</v>
      </c>
      <c r="M796" s="2" t="s">
        <v>4544</v>
      </c>
      <c r="N796" s="2" t="s">
        <v>34</v>
      </c>
      <c r="O796" s="2" t="s">
        <v>34</v>
      </c>
      <c r="P796" s="2" t="s">
        <v>36</v>
      </c>
    </row>
    <row r="797" spans="1:16" x14ac:dyDescent="0.2">
      <c r="A797" s="2" t="s">
        <v>4545</v>
      </c>
      <c r="B797" s="2">
        <v>47</v>
      </c>
      <c r="C797" s="2">
        <v>14</v>
      </c>
      <c r="D797" s="2" t="s">
        <v>113</v>
      </c>
      <c r="E797" s="2">
        <v>2102</v>
      </c>
      <c r="F797" s="2" t="s">
        <v>38</v>
      </c>
      <c r="G797" s="2" t="s">
        <v>4546</v>
      </c>
      <c r="H797" s="2" t="s">
        <v>4547</v>
      </c>
      <c r="I797" s="2" t="s">
        <v>4548</v>
      </c>
      <c r="J797" s="2" t="s">
        <v>556</v>
      </c>
      <c r="K797" s="3">
        <v>46284</v>
      </c>
      <c r="L797" s="2" t="s">
        <v>4549</v>
      </c>
      <c r="M797" s="2" t="s">
        <v>4550</v>
      </c>
      <c r="N797" s="2" t="s">
        <v>34</v>
      </c>
      <c r="O797" s="2" t="s">
        <v>34</v>
      </c>
      <c r="P797" s="2" t="s">
        <v>78</v>
      </c>
    </row>
    <row r="798" spans="1:16" x14ac:dyDescent="0.2">
      <c r="A798" s="2" t="s">
        <v>4551</v>
      </c>
      <c r="B798" s="2">
        <v>47</v>
      </c>
      <c r="C798" s="2">
        <v>15</v>
      </c>
      <c r="D798" s="2" t="s">
        <v>113</v>
      </c>
      <c r="E798" s="2">
        <v>2025</v>
      </c>
      <c r="F798" s="2" t="s">
        <v>38</v>
      </c>
      <c r="G798" s="2" t="s">
        <v>2034</v>
      </c>
      <c r="H798" s="2" t="s">
        <v>4552</v>
      </c>
      <c r="I798" s="2" t="s">
        <v>4553</v>
      </c>
      <c r="J798" s="2" t="s">
        <v>4554</v>
      </c>
      <c r="K798" s="3">
        <v>46321</v>
      </c>
      <c r="L798" s="2" t="s">
        <v>4555</v>
      </c>
      <c r="M798" s="2" t="s">
        <v>4556</v>
      </c>
      <c r="N798" s="2" t="s">
        <v>34</v>
      </c>
      <c r="O798" s="2" t="s">
        <v>34</v>
      </c>
      <c r="P798" s="2" t="s">
        <v>78</v>
      </c>
    </row>
    <row r="799" spans="1:16" x14ac:dyDescent="0.2">
      <c r="A799" s="2" t="s">
        <v>4557</v>
      </c>
      <c r="B799" s="2">
        <v>47</v>
      </c>
      <c r="C799" s="2">
        <v>16</v>
      </c>
      <c r="D799" s="2" t="s">
        <v>113</v>
      </c>
      <c r="E799" s="2">
        <v>1708</v>
      </c>
      <c r="F799" s="2" t="s">
        <v>38</v>
      </c>
      <c r="G799" s="2" t="s">
        <v>4558</v>
      </c>
      <c r="H799" s="2" t="s">
        <v>4559</v>
      </c>
      <c r="I799" s="2" t="s">
        <v>4560</v>
      </c>
      <c r="J799" s="2" t="s">
        <v>168</v>
      </c>
      <c r="K799" s="3">
        <v>46164</v>
      </c>
      <c r="L799" s="2" t="s">
        <v>4561</v>
      </c>
      <c r="M799" s="2" t="s">
        <v>4562</v>
      </c>
      <c r="N799" s="2" t="s">
        <v>34</v>
      </c>
      <c r="O799" s="2" t="s">
        <v>34</v>
      </c>
      <c r="P799" s="2" t="s">
        <v>78</v>
      </c>
    </row>
    <row r="800" spans="1:16" x14ac:dyDescent="0.2">
      <c r="A800" s="2" t="s">
        <v>4563</v>
      </c>
      <c r="B800" s="2">
        <v>47</v>
      </c>
      <c r="C800" s="2">
        <v>17</v>
      </c>
      <c r="D800" s="2" t="s">
        <v>144</v>
      </c>
      <c r="E800" s="2">
        <v>4170</v>
      </c>
      <c r="F800" s="2" t="s">
        <v>30</v>
      </c>
      <c r="G800" s="2" t="s">
        <v>196</v>
      </c>
      <c r="H800" s="2" t="s">
        <v>4564</v>
      </c>
      <c r="I800" s="2" t="s">
        <v>4565</v>
      </c>
      <c r="J800" s="2" t="s">
        <v>34</v>
      </c>
      <c r="K800" s="2" t="s">
        <v>34</v>
      </c>
      <c r="L800" s="2" t="s">
        <v>4566</v>
      </c>
      <c r="M800" s="2" t="s">
        <v>34</v>
      </c>
      <c r="N800" s="2" t="s">
        <v>34</v>
      </c>
      <c r="O800" s="2" t="s">
        <v>34</v>
      </c>
      <c r="P800" s="2" t="s">
        <v>36</v>
      </c>
    </row>
    <row r="801" spans="1:16" x14ac:dyDescent="0.2">
      <c r="A801" s="2" t="s">
        <v>4567</v>
      </c>
      <c r="B801" s="2">
        <v>48</v>
      </c>
      <c r="C801" s="2">
        <v>1</v>
      </c>
      <c r="D801" s="2" t="s">
        <v>29</v>
      </c>
      <c r="E801" s="2">
        <v>847</v>
      </c>
      <c r="F801" s="2" t="s">
        <v>30</v>
      </c>
      <c r="G801" s="2" t="s">
        <v>4568</v>
      </c>
      <c r="H801" s="2" t="s">
        <v>4569</v>
      </c>
      <c r="I801" s="2" t="s">
        <v>4570</v>
      </c>
      <c r="J801" s="2" t="s">
        <v>34</v>
      </c>
      <c r="K801" s="2" t="s">
        <v>34</v>
      </c>
      <c r="L801" s="2" t="s">
        <v>4571</v>
      </c>
      <c r="M801" s="2" t="s">
        <v>34</v>
      </c>
      <c r="N801" s="2" t="s">
        <v>34</v>
      </c>
      <c r="O801" s="2" t="s">
        <v>34</v>
      </c>
      <c r="P801" s="2" t="s">
        <v>36</v>
      </c>
    </row>
    <row r="802" spans="1:16" x14ac:dyDescent="0.2">
      <c r="A802" s="2" t="s">
        <v>4572</v>
      </c>
      <c r="B802" s="2">
        <v>48</v>
      </c>
      <c r="C802" s="2">
        <v>2</v>
      </c>
      <c r="D802" s="2" t="s">
        <v>29</v>
      </c>
      <c r="E802" s="2">
        <v>874</v>
      </c>
      <c r="F802" s="2" t="s">
        <v>30</v>
      </c>
      <c r="G802" s="2" t="s">
        <v>186</v>
      </c>
      <c r="H802" s="2" t="s">
        <v>4573</v>
      </c>
      <c r="I802" s="2" t="s">
        <v>4574</v>
      </c>
      <c r="J802" s="2" t="s">
        <v>34</v>
      </c>
      <c r="K802" s="2" t="s">
        <v>34</v>
      </c>
      <c r="L802" s="2" t="s">
        <v>4575</v>
      </c>
      <c r="M802" s="2" t="s">
        <v>34</v>
      </c>
      <c r="N802" s="2" t="s">
        <v>34</v>
      </c>
      <c r="O802" s="2" t="s">
        <v>34</v>
      </c>
      <c r="P802" s="2" t="s">
        <v>36</v>
      </c>
    </row>
    <row r="803" spans="1:16" x14ac:dyDescent="0.2">
      <c r="A803" s="2" t="s">
        <v>4576</v>
      </c>
      <c r="B803" s="2">
        <v>48</v>
      </c>
      <c r="C803" s="2">
        <v>3</v>
      </c>
      <c r="D803" s="2" t="s">
        <v>29</v>
      </c>
      <c r="E803" s="2">
        <v>874</v>
      </c>
      <c r="F803" s="2" t="s">
        <v>38</v>
      </c>
      <c r="G803" s="2" t="s">
        <v>2067</v>
      </c>
      <c r="H803" s="2" t="s">
        <v>4577</v>
      </c>
      <c r="I803" s="2" t="s">
        <v>4578</v>
      </c>
      <c r="J803" s="2" t="s">
        <v>4579</v>
      </c>
      <c r="K803" s="3">
        <v>46498</v>
      </c>
      <c r="L803" s="2" t="s">
        <v>4580</v>
      </c>
      <c r="M803" s="2" t="s">
        <v>34</v>
      </c>
      <c r="N803" s="2" t="s">
        <v>34</v>
      </c>
      <c r="O803" s="2" t="s">
        <v>34</v>
      </c>
      <c r="P803" s="2" t="s">
        <v>36</v>
      </c>
    </row>
    <row r="804" spans="1:16" x14ac:dyDescent="0.2">
      <c r="A804" s="2" t="s">
        <v>4581</v>
      </c>
      <c r="B804" s="2">
        <v>48</v>
      </c>
      <c r="C804" s="2">
        <v>4</v>
      </c>
      <c r="D804" s="2" t="s">
        <v>29</v>
      </c>
      <c r="E804" s="2">
        <v>874</v>
      </c>
      <c r="F804" s="2" t="s">
        <v>30</v>
      </c>
      <c r="G804" s="2" t="s">
        <v>1284</v>
      </c>
      <c r="H804" s="2" t="s">
        <v>4582</v>
      </c>
      <c r="I804" s="2" t="s">
        <v>4583</v>
      </c>
      <c r="J804" s="2" t="s">
        <v>34</v>
      </c>
      <c r="K804" s="2" t="s">
        <v>34</v>
      </c>
      <c r="L804" s="2" t="s">
        <v>4584</v>
      </c>
      <c r="M804" s="2" t="s">
        <v>34</v>
      </c>
      <c r="N804" s="2" t="s">
        <v>34</v>
      </c>
      <c r="O804" s="2" t="s">
        <v>34</v>
      </c>
      <c r="P804" s="2" t="s">
        <v>36</v>
      </c>
    </row>
    <row r="805" spans="1:16" x14ac:dyDescent="0.2">
      <c r="A805" s="2" t="s">
        <v>4585</v>
      </c>
      <c r="B805" s="2">
        <v>48</v>
      </c>
      <c r="C805" s="2">
        <v>5</v>
      </c>
      <c r="D805" s="2" t="s">
        <v>29</v>
      </c>
      <c r="E805" s="2">
        <v>840</v>
      </c>
      <c r="F805" s="2" t="s">
        <v>30</v>
      </c>
      <c r="G805" s="2" t="s">
        <v>2644</v>
      </c>
      <c r="H805" s="2" t="s">
        <v>4586</v>
      </c>
      <c r="I805" s="2" t="s">
        <v>4587</v>
      </c>
      <c r="J805" s="2" t="s">
        <v>34</v>
      </c>
      <c r="K805" s="2" t="s">
        <v>34</v>
      </c>
      <c r="L805" s="2" t="s">
        <v>4588</v>
      </c>
      <c r="M805" s="2" t="s">
        <v>34</v>
      </c>
      <c r="N805" s="2" t="s">
        <v>34</v>
      </c>
      <c r="O805" s="2" t="s">
        <v>34</v>
      </c>
      <c r="P805" s="2" t="s">
        <v>78</v>
      </c>
    </row>
    <row r="806" spans="1:16" x14ac:dyDescent="0.2">
      <c r="A806" s="2" t="s">
        <v>4589</v>
      </c>
      <c r="B806" s="2">
        <v>48</v>
      </c>
      <c r="C806" s="2">
        <v>6</v>
      </c>
      <c r="D806" s="2" t="s">
        <v>29</v>
      </c>
      <c r="E806" s="2">
        <v>843</v>
      </c>
      <c r="F806" s="2" t="s">
        <v>30</v>
      </c>
      <c r="G806" s="2" t="s">
        <v>2978</v>
      </c>
      <c r="H806" s="2" t="s">
        <v>4590</v>
      </c>
      <c r="I806" s="2" t="s">
        <v>4591</v>
      </c>
      <c r="J806" s="2" t="s">
        <v>34</v>
      </c>
      <c r="K806" s="2" t="s">
        <v>34</v>
      </c>
      <c r="L806" s="2" t="s">
        <v>4592</v>
      </c>
      <c r="M806" s="2" t="s">
        <v>34</v>
      </c>
      <c r="N806" s="2" t="s">
        <v>34</v>
      </c>
      <c r="O806" s="2" t="s">
        <v>34</v>
      </c>
      <c r="P806" s="2" t="s">
        <v>36</v>
      </c>
    </row>
    <row r="807" spans="1:16" x14ac:dyDescent="0.2">
      <c r="A807" s="2" t="s">
        <v>4593</v>
      </c>
      <c r="B807" s="2">
        <v>48</v>
      </c>
      <c r="C807" s="2">
        <v>7</v>
      </c>
      <c r="D807" s="2" t="s">
        <v>71</v>
      </c>
      <c r="E807" s="2">
        <v>1403</v>
      </c>
      <c r="F807" s="2" t="s">
        <v>30</v>
      </c>
      <c r="G807" s="2" t="s">
        <v>4124</v>
      </c>
      <c r="H807" s="2" t="s">
        <v>4594</v>
      </c>
      <c r="I807" s="2" t="s">
        <v>4595</v>
      </c>
      <c r="J807" s="2" t="s">
        <v>34</v>
      </c>
      <c r="K807" s="2" t="s">
        <v>34</v>
      </c>
      <c r="L807" s="2" t="s">
        <v>4596</v>
      </c>
      <c r="M807" s="2" t="s">
        <v>34</v>
      </c>
      <c r="N807" s="2" t="s">
        <v>34</v>
      </c>
      <c r="O807" s="2" t="s">
        <v>34</v>
      </c>
      <c r="P807" s="2" t="s">
        <v>36</v>
      </c>
    </row>
    <row r="808" spans="1:16" x14ac:dyDescent="0.2">
      <c r="A808" s="2" t="s">
        <v>4597</v>
      </c>
      <c r="B808" s="2">
        <v>48</v>
      </c>
      <c r="C808" s="2">
        <v>8</v>
      </c>
      <c r="D808" s="2" t="s">
        <v>71</v>
      </c>
      <c r="E808" s="2">
        <v>1495</v>
      </c>
      <c r="F808" s="2" t="s">
        <v>30</v>
      </c>
      <c r="G808" s="2" t="s">
        <v>3083</v>
      </c>
      <c r="H808" s="2" t="s">
        <v>4598</v>
      </c>
      <c r="I808" s="2" t="s">
        <v>4599</v>
      </c>
      <c r="J808" s="2" t="s">
        <v>34</v>
      </c>
      <c r="K808" s="2" t="s">
        <v>34</v>
      </c>
      <c r="L808" s="2" t="s">
        <v>4600</v>
      </c>
      <c r="M808" s="2" t="s">
        <v>34</v>
      </c>
      <c r="N808" s="2" t="s">
        <v>34</v>
      </c>
      <c r="O808" s="2" t="s">
        <v>34</v>
      </c>
      <c r="P808" s="2" t="s">
        <v>36</v>
      </c>
    </row>
    <row r="809" spans="1:16" x14ac:dyDescent="0.2">
      <c r="A809" s="2" t="s">
        <v>4601</v>
      </c>
      <c r="B809" s="2">
        <v>48</v>
      </c>
      <c r="C809" s="2">
        <v>9</v>
      </c>
      <c r="D809" s="2" t="s">
        <v>71</v>
      </c>
      <c r="E809" s="2">
        <v>1414</v>
      </c>
      <c r="F809" s="2" t="s">
        <v>38</v>
      </c>
      <c r="G809" s="2" t="s">
        <v>4262</v>
      </c>
      <c r="H809" s="2" t="s">
        <v>4602</v>
      </c>
      <c r="I809" s="2" t="s">
        <v>4603</v>
      </c>
      <c r="J809" s="2" t="s">
        <v>4604</v>
      </c>
      <c r="K809" s="3">
        <v>46261</v>
      </c>
      <c r="L809" s="2" t="s">
        <v>4605</v>
      </c>
      <c r="M809" s="2" t="s">
        <v>34</v>
      </c>
      <c r="N809" s="2" t="s">
        <v>34</v>
      </c>
      <c r="O809" s="2" t="s">
        <v>34</v>
      </c>
      <c r="P809" s="2" t="s">
        <v>78</v>
      </c>
    </row>
    <row r="810" spans="1:16" x14ac:dyDescent="0.2">
      <c r="A810" s="2" t="s">
        <v>4606</v>
      </c>
      <c r="B810" s="2">
        <v>48</v>
      </c>
      <c r="C810" s="2">
        <v>10</v>
      </c>
      <c r="D810" s="2" t="s">
        <v>71</v>
      </c>
      <c r="E810" s="2">
        <v>1504</v>
      </c>
      <c r="F810" s="2" t="s">
        <v>38</v>
      </c>
      <c r="G810" s="2" t="s">
        <v>75</v>
      </c>
      <c r="H810" s="2" t="s">
        <v>4607</v>
      </c>
      <c r="I810" s="2" t="s">
        <v>4608</v>
      </c>
      <c r="J810" s="2" t="s">
        <v>4609</v>
      </c>
      <c r="K810" s="3">
        <v>46228</v>
      </c>
      <c r="L810" s="2" t="s">
        <v>4610</v>
      </c>
      <c r="M810" s="2" t="s">
        <v>34</v>
      </c>
      <c r="N810" s="2" t="s">
        <v>34</v>
      </c>
      <c r="O810" s="2" t="s">
        <v>34</v>
      </c>
      <c r="P810" s="2" t="s">
        <v>36</v>
      </c>
    </row>
    <row r="811" spans="1:16" x14ac:dyDescent="0.2">
      <c r="A811" s="2" t="s">
        <v>4611</v>
      </c>
      <c r="B811" s="2">
        <v>48</v>
      </c>
      <c r="C811" s="2">
        <v>11</v>
      </c>
      <c r="D811" s="2" t="s">
        <v>71</v>
      </c>
      <c r="E811" s="2">
        <v>1358</v>
      </c>
      <c r="F811" s="2" t="s">
        <v>38</v>
      </c>
      <c r="G811" s="2" t="s">
        <v>2399</v>
      </c>
      <c r="H811" s="2" t="s">
        <v>4612</v>
      </c>
      <c r="I811" s="2" t="s">
        <v>4613</v>
      </c>
      <c r="J811" s="2" t="s">
        <v>3530</v>
      </c>
      <c r="K811" s="3">
        <v>46275</v>
      </c>
      <c r="L811" s="2" t="s">
        <v>4614</v>
      </c>
      <c r="M811" s="2" t="s">
        <v>4615</v>
      </c>
      <c r="N811" s="2" t="s">
        <v>34</v>
      </c>
      <c r="O811" s="2" t="s">
        <v>34</v>
      </c>
      <c r="P811" s="2" t="s">
        <v>78</v>
      </c>
    </row>
    <row r="812" spans="1:16" x14ac:dyDescent="0.2">
      <c r="A812" s="2" t="s">
        <v>4616</v>
      </c>
      <c r="B812" s="2">
        <v>48</v>
      </c>
      <c r="C812" s="2">
        <v>12</v>
      </c>
      <c r="D812" s="2" t="s">
        <v>71</v>
      </c>
      <c r="E812" s="2">
        <v>1435</v>
      </c>
      <c r="F812" s="2" t="s">
        <v>30</v>
      </c>
      <c r="G812" s="2" t="s">
        <v>3530</v>
      </c>
      <c r="H812" s="2" t="s">
        <v>4617</v>
      </c>
      <c r="I812" s="2" t="s">
        <v>4618</v>
      </c>
      <c r="J812" s="2" t="s">
        <v>34</v>
      </c>
      <c r="K812" s="2" t="s">
        <v>34</v>
      </c>
      <c r="L812" s="2" t="s">
        <v>4619</v>
      </c>
      <c r="M812" s="2" t="s">
        <v>4620</v>
      </c>
      <c r="N812" s="2" t="s">
        <v>34</v>
      </c>
      <c r="O812" s="2" t="s">
        <v>34</v>
      </c>
      <c r="P812" s="2" t="s">
        <v>36</v>
      </c>
    </row>
    <row r="813" spans="1:16" x14ac:dyDescent="0.2">
      <c r="A813" s="2" t="s">
        <v>4621</v>
      </c>
      <c r="B813" s="2">
        <v>48</v>
      </c>
      <c r="C813" s="2">
        <v>13</v>
      </c>
      <c r="D813" s="2" t="s">
        <v>113</v>
      </c>
      <c r="E813" s="2">
        <v>2119</v>
      </c>
      <c r="F813" s="2" t="s">
        <v>30</v>
      </c>
      <c r="G813" s="2" t="s">
        <v>867</v>
      </c>
      <c r="H813" s="2" t="s">
        <v>4622</v>
      </c>
      <c r="I813" s="2" t="s">
        <v>4623</v>
      </c>
      <c r="J813" s="2" t="s">
        <v>34</v>
      </c>
      <c r="K813" s="2" t="s">
        <v>34</v>
      </c>
      <c r="L813" s="2" t="s">
        <v>4624</v>
      </c>
      <c r="M813" s="2" t="s">
        <v>4625</v>
      </c>
      <c r="N813" s="2" t="s">
        <v>34</v>
      </c>
      <c r="O813" s="2" t="s">
        <v>34</v>
      </c>
      <c r="P813" s="2" t="s">
        <v>36</v>
      </c>
    </row>
    <row r="814" spans="1:16" x14ac:dyDescent="0.2">
      <c r="A814" s="2" t="s">
        <v>4626</v>
      </c>
      <c r="B814" s="2">
        <v>48</v>
      </c>
      <c r="C814" s="2">
        <v>14</v>
      </c>
      <c r="D814" s="2" t="s">
        <v>113</v>
      </c>
      <c r="E814" s="2">
        <v>1940</v>
      </c>
      <c r="F814" s="2" t="s">
        <v>38</v>
      </c>
      <c r="G814" s="2" t="s">
        <v>565</v>
      </c>
      <c r="H814" s="2" t="s">
        <v>4627</v>
      </c>
      <c r="I814" s="2" t="s">
        <v>4628</v>
      </c>
      <c r="J814" s="2" t="s">
        <v>1661</v>
      </c>
      <c r="K814" s="3">
        <v>46488</v>
      </c>
      <c r="L814" s="2" t="s">
        <v>4629</v>
      </c>
      <c r="M814" s="2" t="s">
        <v>4630</v>
      </c>
      <c r="N814" s="2" t="s">
        <v>4631</v>
      </c>
      <c r="O814" s="2" t="s">
        <v>34</v>
      </c>
      <c r="P814" s="2" t="s">
        <v>78</v>
      </c>
    </row>
    <row r="815" spans="1:16" x14ac:dyDescent="0.2">
      <c r="A815" s="2" t="s">
        <v>4632</v>
      </c>
      <c r="B815" s="2">
        <v>48</v>
      </c>
      <c r="C815" s="2">
        <v>15</v>
      </c>
      <c r="D815" s="2" t="s">
        <v>113</v>
      </c>
      <c r="E815" s="2">
        <v>1752</v>
      </c>
      <c r="F815" s="2" t="s">
        <v>30</v>
      </c>
      <c r="G815" s="2" t="s">
        <v>3991</v>
      </c>
      <c r="H815" s="2" t="s">
        <v>4633</v>
      </c>
      <c r="I815" s="2" t="s">
        <v>4634</v>
      </c>
      <c r="J815" s="2" t="s">
        <v>34</v>
      </c>
      <c r="K815" s="2" t="s">
        <v>34</v>
      </c>
      <c r="L815" s="2" t="s">
        <v>4635</v>
      </c>
      <c r="M815" s="2" t="s">
        <v>4636</v>
      </c>
      <c r="N815" s="2" t="s">
        <v>34</v>
      </c>
      <c r="O815" s="2" t="s">
        <v>34</v>
      </c>
      <c r="P815" s="2" t="s">
        <v>36</v>
      </c>
    </row>
    <row r="816" spans="1:16" x14ac:dyDescent="0.2">
      <c r="A816" s="2" t="s">
        <v>4637</v>
      </c>
      <c r="B816" s="2">
        <v>48</v>
      </c>
      <c r="C816" s="2">
        <v>16</v>
      </c>
      <c r="D816" s="2" t="s">
        <v>113</v>
      </c>
      <c r="E816" s="2">
        <v>2040</v>
      </c>
      <c r="F816" s="2" t="s">
        <v>30</v>
      </c>
      <c r="G816" s="2" t="s">
        <v>2360</v>
      </c>
      <c r="H816" s="2" t="s">
        <v>4638</v>
      </c>
      <c r="I816" s="2" t="s">
        <v>4639</v>
      </c>
      <c r="J816" s="2" t="s">
        <v>34</v>
      </c>
      <c r="K816" s="2" t="s">
        <v>34</v>
      </c>
      <c r="L816" s="2" t="s">
        <v>4640</v>
      </c>
      <c r="M816" s="2" t="s">
        <v>4641</v>
      </c>
      <c r="N816" s="2" t="s">
        <v>34</v>
      </c>
      <c r="O816" s="2" t="s">
        <v>34</v>
      </c>
      <c r="P816" s="2" t="s">
        <v>36</v>
      </c>
    </row>
    <row r="817" spans="1:16" x14ac:dyDescent="0.2">
      <c r="A817" s="2" t="s">
        <v>4642</v>
      </c>
      <c r="B817" s="2">
        <v>48</v>
      </c>
      <c r="C817" s="2">
        <v>17</v>
      </c>
      <c r="D817" s="2" t="s">
        <v>144</v>
      </c>
      <c r="E817" s="2">
        <v>3258</v>
      </c>
      <c r="F817" s="2" t="s">
        <v>30</v>
      </c>
      <c r="G817" s="2" t="s">
        <v>1736</v>
      </c>
      <c r="H817" s="2" t="s">
        <v>4643</v>
      </c>
      <c r="I817" s="2" t="s">
        <v>4644</v>
      </c>
      <c r="J817" s="2" t="s">
        <v>34</v>
      </c>
      <c r="K817" s="2" t="s">
        <v>34</v>
      </c>
      <c r="L817" s="2" t="s">
        <v>4645</v>
      </c>
      <c r="M817" s="2" t="s">
        <v>4646</v>
      </c>
      <c r="N817" s="2" t="s">
        <v>34</v>
      </c>
      <c r="O817" s="2" t="s">
        <v>34</v>
      </c>
      <c r="P817" s="2" t="s">
        <v>78</v>
      </c>
    </row>
    <row r="818" spans="1:16" x14ac:dyDescent="0.2">
      <c r="A818" s="2" t="s">
        <v>4647</v>
      </c>
      <c r="B818" s="2">
        <v>49</v>
      </c>
      <c r="C818" s="2">
        <v>1</v>
      </c>
      <c r="D818" s="2" t="s">
        <v>29</v>
      </c>
      <c r="E818" s="2">
        <v>881</v>
      </c>
      <c r="F818" s="2" t="s">
        <v>30</v>
      </c>
      <c r="G818" s="2" t="s">
        <v>3443</v>
      </c>
      <c r="H818" s="2" t="s">
        <v>4648</v>
      </c>
      <c r="I818" s="2" t="s">
        <v>4649</v>
      </c>
      <c r="J818" s="2" t="s">
        <v>34</v>
      </c>
      <c r="K818" s="2" t="s">
        <v>34</v>
      </c>
      <c r="L818" s="2" t="s">
        <v>4650</v>
      </c>
      <c r="M818" s="2" t="s">
        <v>34</v>
      </c>
      <c r="N818" s="2" t="s">
        <v>34</v>
      </c>
      <c r="O818" s="2" t="s">
        <v>34</v>
      </c>
      <c r="P818" s="2" t="s">
        <v>78</v>
      </c>
    </row>
    <row r="819" spans="1:16" x14ac:dyDescent="0.2">
      <c r="A819" s="2" t="s">
        <v>4651</v>
      </c>
      <c r="B819" s="2">
        <v>49</v>
      </c>
      <c r="C819" s="2">
        <v>2</v>
      </c>
      <c r="D819" s="2" t="s">
        <v>29</v>
      </c>
      <c r="E819" s="2">
        <v>973</v>
      </c>
      <c r="F819" s="2" t="s">
        <v>38</v>
      </c>
      <c r="G819" s="2" t="s">
        <v>1670</v>
      </c>
      <c r="H819" s="2" t="s">
        <v>4652</v>
      </c>
      <c r="I819" s="2" t="s">
        <v>4653</v>
      </c>
      <c r="J819" s="2" t="s">
        <v>2414</v>
      </c>
      <c r="K819" s="3">
        <v>46234</v>
      </c>
      <c r="L819" s="2" t="s">
        <v>4654</v>
      </c>
      <c r="M819" s="2" t="s">
        <v>34</v>
      </c>
      <c r="N819" s="2" t="s">
        <v>34</v>
      </c>
      <c r="O819" s="2" t="s">
        <v>34</v>
      </c>
      <c r="P819" s="2" t="s">
        <v>78</v>
      </c>
    </row>
    <row r="820" spans="1:16" x14ac:dyDescent="0.2">
      <c r="A820" s="2" t="s">
        <v>4655</v>
      </c>
      <c r="B820" s="2">
        <v>49</v>
      </c>
      <c r="C820" s="2">
        <v>3</v>
      </c>
      <c r="D820" s="2" t="s">
        <v>29</v>
      </c>
      <c r="E820" s="2">
        <v>967</v>
      </c>
      <c r="F820" s="2" t="s">
        <v>30</v>
      </c>
      <c r="G820" s="2" t="s">
        <v>1953</v>
      </c>
      <c r="H820" s="2" t="s">
        <v>4656</v>
      </c>
      <c r="I820" s="2" t="s">
        <v>4657</v>
      </c>
      <c r="J820" s="2" t="s">
        <v>34</v>
      </c>
      <c r="K820" s="2" t="s">
        <v>34</v>
      </c>
      <c r="L820" s="2" t="s">
        <v>4658</v>
      </c>
      <c r="M820" s="2" t="s">
        <v>34</v>
      </c>
      <c r="N820" s="2" t="s">
        <v>34</v>
      </c>
      <c r="O820" s="2" t="s">
        <v>34</v>
      </c>
      <c r="P820" s="2" t="s">
        <v>36</v>
      </c>
    </row>
    <row r="821" spans="1:16" x14ac:dyDescent="0.2">
      <c r="A821" s="2" t="s">
        <v>4659</v>
      </c>
      <c r="B821" s="2">
        <v>49</v>
      </c>
      <c r="C821" s="2">
        <v>4</v>
      </c>
      <c r="D821" s="2" t="s">
        <v>29</v>
      </c>
      <c r="E821" s="2">
        <v>860</v>
      </c>
      <c r="F821" s="2" t="s">
        <v>38</v>
      </c>
      <c r="G821" s="2" t="s">
        <v>3426</v>
      </c>
      <c r="H821" s="2" t="s">
        <v>4660</v>
      </c>
      <c r="I821" s="2" t="s">
        <v>4661</v>
      </c>
      <c r="J821" s="2" t="s">
        <v>4662</v>
      </c>
      <c r="K821" s="3">
        <v>46407</v>
      </c>
      <c r="L821" s="2" t="s">
        <v>4663</v>
      </c>
      <c r="M821" s="2" t="s">
        <v>34</v>
      </c>
      <c r="N821" s="2" t="s">
        <v>34</v>
      </c>
      <c r="O821" s="2" t="s">
        <v>34</v>
      </c>
      <c r="P821" s="2" t="s">
        <v>36</v>
      </c>
    </row>
    <row r="822" spans="1:16" x14ac:dyDescent="0.2">
      <c r="A822" s="2" t="s">
        <v>4664</v>
      </c>
      <c r="B822" s="2">
        <v>49</v>
      </c>
      <c r="C822" s="2">
        <v>5</v>
      </c>
      <c r="D822" s="2" t="s">
        <v>29</v>
      </c>
      <c r="E822" s="2">
        <v>886</v>
      </c>
      <c r="F822" s="2" t="s">
        <v>30</v>
      </c>
      <c r="G822" s="2" t="s">
        <v>65</v>
      </c>
      <c r="H822" s="2" t="s">
        <v>4665</v>
      </c>
      <c r="I822" s="2" t="s">
        <v>4666</v>
      </c>
      <c r="J822" s="2" t="s">
        <v>34</v>
      </c>
      <c r="K822" s="2" t="s">
        <v>34</v>
      </c>
      <c r="L822" s="2" t="s">
        <v>4667</v>
      </c>
      <c r="M822" s="2" t="s">
        <v>34</v>
      </c>
      <c r="N822" s="2" t="s">
        <v>34</v>
      </c>
      <c r="O822" s="2" t="s">
        <v>34</v>
      </c>
      <c r="P822" s="2" t="s">
        <v>36</v>
      </c>
    </row>
    <row r="823" spans="1:16" x14ac:dyDescent="0.2">
      <c r="A823" s="2" t="s">
        <v>4668</v>
      </c>
      <c r="B823" s="2">
        <v>49</v>
      </c>
      <c r="C823" s="2">
        <v>6</v>
      </c>
      <c r="D823" s="2" t="s">
        <v>29</v>
      </c>
      <c r="E823" s="2">
        <v>971</v>
      </c>
      <c r="F823" s="2" t="s">
        <v>38</v>
      </c>
      <c r="G823" s="2" t="s">
        <v>2847</v>
      </c>
      <c r="H823" s="2" t="s">
        <v>4669</v>
      </c>
      <c r="I823" s="2" t="s">
        <v>4670</v>
      </c>
      <c r="J823" s="2" t="s">
        <v>1059</v>
      </c>
      <c r="K823" s="3">
        <v>46129</v>
      </c>
      <c r="L823" s="2" t="s">
        <v>4671</v>
      </c>
      <c r="M823" s="2" t="s">
        <v>34</v>
      </c>
      <c r="N823" s="2" t="s">
        <v>34</v>
      </c>
      <c r="O823" s="2" t="s">
        <v>34</v>
      </c>
      <c r="P823" s="2" t="s">
        <v>36</v>
      </c>
    </row>
    <row r="824" spans="1:16" x14ac:dyDescent="0.2">
      <c r="A824" s="2" t="s">
        <v>4672</v>
      </c>
      <c r="B824" s="2">
        <v>49</v>
      </c>
      <c r="C824" s="2">
        <v>7</v>
      </c>
      <c r="D824" s="2" t="s">
        <v>71</v>
      </c>
      <c r="E824" s="2">
        <v>1275</v>
      </c>
      <c r="F824" s="2" t="s">
        <v>38</v>
      </c>
      <c r="G824" s="2" t="s">
        <v>1452</v>
      </c>
      <c r="H824" s="2" t="s">
        <v>4673</v>
      </c>
      <c r="I824" s="2" t="s">
        <v>4674</v>
      </c>
      <c r="J824" s="2" t="s">
        <v>4675</v>
      </c>
      <c r="K824" s="3">
        <v>46227</v>
      </c>
      <c r="L824" s="2" t="s">
        <v>4676</v>
      </c>
      <c r="M824" s="2" t="s">
        <v>34</v>
      </c>
      <c r="N824" s="2" t="s">
        <v>34</v>
      </c>
      <c r="O824" s="2" t="s">
        <v>34</v>
      </c>
      <c r="P824" s="2" t="s">
        <v>36</v>
      </c>
    </row>
    <row r="825" spans="1:16" x14ac:dyDescent="0.2">
      <c r="A825" s="2" t="s">
        <v>4677</v>
      </c>
      <c r="B825" s="2">
        <v>49</v>
      </c>
      <c r="C825" s="2">
        <v>8</v>
      </c>
      <c r="D825" s="2" t="s">
        <v>71</v>
      </c>
      <c r="E825" s="2">
        <v>1501</v>
      </c>
      <c r="F825" s="2" t="s">
        <v>38</v>
      </c>
      <c r="G825" s="2" t="s">
        <v>3343</v>
      </c>
      <c r="H825" s="2" t="s">
        <v>4678</v>
      </c>
      <c r="I825" s="2" t="s">
        <v>4679</v>
      </c>
      <c r="J825" s="2" t="s">
        <v>882</v>
      </c>
      <c r="K825" s="3">
        <v>46398</v>
      </c>
      <c r="L825" s="2" t="s">
        <v>4680</v>
      </c>
      <c r="M825" s="2" t="s">
        <v>4681</v>
      </c>
      <c r="N825" s="2" t="s">
        <v>34</v>
      </c>
      <c r="O825" s="2" t="s">
        <v>34</v>
      </c>
      <c r="P825" s="2" t="s">
        <v>78</v>
      </c>
    </row>
    <row r="826" spans="1:16" x14ac:dyDescent="0.2">
      <c r="A826" s="2" t="s">
        <v>4682</v>
      </c>
      <c r="B826" s="2">
        <v>49</v>
      </c>
      <c r="C826" s="2">
        <v>9</v>
      </c>
      <c r="D826" s="2" t="s">
        <v>71</v>
      </c>
      <c r="E826" s="2">
        <v>1219</v>
      </c>
      <c r="F826" s="2" t="s">
        <v>38</v>
      </c>
      <c r="G826" s="2" t="s">
        <v>4683</v>
      </c>
      <c r="H826" s="2" t="s">
        <v>4684</v>
      </c>
      <c r="I826" s="2" t="s">
        <v>4685</v>
      </c>
      <c r="J826" s="2" t="s">
        <v>4686</v>
      </c>
      <c r="K826" s="3">
        <v>46485</v>
      </c>
      <c r="L826" s="2" t="s">
        <v>4687</v>
      </c>
      <c r="M826" s="2" t="s">
        <v>4688</v>
      </c>
      <c r="N826" s="2" t="s">
        <v>34</v>
      </c>
      <c r="O826" s="2" t="s">
        <v>34</v>
      </c>
      <c r="P826" s="2" t="s">
        <v>36</v>
      </c>
    </row>
    <row r="827" spans="1:16" x14ac:dyDescent="0.2">
      <c r="A827" s="2" t="s">
        <v>4689</v>
      </c>
      <c r="B827" s="2">
        <v>49</v>
      </c>
      <c r="C827" s="2">
        <v>10</v>
      </c>
      <c r="D827" s="2" t="s">
        <v>71</v>
      </c>
      <c r="E827" s="2">
        <v>1394</v>
      </c>
      <c r="F827" s="2" t="s">
        <v>30</v>
      </c>
      <c r="G827" s="2" t="s">
        <v>4690</v>
      </c>
      <c r="H827" s="2" t="s">
        <v>4691</v>
      </c>
      <c r="I827" s="2" t="s">
        <v>4692</v>
      </c>
      <c r="J827" s="2" t="s">
        <v>34</v>
      </c>
      <c r="K827" s="2" t="s">
        <v>34</v>
      </c>
      <c r="L827" s="2" t="s">
        <v>4693</v>
      </c>
      <c r="M827" s="2" t="s">
        <v>4694</v>
      </c>
      <c r="N827" s="2" t="s">
        <v>34</v>
      </c>
      <c r="O827" s="2" t="s">
        <v>34</v>
      </c>
      <c r="P827" s="2" t="s">
        <v>78</v>
      </c>
    </row>
    <row r="828" spans="1:16" x14ac:dyDescent="0.2">
      <c r="A828" s="2" t="s">
        <v>4695</v>
      </c>
      <c r="B828" s="2">
        <v>49</v>
      </c>
      <c r="C828" s="2">
        <v>11</v>
      </c>
      <c r="D828" s="2" t="s">
        <v>71</v>
      </c>
      <c r="E828" s="2">
        <v>1503</v>
      </c>
      <c r="F828" s="2" t="s">
        <v>38</v>
      </c>
      <c r="G828" s="2" t="s">
        <v>1619</v>
      </c>
      <c r="H828" s="2" t="s">
        <v>4696</v>
      </c>
      <c r="I828" s="2" t="s">
        <v>4697</v>
      </c>
      <c r="J828" s="2" t="s">
        <v>885</v>
      </c>
      <c r="K828" s="3">
        <v>46365</v>
      </c>
      <c r="L828" s="2" t="s">
        <v>4698</v>
      </c>
      <c r="M828" s="2" t="s">
        <v>4699</v>
      </c>
      <c r="N828" s="2" t="s">
        <v>34</v>
      </c>
      <c r="O828" s="2" t="s">
        <v>34</v>
      </c>
      <c r="P828" s="2" t="s">
        <v>78</v>
      </c>
    </row>
    <row r="829" spans="1:16" x14ac:dyDescent="0.2">
      <c r="A829" s="2" t="s">
        <v>4700</v>
      </c>
      <c r="B829" s="2">
        <v>49</v>
      </c>
      <c r="C829" s="2">
        <v>12</v>
      </c>
      <c r="D829" s="2" t="s">
        <v>71</v>
      </c>
      <c r="E829" s="2">
        <v>1490</v>
      </c>
      <c r="F829" s="2" t="s">
        <v>30</v>
      </c>
      <c r="G829" s="2" t="s">
        <v>4701</v>
      </c>
      <c r="H829" s="2" t="s">
        <v>4702</v>
      </c>
      <c r="I829" s="2" t="s">
        <v>4703</v>
      </c>
      <c r="J829" s="2" t="s">
        <v>34</v>
      </c>
      <c r="K829" s="2" t="s">
        <v>34</v>
      </c>
      <c r="L829" s="2" t="s">
        <v>4704</v>
      </c>
      <c r="M829" s="2" t="s">
        <v>4705</v>
      </c>
      <c r="N829" s="2" t="s">
        <v>34</v>
      </c>
      <c r="O829" s="2" t="s">
        <v>34</v>
      </c>
      <c r="P829" s="2" t="s">
        <v>36</v>
      </c>
    </row>
    <row r="830" spans="1:16" x14ac:dyDescent="0.2">
      <c r="A830" s="2" t="s">
        <v>4706</v>
      </c>
      <c r="B830" s="2">
        <v>49</v>
      </c>
      <c r="C830" s="2">
        <v>13</v>
      </c>
      <c r="D830" s="2" t="s">
        <v>113</v>
      </c>
      <c r="E830" s="2">
        <v>1985</v>
      </c>
      <c r="F830" s="2" t="s">
        <v>30</v>
      </c>
      <c r="G830" s="2" t="s">
        <v>639</v>
      </c>
      <c r="H830" s="2" t="s">
        <v>4707</v>
      </c>
      <c r="I830" s="2" t="s">
        <v>4708</v>
      </c>
      <c r="J830" s="2" t="s">
        <v>34</v>
      </c>
      <c r="K830" s="2" t="s">
        <v>34</v>
      </c>
      <c r="L830" s="2" t="s">
        <v>4709</v>
      </c>
      <c r="M830" s="2" t="s">
        <v>34</v>
      </c>
      <c r="N830" s="2" t="s">
        <v>34</v>
      </c>
      <c r="O830" s="2" t="s">
        <v>34</v>
      </c>
      <c r="P830" s="2" t="s">
        <v>36</v>
      </c>
    </row>
    <row r="831" spans="1:16" x14ac:dyDescent="0.2">
      <c r="A831" s="2" t="s">
        <v>4710</v>
      </c>
      <c r="B831" s="2">
        <v>49</v>
      </c>
      <c r="C831" s="2">
        <v>14</v>
      </c>
      <c r="D831" s="2" t="s">
        <v>113</v>
      </c>
      <c r="E831" s="2">
        <v>1951</v>
      </c>
      <c r="F831" s="2" t="s">
        <v>38</v>
      </c>
      <c r="G831" s="2" t="s">
        <v>730</v>
      </c>
      <c r="H831" s="2" t="s">
        <v>4711</v>
      </c>
      <c r="I831" s="2" t="s">
        <v>4712</v>
      </c>
      <c r="J831" s="2" t="s">
        <v>4713</v>
      </c>
      <c r="K831" s="3">
        <v>46223</v>
      </c>
      <c r="L831" s="2" t="s">
        <v>4714</v>
      </c>
      <c r="M831" s="2" t="s">
        <v>4715</v>
      </c>
      <c r="N831" s="2" t="s">
        <v>34</v>
      </c>
      <c r="O831" s="2" t="s">
        <v>34</v>
      </c>
      <c r="P831" s="2" t="s">
        <v>78</v>
      </c>
    </row>
    <row r="832" spans="1:16" x14ac:dyDescent="0.2">
      <c r="A832" s="2" t="s">
        <v>4716</v>
      </c>
      <c r="B832" s="2">
        <v>49</v>
      </c>
      <c r="C832" s="2">
        <v>15</v>
      </c>
      <c r="D832" s="2" t="s">
        <v>113</v>
      </c>
      <c r="E832" s="2">
        <v>1755</v>
      </c>
      <c r="F832" s="2" t="s">
        <v>38</v>
      </c>
      <c r="G832" s="2" t="s">
        <v>4717</v>
      </c>
      <c r="H832" s="2" t="s">
        <v>4718</v>
      </c>
      <c r="I832" s="2" t="s">
        <v>4719</v>
      </c>
      <c r="J832" s="2" t="s">
        <v>4720</v>
      </c>
      <c r="K832" s="3">
        <v>46230</v>
      </c>
      <c r="L832" s="2" t="s">
        <v>4721</v>
      </c>
      <c r="M832" s="2" t="s">
        <v>4722</v>
      </c>
      <c r="N832" s="2" t="s">
        <v>34</v>
      </c>
      <c r="O832" s="2" t="s">
        <v>34</v>
      </c>
      <c r="P832" s="2" t="s">
        <v>36</v>
      </c>
    </row>
    <row r="833" spans="1:16" x14ac:dyDescent="0.2">
      <c r="A833" s="2" t="s">
        <v>4723</v>
      </c>
      <c r="B833" s="2">
        <v>49</v>
      </c>
      <c r="C833" s="2">
        <v>16</v>
      </c>
      <c r="D833" s="2" t="s">
        <v>113</v>
      </c>
      <c r="E833" s="2">
        <v>1760</v>
      </c>
      <c r="F833" s="2" t="s">
        <v>30</v>
      </c>
      <c r="G833" s="2" t="s">
        <v>401</v>
      </c>
      <c r="H833" s="2" t="s">
        <v>4724</v>
      </c>
      <c r="I833" s="2" t="s">
        <v>4725</v>
      </c>
      <c r="J833" s="2" t="s">
        <v>34</v>
      </c>
      <c r="K833" s="2" t="s">
        <v>34</v>
      </c>
      <c r="L833" s="2" t="s">
        <v>4726</v>
      </c>
      <c r="M833" s="2" t="s">
        <v>4727</v>
      </c>
      <c r="N833" s="2" t="s">
        <v>34</v>
      </c>
      <c r="O833" s="2" t="s">
        <v>34</v>
      </c>
      <c r="P833" s="2" t="s">
        <v>78</v>
      </c>
    </row>
    <row r="834" spans="1:16" x14ac:dyDescent="0.2">
      <c r="A834" s="2" t="s">
        <v>4728</v>
      </c>
      <c r="B834" s="2">
        <v>49</v>
      </c>
      <c r="C834" s="2">
        <v>17</v>
      </c>
      <c r="D834" s="2" t="s">
        <v>144</v>
      </c>
      <c r="E834" s="2">
        <v>3847</v>
      </c>
      <c r="F834" s="2" t="s">
        <v>30</v>
      </c>
      <c r="G834" s="2" t="s">
        <v>1320</v>
      </c>
      <c r="H834" s="2" t="s">
        <v>4729</v>
      </c>
      <c r="I834" s="2" t="s">
        <v>4730</v>
      </c>
      <c r="J834" s="2" t="s">
        <v>34</v>
      </c>
      <c r="K834" s="2" t="s">
        <v>34</v>
      </c>
      <c r="L834" s="2" t="s">
        <v>4731</v>
      </c>
      <c r="M834" s="2" t="s">
        <v>34</v>
      </c>
      <c r="N834" s="2" t="s">
        <v>34</v>
      </c>
      <c r="O834" s="2" t="s">
        <v>34</v>
      </c>
      <c r="P834" s="2" t="s">
        <v>36</v>
      </c>
    </row>
    <row r="835" spans="1:16" x14ac:dyDescent="0.2">
      <c r="A835" s="2" t="s">
        <v>4732</v>
      </c>
      <c r="B835" s="2">
        <v>50</v>
      </c>
      <c r="C835" s="2">
        <v>1</v>
      </c>
      <c r="D835" s="2" t="s">
        <v>29</v>
      </c>
      <c r="E835" s="2">
        <v>921</v>
      </c>
      <c r="F835" s="2" t="s">
        <v>38</v>
      </c>
      <c r="G835" s="2" t="s">
        <v>4733</v>
      </c>
      <c r="H835" s="2" t="s">
        <v>4734</v>
      </c>
      <c r="I835" s="2" t="s">
        <v>4735</v>
      </c>
      <c r="J835" s="2" t="s">
        <v>994</v>
      </c>
      <c r="K835" s="3">
        <v>46217</v>
      </c>
      <c r="L835" s="2" t="s">
        <v>4736</v>
      </c>
      <c r="M835" s="2" t="s">
        <v>34</v>
      </c>
      <c r="N835" s="2" t="s">
        <v>34</v>
      </c>
      <c r="O835" s="2" t="s">
        <v>34</v>
      </c>
      <c r="P835" s="2" t="s">
        <v>36</v>
      </c>
    </row>
    <row r="836" spans="1:16" x14ac:dyDescent="0.2">
      <c r="A836" s="2" t="s">
        <v>4737</v>
      </c>
      <c r="B836" s="2">
        <v>50</v>
      </c>
      <c r="C836" s="2">
        <v>2</v>
      </c>
      <c r="D836" s="2" t="s">
        <v>29</v>
      </c>
      <c r="E836" s="2">
        <v>857</v>
      </c>
      <c r="F836" s="2" t="s">
        <v>30</v>
      </c>
      <c r="G836" s="2" t="s">
        <v>814</v>
      </c>
      <c r="H836" s="2" t="s">
        <v>4738</v>
      </c>
      <c r="I836" s="2" t="s">
        <v>4739</v>
      </c>
      <c r="J836" s="2" t="s">
        <v>34</v>
      </c>
      <c r="K836" s="2" t="s">
        <v>34</v>
      </c>
      <c r="L836" s="2" t="s">
        <v>4740</v>
      </c>
      <c r="M836" s="2" t="s">
        <v>34</v>
      </c>
      <c r="N836" s="2" t="s">
        <v>34</v>
      </c>
      <c r="O836" s="2" t="s">
        <v>34</v>
      </c>
      <c r="P836" s="2" t="s">
        <v>36</v>
      </c>
    </row>
    <row r="837" spans="1:16" x14ac:dyDescent="0.2">
      <c r="A837" s="2" t="s">
        <v>4741</v>
      </c>
      <c r="B837" s="2">
        <v>50</v>
      </c>
      <c r="C837" s="2">
        <v>3</v>
      </c>
      <c r="D837" s="2" t="s">
        <v>29</v>
      </c>
      <c r="E837" s="2">
        <v>902</v>
      </c>
      <c r="F837" s="2" t="s">
        <v>30</v>
      </c>
      <c r="G837" s="2" t="s">
        <v>1987</v>
      </c>
      <c r="H837" s="2" t="s">
        <v>4742</v>
      </c>
      <c r="I837" s="2" t="s">
        <v>4743</v>
      </c>
      <c r="J837" s="2" t="s">
        <v>34</v>
      </c>
      <c r="K837" s="2" t="s">
        <v>34</v>
      </c>
      <c r="L837" s="2" t="s">
        <v>4744</v>
      </c>
      <c r="M837" s="2" t="s">
        <v>34</v>
      </c>
      <c r="N837" s="2" t="s">
        <v>34</v>
      </c>
      <c r="O837" s="2" t="s">
        <v>34</v>
      </c>
      <c r="P837" s="2" t="s">
        <v>36</v>
      </c>
    </row>
    <row r="838" spans="1:16" x14ac:dyDescent="0.2">
      <c r="A838" s="2" t="s">
        <v>4745</v>
      </c>
      <c r="B838" s="2">
        <v>50</v>
      </c>
      <c r="C838" s="2">
        <v>4</v>
      </c>
      <c r="D838" s="2" t="s">
        <v>29</v>
      </c>
      <c r="E838" s="2">
        <v>975</v>
      </c>
      <c r="F838" s="2" t="s">
        <v>38</v>
      </c>
      <c r="G838" s="2" t="s">
        <v>723</v>
      </c>
      <c r="H838" s="2" t="s">
        <v>4746</v>
      </c>
      <c r="I838" s="2" t="s">
        <v>4747</v>
      </c>
      <c r="J838" s="2" t="s">
        <v>3015</v>
      </c>
      <c r="K838" s="3">
        <v>46216</v>
      </c>
      <c r="L838" s="2" t="s">
        <v>4748</v>
      </c>
      <c r="M838" s="2" t="s">
        <v>34</v>
      </c>
      <c r="N838" s="2" t="s">
        <v>34</v>
      </c>
      <c r="O838" s="2" t="s">
        <v>34</v>
      </c>
      <c r="P838" s="2" t="s">
        <v>36</v>
      </c>
    </row>
    <row r="839" spans="1:16" x14ac:dyDescent="0.2">
      <c r="A839" s="2" t="s">
        <v>4749</v>
      </c>
      <c r="B839" s="2">
        <v>50</v>
      </c>
      <c r="C839" s="2">
        <v>5</v>
      </c>
      <c r="D839" s="2" t="s">
        <v>29</v>
      </c>
      <c r="E839" s="2">
        <v>890</v>
      </c>
      <c r="F839" s="2" t="s">
        <v>30</v>
      </c>
      <c r="G839" s="2" t="s">
        <v>278</v>
      </c>
      <c r="H839" s="2" t="s">
        <v>4750</v>
      </c>
      <c r="I839" s="2" t="s">
        <v>4751</v>
      </c>
      <c r="J839" s="2" t="s">
        <v>34</v>
      </c>
      <c r="K839" s="2" t="s">
        <v>34</v>
      </c>
      <c r="L839" s="2" t="s">
        <v>4752</v>
      </c>
      <c r="M839" s="2" t="s">
        <v>34</v>
      </c>
      <c r="N839" s="2" t="s">
        <v>34</v>
      </c>
      <c r="O839" s="2" t="s">
        <v>34</v>
      </c>
      <c r="P839" s="2" t="s">
        <v>36</v>
      </c>
    </row>
    <row r="840" spans="1:16" x14ac:dyDescent="0.2">
      <c r="A840" s="2" t="s">
        <v>4753</v>
      </c>
      <c r="B840" s="2">
        <v>50</v>
      </c>
      <c r="C840" s="2">
        <v>6</v>
      </c>
      <c r="D840" s="2" t="s">
        <v>29</v>
      </c>
      <c r="E840" s="2">
        <v>825</v>
      </c>
      <c r="F840" s="2" t="s">
        <v>38</v>
      </c>
      <c r="G840" s="2" t="s">
        <v>2399</v>
      </c>
      <c r="H840" s="2" t="s">
        <v>4754</v>
      </c>
      <c r="I840" s="2" t="s">
        <v>4755</v>
      </c>
      <c r="J840" s="2" t="s">
        <v>4756</v>
      </c>
      <c r="K840" s="3">
        <v>46249</v>
      </c>
      <c r="L840" s="2" t="s">
        <v>4757</v>
      </c>
      <c r="M840" s="2" t="s">
        <v>34</v>
      </c>
      <c r="N840" s="2" t="s">
        <v>34</v>
      </c>
      <c r="O840" s="2" t="s">
        <v>34</v>
      </c>
      <c r="P840" s="2" t="s">
        <v>36</v>
      </c>
    </row>
    <row r="841" spans="1:16" x14ac:dyDescent="0.2">
      <c r="A841" s="2" t="s">
        <v>4758</v>
      </c>
      <c r="B841" s="2">
        <v>50</v>
      </c>
      <c r="C841" s="2">
        <v>7</v>
      </c>
      <c r="D841" s="2" t="s">
        <v>71</v>
      </c>
      <c r="E841" s="2">
        <v>1450</v>
      </c>
      <c r="F841" s="2" t="s">
        <v>30</v>
      </c>
      <c r="G841" s="2" t="s">
        <v>2247</v>
      </c>
      <c r="H841" s="2" t="s">
        <v>4759</v>
      </c>
      <c r="I841" s="2" t="s">
        <v>4760</v>
      </c>
      <c r="J841" s="2" t="s">
        <v>34</v>
      </c>
      <c r="K841" s="2" t="s">
        <v>34</v>
      </c>
      <c r="L841" s="2" t="s">
        <v>4761</v>
      </c>
      <c r="M841" s="2" t="s">
        <v>4762</v>
      </c>
      <c r="N841" s="2" t="s">
        <v>34</v>
      </c>
      <c r="O841" s="2" t="s">
        <v>34</v>
      </c>
      <c r="P841" s="2" t="s">
        <v>36</v>
      </c>
    </row>
    <row r="842" spans="1:16" x14ac:dyDescent="0.2">
      <c r="A842" s="2" t="s">
        <v>4763</v>
      </c>
      <c r="B842" s="2">
        <v>50</v>
      </c>
      <c r="C842" s="2">
        <v>8</v>
      </c>
      <c r="D842" s="2" t="s">
        <v>71</v>
      </c>
      <c r="E842" s="2">
        <v>1342</v>
      </c>
      <c r="F842" s="2" t="s">
        <v>30</v>
      </c>
      <c r="G842" s="2" t="s">
        <v>2873</v>
      </c>
      <c r="H842" s="2" t="s">
        <v>4764</v>
      </c>
      <c r="I842" s="2" t="s">
        <v>4765</v>
      </c>
      <c r="J842" s="2" t="s">
        <v>34</v>
      </c>
      <c r="K842" s="2" t="s">
        <v>34</v>
      </c>
      <c r="L842" s="2" t="s">
        <v>4766</v>
      </c>
      <c r="M842" s="2" t="s">
        <v>4767</v>
      </c>
      <c r="N842" s="2" t="s">
        <v>4768</v>
      </c>
      <c r="O842" s="2" t="s">
        <v>34</v>
      </c>
      <c r="P842" s="2" t="s">
        <v>36</v>
      </c>
    </row>
    <row r="843" spans="1:16" x14ac:dyDescent="0.2">
      <c r="A843" s="2" t="s">
        <v>4769</v>
      </c>
      <c r="B843" s="2">
        <v>50</v>
      </c>
      <c r="C843" s="2">
        <v>9</v>
      </c>
      <c r="D843" s="2" t="s">
        <v>71</v>
      </c>
      <c r="E843" s="2">
        <v>1432</v>
      </c>
      <c r="F843" s="2" t="s">
        <v>38</v>
      </c>
      <c r="G843" s="2" t="s">
        <v>4235</v>
      </c>
      <c r="H843" s="2" t="s">
        <v>4770</v>
      </c>
      <c r="I843" s="2" t="s">
        <v>4771</v>
      </c>
      <c r="J843" s="2" t="s">
        <v>380</v>
      </c>
      <c r="K843" s="3">
        <v>46129</v>
      </c>
      <c r="L843" s="2" t="s">
        <v>4772</v>
      </c>
      <c r="M843" s="2" t="s">
        <v>4773</v>
      </c>
      <c r="N843" s="2" t="s">
        <v>34</v>
      </c>
      <c r="O843" s="2" t="s">
        <v>34</v>
      </c>
      <c r="P843" s="2" t="s">
        <v>36</v>
      </c>
    </row>
    <row r="844" spans="1:16" x14ac:dyDescent="0.2">
      <c r="A844" s="2" t="s">
        <v>4774</v>
      </c>
      <c r="B844" s="2">
        <v>50</v>
      </c>
      <c r="C844" s="2">
        <v>10</v>
      </c>
      <c r="D844" s="2" t="s">
        <v>71</v>
      </c>
      <c r="E844" s="2">
        <v>1295</v>
      </c>
      <c r="F844" s="2" t="s">
        <v>30</v>
      </c>
      <c r="G844" s="2" t="s">
        <v>4775</v>
      </c>
      <c r="H844" s="2" t="s">
        <v>4776</v>
      </c>
      <c r="I844" s="2" t="s">
        <v>4777</v>
      </c>
      <c r="J844" s="2" t="s">
        <v>34</v>
      </c>
      <c r="K844" s="2" t="s">
        <v>34</v>
      </c>
      <c r="L844" s="2" t="s">
        <v>4778</v>
      </c>
      <c r="M844" s="2" t="s">
        <v>4779</v>
      </c>
      <c r="N844" s="2" t="s">
        <v>34</v>
      </c>
      <c r="O844" s="2" t="s">
        <v>34</v>
      </c>
      <c r="P844" s="2" t="s">
        <v>78</v>
      </c>
    </row>
    <row r="845" spans="1:16" x14ac:dyDescent="0.2">
      <c r="A845" s="2" t="s">
        <v>4780</v>
      </c>
      <c r="B845" s="2">
        <v>50</v>
      </c>
      <c r="C845" s="2">
        <v>11</v>
      </c>
      <c r="D845" s="2" t="s">
        <v>71</v>
      </c>
      <c r="E845" s="2">
        <v>1312</v>
      </c>
      <c r="F845" s="2" t="s">
        <v>30</v>
      </c>
      <c r="G845" s="2" t="s">
        <v>46</v>
      </c>
      <c r="H845" s="2" t="s">
        <v>4781</v>
      </c>
      <c r="I845" s="2" t="s">
        <v>4782</v>
      </c>
      <c r="J845" s="2" t="s">
        <v>34</v>
      </c>
      <c r="K845" s="2" t="s">
        <v>34</v>
      </c>
      <c r="L845" s="2" t="s">
        <v>4783</v>
      </c>
      <c r="M845" s="2" t="s">
        <v>4784</v>
      </c>
      <c r="N845" s="2" t="s">
        <v>34</v>
      </c>
      <c r="O845" s="2" t="s">
        <v>34</v>
      </c>
      <c r="P845" s="2" t="s">
        <v>78</v>
      </c>
    </row>
    <row r="846" spans="1:16" x14ac:dyDescent="0.2">
      <c r="A846" s="2" t="s">
        <v>4785</v>
      </c>
      <c r="B846" s="2">
        <v>50</v>
      </c>
      <c r="C846" s="2">
        <v>12</v>
      </c>
      <c r="D846" s="2" t="s">
        <v>71</v>
      </c>
      <c r="E846" s="2">
        <v>1318</v>
      </c>
      <c r="F846" s="2" t="s">
        <v>30</v>
      </c>
      <c r="G846" s="2" t="s">
        <v>267</v>
      </c>
      <c r="H846" s="2" t="s">
        <v>4786</v>
      </c>
      <c r="I846" s="2" t="s">
        <v>4787</v>
      </c>
      <c r="J846" s="2" t="s">
        <v>34</v>
      </c>
      <c r="K846" s="2" t="s">
        <v>34</v>
      </c>
      <c r="L846" s="2" t="s">
        <v>4788</v>
      </c>
      <c r="M846" s="2" t="s">
        <v>4789</v>
      </c>
      <c r="N846" s="2" t="s">
        <v>34</v>
      </c>
      <c r="O846" s="2" t="s">
        <v>34</v>
      </c>
      <c r="P846" s="2" t="s">
        <v>36</v>
      </c>
    </row>
    <row r="847" spans="1:16" x14ac:dyDescent="0.2">
      <c r="A847" s="2" t="s">
        <v>4790</v>
      </c>
      <c r="B847" s="2">
        <v>50</v>
      </c>
      <c r="C847" s="2">
        <v>13</v>
      </c>
      <c r="D847" s="2" t="s">
        <v>113</v>
      </c>
      <c r="E847" s="2">
        <v>2107</v>
      </c>
      <c r="F847" s="2" t="s">
        <v>30</v>
      </c>
      <c r="G847" s="2" t="s">
        <v>935</v>
      </c>
      <c r="H847" s="2" t="s">
        <v>4791</v>
      </c>
      <c r="I847" s="2" t="s">
        <v>4792</v>
      </c>
      <c r="J847" s="2" t="s">
        <v>34</v>
      </c>
      <c r="K847" s="2" t="s">
        <v>34</v>
      </c>
      <c r="L847" s="2" t="s">
        <v>4793</v>
      </c>
      <c r="M847" s="2" t="s">
        <v>4794</v>
      </c>
      <c r="N847" s="2" t="s">
        <v>34</v>
      </c>
      <c r="O847" s="2" t="s">
        <v>34</v>
      </c>
      <c r="P847" s="2" t="s">
        <v>78</v>
      </c>
    </row>
    <row r="848" spans="1:16" x14ac:dyDescent="0.2">
      <c r="A848" s="2" t="s">
        <v>4795</v>
      </c>
      <c r="B848" s="2">
        <v>50</v>
      </c>
      <c r="C848" s="2">
        <v>14</v>
      </c>
      <c r="D848" s="2" t="s">
        <v>113</v>
      </c>
      <c r="E848" s="2">
        <v>1881</v>
      </c>
      <c r="F848" s="2" t="s">
        <v>30</v>
      </c>
      <c r="G848" s="2" t="s">
        <v>4796</v>
      </c>
      <c r="H848" s="2" t="s">
        <v>4797</v>
      </c>
      <c r="I848" s="2" t="s">
        <v>4798</v>
      </c>
      <c r="J848" s="2" t="s">
        <v>34</v>
      </c>
      <c r="K848" s="2" t="s">
        <v>34</v>
      </c>
      <c r="L848" s="2" t="s">
        <v>4799</v>
      </c>
      <c r="M848" s="2" t="s">
        <v>4800</v>
      </c>
      <c r="N848" s="2" t="s">
        <v>34</v>
      </c>
      <c r="O848" s="2" t="s">
        <v>34</v>
      </c>
      <c r="P848" s="2" t="s">
        <v>78</v>
      </c>
    </row>
    <row r="849" spans="1:16" x14ac:dyDescent="0.2">
      <c r="A849" s="2" t="s">
        <v>4801</v>
      </c>
      <c r="B849" s="2">
        <v>50</v>
      </c>
      <c r="C849" s="2">
        <v>15</v>
      </c>
      <c r="D849" s="2" t="s">
        <v>113</v>
      </c>
      <c r="E849" s="2">
        <v>1726</v>
      </c>
      <c r="F849" s="2" t="s">
        <v>30</v>
      </c>
      <c r="G849" s="2" t="s">
        <v>3988</v>
      </c>
      <c r="H849" s="2" t="s">
        <v>4802</v>
      </c>
      <c r="I849" s="2" t="s">
        <v>4803</v>
      </c>
      <c r="J849" s="2" t="s">
        <v>34</v>
      </c>
      <c r="K849" s="2" t="s">
        <v>34</v>
      </c>
      <c r="L849" s="2" t="s">
        <v>4804</v>
      </c>
      <c r="M849" s="2" t="s">
        <v>4805</v>
      </c>
      <c r="N849" s="2" t="s">
        <v>34</v>
      </c>
      <c r="O849" s="2" t="s">
        <v>34</v>
      </c>
      <c r="P849" s="2" t="s">
        <v>36</v>
      </c>
    </row>
    <row r="850" spans="1:16" x14ac:dyDescent="0.2">
      <c r="A850" s="2" t="s">
        <v>4806</v>
      </c>
      <c r="B850" s="2">
        <v>50</v>
      </c>
      <c r="C850" s="2">
        <v>16</v>
      </c>
      <c r="D850" s="2" t="s">
        <v>113</v>
      </c>
      <c r="E850" s="2">
        <v>1863</v>
      </c>
      <c r="F850" s="2" t="s">
        <v>38</v>
      </c>
      <c r="G850" s="2" t="s">
        <v>4807</v>
      </c>
      <c r="H850" s="2" t="s">
        <v>4808</v>
      </c>
      <c r="I850" s="2" t="s">
        <v>4809</v>
      </c>
      <c r="J850" s="2" t="s">
        <v>3390</v>
      </c>
      <c r="K850" s="3">
        <v>46259</v>
      </c>
      <c r="L850" s="2" t="s">
        <v>4810</v>
      </c>
      <c r="M850" s="2" t="s">
        <v>34</v>
      </c>
      <c r="N850" s="2" t="s">
        <v>34</v>
      </c>
      <c r="O850" s="2" t="s">
        <v>34</v>
      </c>
      <c r="P850" s="2" t="s">
        <v>36</v>
      </c>
    </row>
    <row r="851" spans="1:16" x14ac:dyDescent="0.2">
      <c r="A851" s="2" t="s">
        <v>4811</v>
      </c>
      <c r="B851" s="2">
        <v>50</v>
      </c>
      <c r="C851" s="2">
        <v>17</v>
      </c>
      <c r="D851" s="2" t="s">
        <v>144</v>
      </c>
      <c r="E851" s="2">
        <v>3589</v>
      </c>
      <c r="F851" s="2" t="s">
        <v>38</v>
      </c>
      <c r="G851" s="2" t="s">
        <v>4812</v>
      </c>
      <c r="H851" s="2" t="s">
        <v>4813</v>
      </c>
      <c r="I851" s="2" t="s">
        <v>4814</v>
      </c>
      <c r="J851" s="2" t="s">
        <v>842</v>
      </c>
      <c r="K851" s="3">
        <v>46497</v>
      </c>
      <c r="L851" s="2" t="s">
        <v>4815</v>
      </c>
      <c r="M851" s="2" t="s">
        <v>4816</v>
      </c>
      <c r="N851" s="2" t="s">
        <v>34</v>
      </c>
      <c r="O851" s="2" t="s">
        <v>34</v>
      </c>
      <c r="P851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51"/>
  <sheetViews>
    <sheetView showGridLines="0" workbookViewId="0">
      <selection activeCell="C1" sqref="C1"/>
    </sheetView>
  </sheetViews>
  <sheetFormatPr baseColWidth="10" defaultColWidth="8.83203125" defaultRowHeight="15" x14ac:dyDescent="0.2"/>
  <cols>
    <col min="1" max="1" width="8" customWidth="1"/>
    <col min="2" max="2" width="24" customWidth="1"/>
    <col min="3" max="3" width="20" customWidth="1"/>
    <col min="4" max="5" width="22" customWidth="1"/>
    <col min="6" max="6" width="26" customWidth="1"/>
    <col min="7" max="7" width="18" customWidth="1"/>
    <col min="8" max="8" width="16" customWidth="1"/>
    <col min="9" max="9" width="22" customWidth="1"/>
    <col min="10" max="10" width="16" customWidth="1"/>
    <col min="11" max="11" width="22" customWidth="1"/>
    <col min="12" max="12" width="18" customWidth="1"/>
    <col min="13" max="13" width="22" customWidth="1"/>
    <col min="14" max="15" width="14" customWidth="1"/>
    <col min="16" max="16" width="10" customWidth="1"/>
  </cols>
  <sheetData>
    <row r="1" spans="1:16" ht="22" customHeight="1" x14ac:dyDescent="0.2">
      <c r="A1" s="1" t="s">
        <v>13</v>
      </c>
      <c r="B1" s="1" t="s">
        <v>5685</v>
      </c>
      <c r="C1" s="1" t="s">
        <v>5686</v>
      </c>
      <c r="D1" s="1" t="s">
        <v>5691</v>
      </c>
      <c r="E1" s="1" t="s">
        <v>4817</v>
      </c>
      <c r="F1" s="1" t="s">
        <v>5687</v>
      </c>
      <c r="G1" s="1" t="s">
        <v>5688</v>
      </c>
      <c r="H1" s="1" t="s">
        <v>4818</v>
      </c>
      <c r="I1" s="1" t="s">
        <v>5689</v>
      </c>
      <c r="J1" s="1" t="s">
        <v>4819</v>
      </c>
      <c r="K1" s="1" t="s">
        <v>4820</v>
      </c>
      <c r="L1" s="1" t="s">
        <v>5692</v>
      </c>
      <c r="M1" s="1" t="s">
        <v>5693</v>
      </c>
      <c r="N1" s="1" t="s">
        <v>5690</v>
      </c>
      <c r="O1" s="1" t="s">
        <v>4821</v>
      </c>
      <c r="P1" s="1" t="s">
        <v>4822</v>
      </c>
    </row>
    <row r="2" spans="1:16" x14ac:dyDescent="0.2">
      <c r="A2" s="2" t="s">
        <v>28</v>
      </c>
      <c r="B2" s="2" t="s">
        <v>31</v>
      </c>
      <c r="C2" s="4">
        <v>725</v>
      </c>
      <c r="D2" s="4">
        <f t="shared" ref="D2:D65" si="0">C2*12</f>
        <v>8700</v>
      </c>
      <c r="E2" s="2" t="s">
        <v>36</v>
      </c>
      <c r="F2" s="4">
        <v>7947.67</v>
      </c>
      <c r="G2" s="4">
        <v>0</v>
      </c>
      <c r="H2" s="3">
        <v>46058</v>
      </c>
      <c r="I2" s="4">
        <v>584.80999999999995</v>
      </c>
      <c r="J2" s="2" t="s">
        <v>4823</v>
      </c>
      <c r="K2" s="3">
        <v>46054</v>
      </c>
      <c r="L2" s="2">
        <f>IF(G2&lt;=0,0,MAX(0,Assumptions!$B$3-K2))</f>
        <v>0</v>
      </c>
      <c r="M2" s="2" t="str">
        <f t="shared" ref="M2:M65" si="1">IF(G2&lt;=0,"Current",IF(L2&lt;=30,"30 days",IF(L2&lt;=60,"60 days",IF(L2&lt;=90,"90 days","90+ days"))))</f>
        <v>Current</v>
      </c>
      <c r="N2" s="4">
        <v>0</v>
      </c>
      <c r="O2" s="2" t="s">
        <v>78</v>
      </c>
      <c r="P2" s="2" t="s">
        <v>78</v>
      </c>
    </row>
    <row r="3" spans="1:16" x14ac:dyDescent="0.2">
      <c r="A3" s="2" t="s">
        <v>37</v>
      </c>
      <c r="B3" s="2" t="s">
        <v>39</v>
      </c>
      <c r="C3" s="4">
        <v>725</v>
      </c>
      <c r="D3" s="4">
        <f t="shared" si="0"/>
        <v>8700</v>
      </c>
      <c r="E3" s="2" t="s">
        <v>78</v>
      </c>
      <c r="F3" s="4">
        <v>0</v>
      </c>
      <c r="G3" s="4">
        <v>0</v>
      </c>
      <c r="H3" s="3">
        <v>46051</v>
      </c>
      <c r="I3" s="4">
        <v>657.02</v>
      </c>
      <c r="J3" s="2" t="s">
        <v>4824</v>
      </c>
      <c r="K3" s="3">
        <v>46054</v>
      </c>
      <c r="L3" s="2">
        <f>IF(G3&lt;=0,0,MAX(0,Assumptions!$B$3-K3))</f>
        <v>0</v>
      </c>
      <c r="M3" s="2" t="str">
        <f t="shared" si="1"/>
        <v>Current</v>
      </c>
      <c r="N3" s="4">
        <v>0</v>
      </c>
      <c r="O3" s="2" t="s">
        <v>78</v>
      </c>
      <c r="P3" s="2" t="s">
        <v>36</v>
      </c>
    </row>
    <row r="4" spans="1:16" x14ac:dyDescent="0.2">
      <c r="A4" s="2" t="s">
        <v>45</v>
      </c>
      <c r="B4" s="2" t="s">
        <v>46</v>
      </c>
      <c r="C4" s="4">
        <v>725</v>
      </c>
      <c r="D4" s="4">
        <f t="shared" si="0"/>
        <v>8700</v>
      </c>
      <c r="E4" s="2" t="s">
        <v>78</v>
      </c>
      <c r="F4" s="4">
        <v>0</v>
      </c>
      <c r="G4" s="4">
        <v>2275.09</v>
      </c>
      <c r="H4" s="3">
        <v>45984</v>
      </c>
      <c r="I4" s="4">
        <v>659.05</v>
      </c>
      <c r="J4" s="2" t="s">
        <v>4825</v>
      </c>
      <c r="K4" s="3">
        <v>45964</v>
      </c>
      <c r="L4" s="2">
        <f>IF(G4&lt;=0,0,MAX(0,Assumptions!$B$3-K4))</f>
        <v>0</v>
      </c>
      <c r="M4" s="2" t="str">
        <f t="shared" si="1"/>
        <v>30 days</v>
      </c>
      <c r="N4" s="4">
        <v>0</v>
      </c>
      <c r="O4" s="2" t="s">
        <v>78</v>
      </c>
      <c r="P4" s="2" t="s">
        <v>78</v>
      </c>
    </row>
    <row r="5" spans="1:16" x14ac:dyDescent="0.2">
      <c r="A5" s="2" t="s">
        <v>51</v>
      </c>
      <c r="B5" s="2" t="s">
        <v>52</v>
      </c>
      <c r="C5" s="4">
        <v>725</v>
      </c>
      <c r="D5" s="4">
        <f t="shared" si="0"/>
        <v>8700</v>
      </c>
      <c r="E5" s="2" t="s">
        <v>78</v>
      </c>
      <c r="F5" s="4">
        <v>0</v>
      </c>
      <c r="G5" s="4">
        <v>0</v>
      </c>
      <c r="H5" s="3">
        <v>46061</v>
      </c>
      <c r="I5" s="4">
        <v>696.78</v>
      </c>
      <c r="J5" s="2" t="s">
        <v>4824</v>
      </c>
      <c r="K5" s="3">
        <v>46054</v>
      </c>
      <c r="L5" s="2">
        <f>IF(G5&lt;=0,0,MAX(0,Assumptions!$B$3-K5))</f>
        <v>0</v>
      </c>
      <c r="M5" s="2" t="str">
        <f t="shared" si="1"/>
        <v>Current</v>
      </c>
      <c r="N5" s="4">
        <v>0</v>
      </c>
      <c r="O5" s="2" t="s">
        <v>78</v>
      </c>
      <c r="P5" s="2" t="s">
        <v>78</v>
      </c>
    </row>
    <row r="6" spans="1:16" x14ac:dyDescent="0.2">
      <c r="A6" s="2" t="s">
        <v>57</v>
      </c>
      <c r="B6" s="2" t="s">
        <v>58</v>
      </c>
      <c r="C6" s="4">
        <v>725</v>
      </c>
      <c r="D6" s="4">
        <f t="shared" si="0"/>
        <v>8700</v>
      </c>
      <c r="E6" s="2" t="s">
        <v>78</v>
      </c>
      <c r="F6" s="4">
        <v>0</v>
      </c>
      <c r="G6" s="4">
        <v>0</v>
      </c>
      <c r="H6" s="3">
        <v>46030</v>
      </c>
      <c r="I6" s="4">
        <v>594.46</v>
      </c>
      <c r="J6" s="2" t="s">
        <v>4826</v>
      </c>
      <c r="K6" s="3">
        <v>46054</v>
      </c>
      <c r="L6" s="2">
        <f>IF(G6&lt;=0,0,MAX(0,Assumptions!$B$3-K6))</f>
        <v>0</v>
      </c>
      <c r="M6" s="2" t="str">
        <f t="shared" si="1"/>
        <v>Current</v>
      </c>
      <c r="N6" s="4">
        <v>0</v>
      </c>
      <c r="O6" s="2" t="s">
        <v>78</v>
      </c>
      <c r="P6" s="2" t="s">
        <v>78</v>
      </c>
    </row>
    <row r="7" spans="1:16" x14ac:dyDescent="0.2">
      <c r="A7" s="2" t="s">
        <v>64</v>
      </c>
      <c r="B7" s="2" t="s">
        <v>65</v>
      </c>
      <c r="C7" s="4">
        <v>725</v>
      </c>
      <c r="D7" s="4">
        <f t="shared" si="0"/>
        <v>8700</v>
      </c>
      <c r="E7" s="2" t="s">
        <v>36</v>
      </c>
      <c r="F7" s="4">
        <v>803.35</v>
      </c>
      <c r="G7" s="4">
        <v>0</v>
      </c>
      <c r="H7" s="3">
        <v>46058</v>
      </c>
      <c r="I7" s="4">
        <v>599.1</v>
      </c>
      <c r="J7" s="2" t="s">
        <v>4825</v>
      </c>
      <c r="K7" s="3">
        <v>46054</v>
      </c>
      <c r="L7" s="2">
        <f>IF(G7&lt;=0,0,MAX(0,Assumptions!$B$3-K7))</f>
        <v>0</v>
      </c>
      <c r="M7" s="2" t="str">
        <f t="shared" si="1"/>
        <v>Current</v>
      </c>
      <c r="N7" s="4">
        <v>0</v>
      </c>
      <c r="O7" s="2" t="s">
        <v>78</v>
      </c>
      <c r="P7" s="2" t="s">
        <v>36</v>
      </c>
    </row>
    <row r="8" spans="1:16" x14ac:dyDescent="0.2">
      <c r="A8" s="2" t="s">
        <v>70</v>
      </c>
      <c r="B8" s="2" t="s">
        <v>72</v>
      </c>
      <c r="C8" s="4">
        <v>890</v>
      </c>
      <c r="D8" s="4">
        <f t="shared" si="0"/>
        <v>10680</v>
      </c>
      <c r="E8" s="2" t="s">
        <v>78</v>
      </c>
      <c r="F8" s="4">
        <v>0</v>
      </c>
      <c r="G8" s="4">
        <v>0</v>
      </c>
      <c r="H8" s="3">
        <v>46048</v>
      </c>
      <c r="I8" s="4">
        <v>851.87</v>
      </c>
      <c r="J8" s="2" t="s">
        <v>4826</v>
      </c>
      <c r="K8" s="3">
        <v>46054</v>
      </c>
      <c r="L8" s="2">
        <f>IF(G8&lt;=0,0,MAX(0,Assumptions!$B$3-K8))</f>
        <v>0</v>
      </c>
      <c r="M8" s="2" t="str">
        <f t="shared" si="1"/>
        <v>Current</v>
      </c>
      <c r="N8" s="4">
        <v>0</v>
      </c>
      <c r="O8" s="2" t="s">
        <v>78</v>
      </c>
      <c r="P8" s="2" t="s">
        <v>78</v>
      </c>
    </row>
    <row r="9" spans="1:16" x14ac:dyDescent="0.2">
      <c r="A9" s="2" t="s">
        <v>79</v>
      </c>
      <c r="B9" s="2" t="s">
        <v>80</v>
      </c>
      <c r="C9" s="4">
        <v>890</v>
      </c>
      <c r="D9" s="4">
        <f t="shared" si="0"/>
        <v>10680</v>
      </c>
      <c r="E9" s="2" t="s">
        <v>78</v>
      </c>
      <c r="F9" s="4">
        <v>0</v>
      </c>
      <c r="G9" s="4">
        <v>25</v>
      </c>
      <c r="H9" s="3">
        <v>46063</v>
      </c>
      <c r="I9" s="4">
        <v>991.72</v>
      </c>
      <c r="J9" s="2" t="s">
        <v>4827</v>
      </c>
      <c r="K9" s="3">
        <v>46054</v>
      </c>
      <c r="L9" s="2">
        <f>IF(G9&lt;=0,0,MAX(0,Assumptions!$B$3-K9))</f>
        <v>0</v>
      </c>
      <c r="M9" s="2" t="str">
        <f t="shared" si="1"/>
        <v>30 days</v>
      </c>
      <c r="N9" s="4">
        <v>0</v>
      </c>
      <c r="O9" s="2" t="s">
        <v>78</v>
      </c>
      <c r="P9" s="2" t="s">
        <v>78</v>
      </c>
    </row>
    <row r="10" spans="1:16" x14ac:dyDescent="0.2">
      <c r="A10" s="2" t="s">
        <v>86</v>
      </c>
      <c r="B10" s="2" t="s">
        <v>87</v>
      </c>
      <c r="C10" s="4">
        <v>890</v>
      </c>
      <c r="D10" s="4">
        <f t="shared" si="0"/>
        <v>10680</v>
      </c>
      <c r="E10" s="2" t="s">
        <v>78</v>
      </c>
      <c r="F10" s="4">
        <v>0</v>
      </c>
      <c r="G10" s="4">
        <v>0</v>
      </c>
      <c r="H10" s="3">
        <v>46067</v>
      </c>
      <c r="I10" s="4">
        <v>777.89</v>
      </c>
      <c r="J10" s="2" t="s">
        <v>4824</v>
      </c>
      <c r="K10" s="3">
        <v>46054</v>
      </c>
      <c r="L10" s="2">
        <f>IF(G10&lt;=0,0,MAX(0,Assumptions!$B$3-K10))</f>
        <v>0</v>
      </c>
      <c r="M10" s="2" t="str">
        <f t="shared" si="1"/>
        <v>Current</v>
      </c>
      <c r="N10" s="4">
        <v>0</v>
      </c>
      <c r="O10" s="2" t="s">
        <v>78</v>
      </c>
      <c r="P10" s="2" t="s">
        <v>78</v>
      </c>
    </row>
    <row r="11" spans="1:16" x14ac:dyDescent="0.2">
      <c r="A11" s="2" t="s">
        <v>92</v>
      </c>
      <c r="B11" s="2" t="s">
        <v>93</v>
      </c>
      <c r="C11" s="4">
        <v>890</v>
      </c>
      <c r="D11" s="4">
        <f t="shared" si="0"/>
        <v>10680</v>
      </c>
      <c r="E11" s="2" t="s">
        <v>78</v>
      </c>
      <c r="F11" s="4">
        <v>0</v>
      </c>
      <c r="G11" s="4">
        <v>25</v>
      </c>
      <c r="H11" s="3">
        <v>46063</v>
      </c>
      <c r="I11" s="4">
        <v>824.18</v>
      </c>
      <c r="J11" s="2" t="s">
        <v>4825</v>
      </c>
      <c r="K11" s="3">
        <v>46054</v>
      </c>
      <c r="L11" s="2">
        <f>IF(G11&lt;=0,0,MAX(0,Assumptions!$B$3-K11))</f>
        <v>0</v>
      </c>
      <c r="M11" s="2" t="str">
        <f t="shared" si="1"/>
        <v>30 days</v>
      </c>
      <c r="N11" s="4">
        <v>0</v>
      </c>
      <c r="O11" s="2" t="s">
        <v>78</v>
      </c>
      <c r="P11" s="2" t="s">
        <v>36</v>
      </c>
    </row>
    <row r="12" spans="1:16" x14ac:dyDescent="0.2">
      <c r="A12" s="2" t="s">
        <v>99</v>
      </c>
      <c r="B12" s="2" t="s">
        <v>100</v>
      </c>
      <c r="C12" s="4">
        <v>890</v>
      </c>
      <c r="D12" s="4">
        <f t="shared" si="0"/>
        <v>10680</v>
      </c>
      <c r="E12" s="2" t="s">
        <v>78</v>
      </c>
      <c r="F12" s="4">
        <v>0</v>
      </c>
      <c r="G12" s="4">
        <v>0</v>
      </c>
      <c r="H12" s="3">
        <v>46031</v>
      </c>
      <c r="I12" s="4">
        <v>880.96</v>
      </c>
      <c r="J12" s="2" t="s">
        <v>4827</v>
      </c>
      <c r="K12" s="3">
        <v>46054</v>
      </c>
      <c r="L12" s="2">
        <f>IF(G12&lt;=0,0,MAX(0,Assumptions!$B$3-K12))</f>
        <v>0</v>
      </c>
      <c r="M12" s="2" t="str">
        <f t="shared" si="1"/>
        <v>Current</v>
      </c>
      <c r="N12" s="4">
        <v>0</v>
      </c>
      <c r="O12" s="2" t="s">
        <v>78</v>
      </c>
      <c r="P12" s="2" t="s">
        <v>36</v>
      </c>
    </row>
    <row r="13" spans="1:16" x14ac:dyDescent="0.2">
      <c r="A13" s="2" t="s">
        <v>105</v>
      </c>
      <c r="B13" s="2" t="s">
        <v>106</v>
      </c>
      <c r="C13" s="4">
        <v>890</v>
      </c>
      <c r="D13" s="4">
        <f t="shared" si="0"/>
        <v>10680</v>
      </c>
      <c r="E13" s="2" t="s">
        <v>78</v>
      </c>
      <c r="F13" s="4">
        <v>0</v>
      </c>
      <c r="G13" s="4">
        <v>1048.6500000000001</v>
      </c>
      <c r="H13" s="3">
        <v>45916</v>
      </c>
      <c r="I13" s="4">
        <v>474.33</v>
      </c>
      <c r="J13" s="2" t="s">
        <v>4823</v>
      </c>
      <c r="K13" s="3">
        <v>46024</v>
      </c>
      <c r="L13" s="2">
        <f>IF(G13&lt;=0,0,MAX(0,Assumptions!$B$3-K13))</f>
        <v>0</v>
      </c>
      <c r="M13" s="2" t="str">
        <f t="shared" si="1"/>
        <v>30 days</v>
      </c>
      <c r="N13" s="4">
        <v>0</v>
      </c>
      <c r="O13" s="2" t="s">
        <v>78</v>
      </c>
      <c r="P13" s="2" t="s">
        <v>78</v>
      </c>
    </row>
    <row r="14" spans="1:16" x14ac:dyDescent="0.2">
      <c r="A14" s="2" t="s">
        <v>112</v>
      </c>
      <c r="B14" s="2" t="s">
        <v>114</v>
      </c>
      <c r="C14" s="4">
        <v>1050</v>
      </c>
      <c r="D14" s="4">
        <f t="shared" si="0"/>
        <v>12600</v>
      </c>
      <c r="E14" s="2" t="s">
        <v>36</v>
      </c>
      <c r="F14" s="4">
        <v>647.82000000000005</v>
      </c>
      <c r="G14" s="4">
        <v>0</v>
      </c>
      <c r="H14" s="3">
        <v>46059</v>
      </c>
      <c r="I14" s="4">
        <v>1060.6099999999999</v>
      </c>
      <c r="J14" s="2" t="s">
        <v>4826</v>
      </c>
      <c r="K14" s="3">
        <v>46054</v>
      </c>
      <c r="L14" s="2">
        <f>IF(G14&lt;=0,0,MAX(0,Assumptions!$B$3-K14))</f>
        <v>0</v>
      </c>
      <c r="M14" s="2" t="str">
        <f t="shared" si="1"/>
        <v>Current</v>
      </c>
      <c r="N14" s="4">
        <v>0</v>
      </c>
      <c r="O14" s="2" t="s">
        <v>78</v>
      </c>
      <c r="P14" s="2" t="s">
        <v>78</v>
      </c>
    </row>
    <row r="15" spans="1:16" x14ac:dyDescent="0.2">
      <c r="A15" s="2" t="s">
        <v>121</v>
      </c>
      <c r="B15" s="2" t="s">
        <v>122</v>
      </c>
      <c r="C15" s="4">
        <v>1050</v>
      </c>
      <c r="D15" s="4">
        <f t="shared" si="0"/>
        <v>12600</v>
      </c>
      <c r="E15" s="2" t="s">
        <v>36</v>
      </c>
      <c r="F15" s="4">
        <v>7333.09</v>
      </c>
      <c r="G15" s="4">
        <v>-50</v>
      </c>
      <c r="H15" s="3">
        <v>46045</v>
      </c>
      <c r="I15" s="4">
        <v>1046.08</v>
      </c>
      <c r="J15" s="2" t="s">
        <v>4827</v>
      </c>
      <c r="K15" s="3">
        <v>46054</v>
      </c>
      <c r="L15" s="2">
        <f>IF(G15&lt;=0,0,MAX(0,Assumptions!$B$3-K15))</f>
        <v>0</v>
      </c>
      <c r="M15" s="2" t="str">
        <f t="shared" si="1"/>
        <v>Current</v>
      </c>
      <c r="N15" s="4">
        <v>0</v>
      </c>
      <c r="O15" s="2" t="s">
        <v>78</v>
      </c>
      <c r="P15" s="2" t="s">
        <v>78</v>
      </c>
    </row>
    <row r="16" spans="1:16" x14ac:dyDescent="0.2">
      <c r="A16" s="2" t="s">
        <v>127</v>
      </c>
      <c r="B16" s="2" t="s">
        <v>128</v>
      </c>
      <c r="C16" s="4">
        <v>1050</v>
      </c>
      <c r="D16" s="4">
        <f t="shared" si="0"/>
        <v>12600</v>
      </c>
      <c r="E16" s="2" t="s">
        <v>78</v>
      </c>
      <c r="F16" s="4">
        <v>0</v>
      </c>
      <c r="G16" s="4">
        <v>-50</v>
      </c>
      <c r="H16" s="3">
        <v>46044</v>
      </c>
      <c r="I16" s="4">
        <v>845.7</v>
      </c>
      <c r="J16" s="2" t="s">
        <v>4827</v>
      </c>
      <c r="K16" s="3">
        <v>46054</v>
      </c>
      <c r="L16" s="2">
        <f>IF(G16&lt;=0,0,MAX(0,Assumptions!$B$3-K16))</f>
        <v>0</v>
      </c>
      <c r="M16" s="2" t="str">
        <f t="shared" si="1"/>
        <v>Current</v>
      </c>
      <c r="N16" s="4">
        <v>0</v>
      </c>
      <c r="O16" s="2" t="s">
        <v>78</v>
      </c>
      <c r="P16" s="2" t="s">
        <v>36</v>
      </c>
    </row>
    <row r="17" spans="1:16" x14ac:dyDescent="0.2">
      <c r="A17" s="2" t="s">
        <v>136</v>
      </c>
      <c r="B17" s="2" t="s">
        <v>137</v>
      </c>
      <c r="C17" s="4">
        <v>1050</v>
      </c>
      <c r="D17" s="4">
        <f t="shared" si="0"/>
        <v>12600</v>
      </c>
      <c r="E17" s="2" t="s">
        <v>78</v>
      </c>
      <c r="F17" s="4">
        <v>0</v>
      </c>
      <c r="G17" s="4">
        <v>0</v>
      </c>
      <c r="H17" s="3">
        <v>46066</v>
      </c>
      <c r="I17" s="4">
        <v>953.37</v>
      </c>
      <c r="J17" s="2" t="s">
        <v>4824</v>
      </c>
      <c r="K17" s="3">
        <v>46054</v>
      </c>
      <c r="L17" s="2">
        <f>IF(G17&lt;=0,0,MAX(0,Assumptions!$B$3-K17))</f>
        <v>0</v>
      </c>
      <c r="M17" s="2" t="str">
        <f t="shared" si="1"/>
        <v>Current</v>
      </c>
      <c r="N17" s="4">
        <v>0</v>
      </c>
      <c r="O17" s="2" t="s">
        <v>78</v>
      </c>
      <c r="P17" s="2" t="s">
        <v>36</v>
      </c>
    </row>
    <row r="18" spans="1:16" x14ac:dyDescent="0.2">
      <c r="A18" s="2" t="s">
        <v>143</v>
      </c>
      <c r="B18" s="2" t="s">
        <v>145</v>
      </c>
      <c r="C18" s="4">
        <v>1450</v>
      </c>
      <c r="D18" s="4">
        <f t="shared" si="0"/>
        <v>17400</v>
      </c>
      <c r="E18" s="2" t="s">
        <v>78</v>
      </c>
      <c r="F18" s="4">
        <v>0</v>
      </c>
      <c r="G18" s="4">
        <v>25</v>
      </c>
      <c r="H18" s="3">
        <v>46031</v>
      </c>
      <c r="I18" s="4">
        <v>1736.57</v>
      </c>
      <c r="J18" s="2" t="s">
        <v>4827</v>
      </c>
      <c r="K18" s="3">
        <v>46054</v>
      </c>
      <c r="L18" s="2">
        <f>IF(G18&lt;=0,0,MAX(0,Assumptions!$B$3-K18))</f>
        <v>0</v>
      </c>
      <c r="M18" s="2" t="str">
        <f t="shared" si="1"/>
        <v>30 days</v>
      </c>
      <c r="N18" s="4">
        <v>0</v>
      </c>
      <c r="O18" s="2" t="s">
        <v>78</v>
      </c>
      <c r="P18" s="2" t="s">
        <v>36</v>
      </c>
    </row>
    <row r="19" spans="1:16" x14ac:dyDescent="0.2">
      <c r="A19" s="2" t="s">
        <v>150</v>
      </c>
      <c r="B19" s="2" t="s">
        <v>151</v>
      </c>
      <c r="C19" s="4">
        <v>725</v>
      </c>
      <c r="D19" s="4">
        <f t="shared" si="0"/>
        <v>8700</v>
      </c>
      <c r="E19" s="2" t="s">
        <v>78</v>
      </c>
      <c r="F19" s="4">
        <v>0</v>
      </c>
      <c r="G19" s="4">
        <v>0</v>
      </c>
      <c r="H19" s="3">
        <v>46050</v>
      </c>
      <c r="I19" s="4">
        <v>639.83000000000004</v>
      </c>
      <c r="J19" s="2" t="s">
        <v>4825</v>
      </c>
      <c r="K19" s="3">
        <v>46054</v>
      </c>
      <c r="L19" s="2">
        <f>IF(G19&lt;=0,0,MAX(0,Assumptions!$B$3-K19))</f>
        <v>0</v>
      </c>
      <c r="M19" s="2" t="str">
        <f t="shared" si="1"/>
        <v>Current</v>
      </c>
      <c r="N19" s="4">
        <v>0</v>
      </c>
      <c r="O19" s="2" t="s">
        <v>78</v>
      </c>
      <c r="P19" s="2" t="s">
        <v>36</v>
      </c>
    </row>
    <row r="20" spans="1:16" x14ac:dyDescent="0.2">
      <c r="A20" s="2" t="s">
        <v>156</v>
      </c>
      <c r="B20" s="2" t="s">
        <v>87</v>
      </c>
      <c r="C20" s="4">
        <v>725</v>
      </c>
      <c r="D20" s="4">
        <f t="shared" si="0"/>
        <v>8700</v>
      </c>
      <c r="E20" s="2" t="s">
        <v>78</v>
      </c>
      <c r="F20" s="4">
        <v>0</v>
      </c>
      <c r="G20" s="4">
        <v>0</v>
      </c>
      <c r="H20" s="3">
        <v>46033</v>
      </c>
      <c r="I20" s="4">
        <v>776.85</v>
      </c>
      <c r="J20" s="2" t="s">
        <v>4823</v>
      </c>
      <c r="K20" s="3">
        <v>46054</v>
      </c>
      <c r="L20" s="2">
        <f>IF(G20&lt;=0,0,MAX(0,Assumptions!$B$3-K20))</f>
        <v>0</v>
      </c>
      <c r="M20" s="2" t="str">
        <f t="shared" si="1"/>
        <v>Current</v>
      </c>
      <c r="N20" s="4">
        <v>0</v>
      </c>
      <c r="O20" s="2" t="s">
        <v>78</v>
      </c>
      <c r="P20" s="2" t="s">
        <v>78</v>
      </c>
    </row>
    <row r="21" spans="1:16" x14ac:dyDescent="0.2">
      <c r="A21" s="2" t="s">
        <v>161</v>
      </c>
      <c r="B21" s="2" t="s">
        <v>162</v>
      </c>
      <c r="C21" s="4">
        <v>725</v>
      </c>
      <c r="D21" s="4">
        <f t="shared" si="0"/>
        <v>8700</v>
      </c>
      <c r="E21" s="2" t="s">
        <v>78</v>
      </c>
      <c r="F21" s="4">
        <v>0</v>
      </c>
      <c r="G21" s="4">
        <v>-50</v>
      </c>
      <c r="H21" s="3">
        <v>46052</v>
      </c>
      <c r="I21" s="4">
        <v>693.4</v>
      </c>
      <c r="J21" s="2" t="s">
        <v>4823</v>
      </c>
      <c r="K21" s="3">
        <v>46054</v>
      </c>
      <c r="L21" s="2">
        <f>IF(G21&lt;=0,0,MAX(0,Assumptions!$B$3-K21))</f>
        <v>0</v>
      </c>
      <c r="M21" s="2" t="str">
        <f t="shared" si="1"/>
        <v>Current</v>
      </c>
      <c r="N21" s="4">
        <v>0</v>
      </c>
      <c r="O21" s="2" t="s">
        <v>78</v>
      </c>
      <c r="P21" s="2" t="s">
        <v>78</v>
      </c>
    </row>
    <row r="22" spans="1:16" x14ac:dyDescent="0.2">
      <c r="A22" s="2" t="s">
        <v>167</v>
      </c>
      <c r="B22" s="2" t="s">
        <v>168</v>
      </c>
      <c r="C22" s="4">
        <v>725</v>
      </c>
      <c r="D22" s="4">
        <f t="shared" si="0"/>
        <v>8700</v>
      </c>
      <c r="E22" s="2" t="s">
        <v>78</v>
      </c>
      <c r="F22" s="4">
        <v>0</v>
      </c>
      <c r="G22" s="4">
        <v>15</v>
      </c>
      <c r="H22" s="3">
        <v>46052</v>
      </c>
      <c r="I22" s="4">
        <v>821.91</v>
      </c>
      <c r="J22" s="2" t="s">
        <v>4825</v>
      </c>
      <c r="K22" s="3">
        <v>46054</v>
      </c>
      <c r="L22" s="2">
        <f>IF(G22&lt;=0,0,MAX(0,Assumptions!$B$3-K22))</f>
        <v>0</v>
      </c>
      <c r="M22" s="2" t="str">
        <f t="shared" si="1"/>
        <v>30 days</v>
      </c>
      <c r="N22" s="4">
        <v>0</v>
      </c>
      <c r="O22" s="2" t="s">
        <v>78</v>
      </c>
      <c r="P22" s="2" t="s">
        <v>36</v>
      </c>
    </row>
    <row r="23" spans="1:16" x14ac:dyDescent="0.2">
      <c r="A23" s="2" t="s">
        <v>173</v>
      </c>
      <c r="B23" s="2" t="s">
        <v>174</v>
      </c>
      <c r="C23" s="4">
        <v>725</v>
      </c>
      <c r="D23" s="4">
        <f t="shared" si="0"/>
        <v>8700</v>
      </c>
      <c r="E23" s="2" t="s">
        <v>78</v>
      </c>
      <c r="F23" s="4">
        <v>0</v>
      </c>
      <c r="G23" s="4">
        <v>-50</v>
      </c>
      <c r="H23" s="3">
        <v>46055</v>
      </c>
      <c r="I23" s="4">
        <v>611.96</v>
      </c>
      <c r="J23" s="2" t="s">
        <v>4825</v>
      </c>
      <c r="K23" s="3">
        <v>46054</v>
      </c>
      <c r="L23" s="2">
        <f>IF(G23&lt;=0,0,MAX(0,Assumptions!$B$3-K23))</f>
        <v>0</v>
      </c>
      <c r="M23" s="2" t="str">
        <f t="shared" si="1"/>
        <v>Current</v>
      </c>
      <c r="N23" s="4">
        <v>0</v>
      </c>
      <c r="O23" s="2" t="s">
        <v>78</v>
      </c>
      <c r="P23" s="2" t="s">
        <v>36</v>
      </c>
    </row>
    <row r="24" spans="1:16" x14ac:dyDescent="0.2">
      <c r="A24" s="2" t="s">
        <v>179</v>
      </c>
      <c r="B24" s="2" t="s">
        <v>180</v>
      </c>
      <c r="C24" s="4">
        <v>725</v>
      </c>
      <c r="D24" s="4">
        <f t="shared" si="0"/>
        <v>8700</v>
      </c>
      <c r="E24" s="2" t="s">
        <v>78</v>
      </c>
      <c r="F24" s="4">
        <v>0</v>
      </c>
      <c r="G24" s="4">
        <v>0</v>
      </c>
      <c r="H24" s="3">
        <v>46040</v>
      </c>
      <c r="I24" s="4">
        <v>860.33</v>
      </c>
      <c r="J24" s="2" t="s">
        <v>4824</v>
      </c>
      <c r="K24" s="3">
        <v>46054</v>
      </c>
      <c r="L24" s="2">
        <f>IF(G24&lt;=0,0,MAX(0,Assumptions!$B$3-K24))</f>
        <v>0</v>
      </c>
      <c r="M24" s="2" t="str">
        <f t="shared" si="1"/>
        <v>Current</v>
      </c>
      <c r="N24" s="4">
        <v>0</v>
      </c>
      <c r="O24" s="2" t="s">
        <v>78</v>
      </c>
      <c r="P24" s="2" t="s">
        <v>78</v>
      </c>
    </row>
    <row r="25" spans="1:16" x14ac:dyDescent="0.2">
      <c r="A25" s="2" t="s">
        <v>185</v>
      </c>
      <c r="B25" s="2" t="s">
        <v>186</v>
      </c>
      <c r="C25" s="4">
        <v>890</v>
      </c>
      <c r="D25" s="4">
        <f t="shared" si="0"/>
        <v>10680</v>
      </c>
      <c r="E25" s="2" t="s">
        <v>78</v>
      </c>
      <c r="F25" s="4">
        <v>0</v>
      </c>
      <c r="G25" s="4">
        <v>0</v>
      </c>
      <c r="H25" s="3">
        <v>46055</v>
      </c>
      <c r="I25" s="4">
        <v>717.55</v>
      </c>
      <c r="J25" s="2" t="s">
        <v>4825</v>
      </c>
      <c r="K25" s="3">
        <v>46054</v>
      </c>
      <c r="L25" s="2">
        <f>IF(G25&lt;=0,0,MAX(0,Assumptions!$B$3-K25))</f>
        <v>0</v>
      </c>
      <c r="M25" s="2" t="str">
        <f t="shared" si="1"/>
        <v>Current</v>
      </c>
      <c r="N25" s="4">
        <v>0</v>
      </c>
      <c r="O25" s="2" t="s">
        <v>78</v>
      </c>
      <c r="P25" s="2" t="s">
        <v>36</v>
      </c>
    </row>
    <row r="26" spans="1:16" x14ac:dyDescent="0.2">
      <c r="A26" s="2" t="s">
        <v>192</v>
      </c>
      <c r="B26" s="2" t="s">
        <v>193</v>
      </c>
      <c r="C26" s="4">
        <v>890</v>
      </c>
      <c r="D26" s="4">
        <f t="shared" si="0"/>
        <v>10680</v>
      </c>
      <c r="E26" s="2" t="s">
        <v>36</v>
      </c>
      <c r="F26" s="4">
        <v>4651.1099999999997</v>
      </c>
      <c r="G26" s="4">
        <v>0</v>
      </c>
      <c r="H26" s="3">
        <v>46046</v>
      </c>
      <c r="I26" s="4">
        <v>837.4</v>
      </c>
      <c r="J26" s="2" t="s">
        <v>4825</v>
      </c>
      <c r="K26" s="3">
        <v>46054</v>
      </c>
      <c r="L26" s="2">
        <f>IF(G26&lt;=0,0,MAX(0,Assumptions!$B$3-K26))</f>
        <v>0</v>
      </c>
      <c r="M26" s="2" t="str">
        <f t="shared" si="1"/>
        <v>Current</v>
      </c>
      <c r="N26" s="4">
        <v>0</v>
      </c>
      <c r="O26" s="2" t="s">
        <v>78</v>
      </c>
      <c r="P26" s="2" t="s">
        <v>78</v>
      </c>
    </row>
    <row r="27" spans="1:16" x14ac:dyDescent="0.2">
      <c r="A27" s="2" t="s">
        <v>199</v>
      </c>
      <c r="B27" s="2" t="s">
        <v>200</v>
      </c>
      <c r="C27" s="4">
        <v>890</v>
      </c>
      <c r="D27" s="4">
        <f t="shared" si="0"/>
        <v>10680</v>
      </c>
      <c r="E27" s="2" t="s">
        <v>78</v>
      </c>
      <c r="F27" s="4">
        <v>0</v>
      </c>
      <c r="G27" s="4">
        <v>2844.7</v>
      </c>
      <c r="H27" s="3">
        <v>45942</v>
      </c>
      <c r="I27" s="4">
        <v>542.99</v>
      </c>
      <c r="J27" s="2" t="s">
        <v>4827</v>
      </c>
      <c r="K27" s="3">
        <v>45964</v>
      </c>
      <c r="L27" s="2">
        <f>IF(G27&lt;=0,0,MAX(0,Assumptions!$B$3-K27))</f>
        <v>0</v>
      </c>
      <c r="M27" s="2" t="str">
        <f t="shared" si="1"/>
        <v>30 days</v>
      </c>
      <c r="N27" s="4">
        <v>0</v>
      </c>
      <c r="O27" s="2" t="s">
        <v>78</v>
      </c>
      <c r="P27" s="2" t="s">
        <v>78</v>
      </c>
    </row>
    <row r="28" spans="1:16" x14ac:dyDescent="0.2">
      <c r="A28" s="2" t="s">
        <v>207</v>
      </c>
      <c r="B28" s="2" t="s">
        <v>208</v>
      </c>
      <c r="C28" s="4">
        <v>890</v>
      </c>
      <c r="D28" s="4">
        <f t="shared" si="0"/>
        <v>10680</v>
      </c>
      <c r="E28" s="2" t="s">
        <v>78</v>
      </c>
      <c r="F28" s="4">
        <v>0</v>
      </c>
      <c r="G28" s="4">
        <v>0</v>
      </c>
      <c r="H28" s="3">
        <v>46055</v>
      </c>
      <c r="I28" s="4">
        <v>789.91</v>
      </c>
      <c r="J28" s="2" t="s">
        <v>4823</v>
      </c>
      <c r="K28" s="3">
        <v>46054</v>
      </c>
      <c r="L28" s="2">
        <f>IF(G28&lt;=0,0,MAX(0,Assumptions!$B$3-K28))</f>
        <v>0</v>
      </c>
      <c r="M28" s="2" t="str">
        <f t="shared" si="1"/>
        <v>Current</v>
      </c>
      <c r="N28" s="4">
        <v>0</v>
      </c>
      <c r="O28" s="2" t="s">
        <v>78</v>
      </c>
      <c r="P28" s="2" t="s">
        <v>78</v>
      </c>
    </row>
    <row r="29" spans="1:16" x14ac:dyDescent="0.2">
      <c r="A29" s="2" t="s">
        <v>214</v>
      </c>
      <c r="B29" s="2" t="s">
        <v>215</v>
      </c>
      <c r="C29" s="4">
        <v>890</v>
      </c>
      <c r="D29" s="4">
        <f t="shared" si="0"/>
        <v>10680</v>
      </c>
      <c r="E29" s="2" t="s">
        <v>78</v>
      </c>
      <c r="F29" s="4">
        <v>0</v>
      </c>
      <c r="G29" s="4">
        <v>0</v>
      </c>
      <c r="H29" s="3">
        <v>46046</v>
      </c>
      <c r="I29" s="4">
        <v>854.08</v>
      </c>
      <c r="J29" s="2" t="s">
        <v>4825</v>
      </c>
      <c r="K29" s="3">
        <v>46054</v>
      </c>
      <c r="L29" s="2">
        <f>IF(G29&lt;=0,0,MAX(0,Assumptions!$B$3-K29))</f>
        <v>0</v>
      </c>
      <c r="M29" s="2" t="str">
        <f t="shared" si="1"/>
        <v>Current</v>
      </c>
      <c r="N29" s="4">
        <v>0</v>
      </c>
      <c r="O29" s="2" t="s">
        <v>78</v>
      </c>
      <c r="P29" s="2" t="s">
        <v>36</v>
      </c>
    </row>
    <row r="30" spans="1:16" x14ac:dyDescent="0.2">
      <c r="A30" s="2" t="s">
        <v>219</v>
      </c>
      <c r="B30" s="2" t="s">
        <v>220</v>
      </c>
      <c r="C30" s="4">
        <v>890</v>
      </c>
      <c r="D30" s="4">
        <f t="shared" si="0"/>
        <v>10680</v>
      </c>
      <c r="E30" s="2" t="s">
        <v>78</v>
      </c>
      <c r="F30" s="4">
        <v>0</v>
      </c>
      <c r="G30" s="4">
        <v>0</v>
      </c>
      <c r="H30" s="3">
        <v>46037</v>
      </c>
      <c r="I30" s="4">
        <v>867.15</v>
      </c>
      <c r="J30" s="2" t="s">
        <v>4827</v>
      </c>
      <c r="K30" s="3">
        <v>46054</v>
      </c>
      <c r="L30" s="2">
        <f>IF(G30&lt;=0,0,MAX(0,Assumptions!$B$3-K30))</f>
        <v>0</v>
      </c>
      <c r="M30" s="2" t="str">
        <f t="shared" si="1"/>
        <v>Current</v>
      </c>
      <c r="N30" s="4">
        <v>0</v>
      </c>
      <c r="O30" s="2" t="s">
        <v>78</v>
      </c>
      <c r="P30" s="2" t="s">
        <v>78</v>
      </c>
    </row>
    <row r="31" spans="1:16" x14ac:dyDescent="0.2">
      <c r="A31" s="2" t="s">
        <v>226</v>
      </c>
      <c r="B31" s="2" t="s">
        <v>227</v>
      </c>
      <c r="C31" s="4">
        <v>1050</v>
      </c>
      <c r="D31" s="4">
        <f t="shared" si="0"/>
        <v>12600</v>
      </c>
      <c r="E31" s="2" t="s">
        <v>78</v>
      </c>
      <c r="F31" s="4">
        <v>0</v>
      </c>
      <c r="G31" s="4">
        <v>0</v>
      </c>
      <c r="H31" s="3">
        <v>46065</v>
      </c>
      <c r="I31" s="4">
        <v>1014.85</v>
      </c>
      <c r="J31" s="2" t="s">
        <v>4826</v>
      </c>
      <c r="K31" s="3">
        <v>46054</v>
      </c>
      <c r="L31" s="2">
        <f>IF(G31&lt;=0,0,MAX(0,Assumptions!$B$3-K31))</f>
        <v>0</v>
      </c>
      <c r="M31" s="2" t="str">
        <f t="shared" si="1"/>
        <v>Current</v>
      </c>
      <c r="N31" s="4">
        <v>0</v>
      </c>
      <c r="O31" s="2" t="s">
        <v>78</v>
      </c>
      <c r="P31" s="2" t="s">
        <v>36</v>
      </c>
    </row>
    <row r="32" spans="1:16" x14ac:dyDescent="0.2">
      <c r="A32" s="2" t="s">
        <v>232</v>
      </c>
      <c r="B32" s="2" t="s">
        <v>233</v>
      </c>
      <c r="C32" s="4">
        <v>1050</v>
      </c>
      <c r="D32" s="4">
        <f t="shared" si="0"/>
        <v>12600</v>
      </c>
      <c r="E32" s="2" t="s">
        <v>78</v>
      </c>
      <c r="F32" s="4">
        <v>0</v>
      </c>
      <c r="G32" s="4">
        <v>0</v>
      </c>
      <c r="H32" s="3">
        <v>46039</v>
      </c>
      <c r="I32" s="4">
        <v>917.02</v>
      </c>
      <c r="J32" s="2" t="s">
        <v>4823</v>
      </c>
      <c r="K32" s="3">
        <v>46054</v>
      </c>
      <c r="L32" s="2">
        <f>IF(G32&lt;=0,0,MAX(0,Assumptions!$B$3-K32))</f>
        <v>0</v>
      </c>
      <c r="M32" s="2" t="str">
        <f t="shared" si="1"/>
        <v>Current</v>
      </c>
      <c r="N32" s="4">
        <v>0</v>
      </c>
      <c r="O32" s="2" t="s">
        <v>78</v>
      </c>
      <c r="P32" s="2" t="s">
        <v>36</v>
      </c>
    </row>
    <row r="33" spans="1:16" x14ac:dyDescent="0.2">
      <c r="A33" s="2" t="s">
        <v>240</v>
      </c>
      <c r="B33" s="2" t="s">
        <v>241</v>
      </c>
      <c r="C33" s="4">
        <v>1050</v>
      </c>
      <c r="D33" s="4">
        <f t="shared" si="0"/>
        <v>12600</v>
      </c>
      <c r="E33" s="2" t="s">
        <v>78</v>
      </c>
      <c r="F33" s="4">
        <v>0</v>
      </c>
      <c r="G33" s="4">
        <v>15</v>
      </c>
      <c r="H33" s="3">
        <v>46030</v>
      </c>
      <c r="I33" s="4">
        <v>1139.29</v>
      </c>
      <c r="J33" s="2" t="s">
        <v>4823</v>
      </c>
      <c r="K33" s="3">
        <v>46054</v>
      </c>
      <c r="L33" s="2">
        <f>IF(G33&lt;=0,0,MAX(0,Assumptions!$B$3-K33))</f>
        <v>0</v>
      </c>
      <c r="M33" s="2" t="str">
        <f t="shared" si="1"/>
        <v>30 days</v>
      </c>
      <c r="N33" s="4">
        <v>0</v>
      </c>
      <c r="O33" s="2" t="s">
        <v>78</v>
      </c>
      <c r="P33" s="2" t="s">
        <v>78</v>
      </c>
    </row>
    <row r="34" spans="1:16" x14ac:dyDescent="0.2">
      <c r="A34" s="2" t="s">
        <v>246</v>
      </c>
      <c r="B34" s="2" t="s">
        <v>247</v>
      </c>
      <c r="C34" s="4">
        <v>1050</v>
      </c>
      <c r="D34" s="4">
        <f t="shared" si="0"/>
        <v>12600</v>
      </c>
      <c r="E34" s="2" t="s">
        <v>78</v>
      </c>
      <c r="F34" s="4">
        <v>0</v>
      </c>
      <c r="G34" s="4">
        <v>0</v>
      </c>
      <c r="H34" s="3">
        <v>46072</v>
      </c>
      <c r="I34" s="4">
        <v>1223.27</v>
      </c>
      <c r="J34" s="2" t="s">
        <v>4825</v>
      </c>
      <c r="K34" s="3">
        <v>46054</v>
      </c>
      <c r="L34" s="2">
        <f>IF(G34&lt;=0,0,MAX(0,Assumptions!$B$3-K34))</f>
        <v>0</v>
      </c>
      <c r="M34" s="2" t="str">
        <f t="shared" si="1"/>
        <v>Current</v>
      </c>
      <c r="N34" s="4">
        <v>0</v>
      </c>
      <c r="O34" s="2" t="s">
        <v>78</v>
      </c>
      <c r="P34" s="2" t="s">
        <v>78</v>
      </c>
    </row>
    <row r="35" spans="1:16" x14ac:dyDescent="0.2">
      <c r="A35" s="2" t="s">
        <v>253</v>
      </c>
      <c r="B35" s="2" t="s">
        <v>254</v>
      </c>
      <c r="C35" s="4">
        <v>1450</v>
      </c>
      <c r="D35" s="4">
        <f t="shared" si="0"/>
        <v>17400</v>
      </c>
      <c r="E35" s="2" t="s">
        <v>78</v>
      </c>
      <c r="F35" s="4">
        <v>0</v>
      </c>
      <c r="G35" s="4">
        <v>0</v>
      </c>
      <c r="H35" s="3">
        <v>46058</v>
      </c>
      <c r="I35" s="4">
        <v>1496.59</v>
      </c>
      <c r="J35" s="2" t="s">
        <v>4827</v>
      </c>
      <c r="K35" s="3">
        <v>46054</v>
      </c>
      <c r="L35" s="2">
        <f>IF(G35&lt;=0,0,MAX(0,Assumptions!$B$3-K35))</f>
        <v>0</v>
      </c>
      <c r="M35" s="2" t="str">
        <f t="shared" si="1"/>
        <v>Current</v>
      </c>
      <c r="N35" s="4">
        <v>0</v>
      </c>
      <c r="O35" s="2" t="s">
        <v>78</v>
      </c>
      <c r="P35" s="2" t="s">
        <v>36</v>
      </c>
    </row>
    <row r="36" spans="1:16" x14ac:dyDescent="0.2">
      <c r="A36" s="2" t="s">
        <v>259</v>
      </c>
      <c r="B36" s="2" t="s">
        <v>260</v>
      </c>
      <c r="C36" s="4">
        <v>725</v>
      </c>
      <c r="D36" s="4">
        <f t="shared" si="0"/>
        <v>8700</v>
      </c>
      <c r="E36" s="2" t="s">
        <v>78</v>
      </c>
      <c r="F36" s="4">
        <v>0</v>
      </c>
      <c r="G36" s="4">
        <v>0</v>
      </c>
      <c r="H36" s="3">
        <v>46070</v>
      </c>
      <c r="I36" s="4">
        <v>799.05</v>
      </c>
      <c r="J36" s="2" t="s">
        <v>4823</v>
      </c>
      <c r="K36" s="3">
        <v>46054</v>
      </c>
      <c r="L36" s="2">
        <f>IF(G36&lt;=0,0,MAX(0,Assumptions!$B$3-K36))</f>
        <v>0</v>
      </c>
      <c r="M36" s="2" t="str">
        <f t="shared" si="1"/>
        <v>Current</v>
      </c>
      <c r="N36" s="4">
        <v>0</v>
      </c>
      <c r="O36" s="2" t="s">
        <v>78</v>
      </c>
      <c r="P36" s="2" t="s">
        <v>78</v>
      </c>
    </row>
    <row r="37" spans="1:16" x14ac:dyDescent="0.2">
      <c r="A37" s="2" t="s">
        <v>266</v>
      </c>
      <c r="B37" s="2" t="s">
        <v>267</v>
      </c>
      <c r="C37" s="4">
        <v>725</v>
      </c>
      <c r="D37" s="4">
        <f t="shared" si="0"/>
        <v>8700</v>
      </c>
      <c r="E37" s="2" t="s">
        <v>78</v>
      </c>
      <c r="F37" s="4">
        <v>0</v>
      </c>
      <c r="G37" s="4">
        <v>15</v>
      </c>
      <c r="H37" s="3">
        <v>46044</v>
      </c>
      <c r="I37" s="4">
        <v>823.37</v>
      </c>
      <c r="J37" s="2" t="s">
        <v>4825</v>
      </c>
      <c r="K37" s="3">
        <v>46054</v>
      </c>
      <c r="L37" s="2">
        <f>IF(G37&lt;=0,0,MAX(0,Assumptions!$B$3-K37))</f>
        <v>0</v>
      </c>
      <c r="M37" s="2" t="str">
        <f t="shared" si="1"/>
        <v>30 days</v>
      </c>
      <c r="N37" s="4">
        <v>0</v>
      </c>
      <c r="O37" s="2" t="s">
        <v>78</v>
      </c>
      <c r="P37" s="2" t="s">
        <v>78</v>
      </c>
    </row>
    <row r="38" spans="1:16" x14ac:dyDescent="0.2">
      <c r="A38" s="2" t="s">
        <v>272</v>
      </c>
      <c r="B38" s="2" t="s">
        <v>273</v>
      </c>
      <c r="C38" s="4">
        <v>725</v>
      </c>
      <c r="D38" s="4">
        <f t="shared" si="0"/>
        <v>8700</v>
      </c>
      <c r="E38" s="2" t="s">
        <v>78</v>
      </c>
      <c r="F38" s="4">
        <v>0</v>
      </c>
      <c r="G38" s="4">
        <v>934.94</v>
      </c>
      <c r="H38" s="3">
        <v>45968</v>
      </c>
      <c r="I38" s="4">
        <v>719.63</v>
      </c>
      <c r="J38" s="2" t="s">
        <v>4825</v>
      </c>
      <c r="K38" s="3">
        <v>46024</v>
      </c>
      <c r="L38" s="2">
        <f>IF(G38&lt;=0,0,MAX(0,Assumptions!$B$3-K38))</f>
        <v>0</v>
      </c>
      <c r="M38" s="2" t="str">
        <f t="shared" si="1"/>
        <v>30 days</v>
      </c>
      <c r="N38" s="4">
        <v>50</v>
      </c>
      <c r="O38" s="2" t="s">
        <v>78</v>
      </c>
      <c r="P38" s="2" t="s">
        <v>78</v>
      </c>
    </row>
    <row r="39" spans="1:16" x14ac:dyDescent="0.2">
      <c r="A39" s="2" t="s">
        <v>277</v>
      </c>
      <c r="B39" s="2" t="s">
        <v>278</v>
      </c>
      <c r="C39" s="4">
        <v>725</v>
      </c>
      <c r="D39" s="4">
        <f t="shared" si="0"/>
        <v>8700</v>
      </c>
      <c r="E39" s="2" t="s">
        <v>78</v>
      </c>
      <c r="F39" s="4">
        <v>0</v>
      </c>
      <c r="G39" s="4">
        <v>0</v>
      </c>
      <c r="H39" s="3">
        <v>46060</v>
      </c>
      <c r="I39" s="4">
        <v>729.72</v>
      </c>
      <c r="J39" s="2" t="s">
        <v>4824</v>
      </c>
      <c r="K39" s="3">
        <v>46054</v>
      </c>
      <c r="L39" s="2">
        <f>IF(G39&lt;=0,0,MAX(0,Assumptions!$B$3-K39))</f>
        <v>0</v>
      </c>
      <c r="M39" s="2" t="str">
        <f t="shared" si="1"/>
        <v>Current</v>
      </c>
      <c r="N39" s="4">
        <v>0</v>
      </c>
      <c r="O39" s="2" t="s">
        <v>78</v>
      </c>
      <c r="P39" s="2" t="s">
        <v>78</v>
      </c>
    </row>
    <row r="40" spans="1:16" x14ac:dyDescent="0.2">
      <c r="A40" s="2" t="s">
        <v>283</v>
      </c>
      <c r="B40" s="2" t="s">
        <v>114</v>
      </c>
      <c r="C40" s="4">
        <v>725</v>
      </c>
      <c r="D40" s="4">
        <f t="shared" si="0"/>
        <v>8700</v>
      </c>
      <c r="E40" s="2" t="s">
        <v>78</v>
      </c>
      <c r="F40" s="4">
        <v>0</v>
      </c>
      <c r="G40" s="4">
        <v>0</v>
      </c>
      <c r="H40" s="3">
        <v>46054</v>
      </c>
      <c r="I40" s="4">
        <v>762.19</v>
      </c>
      <c r="J40" s="2" t="s">
        <v>4825</v>
      </c>
      <c r="K40" s="3">
        <v>46054</v>
      </c>
      <c r="L40" s="2">
        <f>IF(G40&lt;=0,0,MAX(0,Assumptions!$B$3-K40))</f>
        <v>0</v>
      </c>
      <c r="M40" s="2" t="str">
        <f t="shared" si="1"/>
        <v>Current</v>
      </c>
      <c r="N40" s="4">
        <v>0</v>
      </c>
      <c r="O40" s="2" t="s">
        <v>78</v>
      </c>
      <c r="P40" s="2" t="s">
        <v>78</v>
      </c>
    </row>
    <row r="41" spans="1:16" x14ac:dyDescent="0.2">
      <c r="A41" s="2" t="s">
        <v>288</v>
      </c>
      <c r="B41" s="2" t="s">
        <v>289</v>
      </c>
      <c r="C41" s="4">
        <v>725</v>
      </c>
      <c r="D41" s="4">
        <f t="shared" si="0"/>
        <v>8700</v>
      </c>
      <c r="E41" s="2" t="s">
        <v>78</v>
      </c>
      <c r="F41" s="4">
        <v>0</v>
      </c>
      <c r="G41" s="4">
        <v>0</v>
      </c>
      <c r="H41" s="3">
        <v>46073</v>
      </c>
      <c r="I41" s="4">
        <v>624.38</v>
      </c>
      <c r="J41" s="2" t="s">
        <v>4825</v>
      </c>
      <c r="K41" s="3">
        <v>46054</v>
      </c>
      <c r="L41" s="2">
        <f>IF(G41&lt;=0,0,MAX(0,Assumptions!$B$3-K41))</f>
        <v>0</v>
      </c>
      <c r="M41" s="2" t="str">
        <f t="shared" si="1"/>
        <v>Current</v>
      </c>
      <c r="N41" s="4">
        <v>0</v>
      </c>
      <c r="O41" s="2" t="s">
        <v>78</v>
      </c>
      <c r="P41" s="2" t="s">
        <v>78</v>
      </c>
    </row>
    <row r="42" spans="1:16" x14ac:dyDescent="0.2">
      <c r="A42" s="2" t="s">
        <v>293</v>
      </c>
      <c r="B42" s="2" t="s">
        <v>294</v>
      </c>
      <c r="C42" s="4">
        <v>890</v>
      </c>
      <c r="D42" s="4">
        <f t="shared" si="0"/>
        <v>10680</v>
      </c>
      <c r="E42" s="2" t="s">
        <v>36</v>
      </c>
      <c r="F42" s="4">
        <v>709.58</v>
      </c>
      <c r="G42" s="4">
        <v>15</v>
      </c>
      <c r="H42" s="3">
        <v>46045</v>
      </c>
      <c r="I42" s="4">
        <v>851.09</v>
      </c>
      <c r="J42" s="2" t="s">
        <v>4825</v>
      </c>
      <c r="K42" s="3">
        <v>46054</v>
      </c>
      <c r="L42" s="2">
        <f>IF(G42&lt;=0,0,MAX(0,Assumptions!$B$3-K42))</f>
        <v>0</v>
      </c>
      <c r="M42" s="2" t="str">
        <f t="shared" si="1"/>
        <v>30 days</v>
      </c>
      <c r="N42" s="4">
        <v>0</v>
      </c>
      <c r="O42" s="2" t="s">
        <v>78</v>
      </c>
      <c r="P42" s="2" t="s">
        <v>36</v>
      </c>
    </row>
    <row r="43" spans="1:16" x14ac:dyDescent="0.2">
      <c r="A43" s="2" t="s">
        <v>298</v>
      </c>
      <c r="B43" s="2" t="s">
        <v>299</v>
      </c>
      <c r="C43" s="4">
        <v>890</v>
      </c>
      <c r="D43" s="4">
        <f t="shared" si="0"/>
        <v>10680</v>
      </c>
      <c r="E43" s="2" t="s">
        <v>78</v>
      </c>
      <c r="F43" s="4">
        <v>0</v>
      </c>
      <c r="G43" s="4">
        <v>25</v>
      </c>
      <c r="H43" s="3">
        <v>46039</v>
      </c>
      <c r="I43" s="4">
        <v>804.66</v>
      </c>
      <c r="J43" s="2" t="s">
        <v>4824</v>
      </c>
      <c r="K43" s="3">
        <v>46054</v>
      </c>
      <c r="L43" s="2">
        <f>IF(G43&lt;=0,0,MAX(0,Assumptions!$B$3-K43))</f>
        <v>0</v>
      </c>
      <c r="M43" s="2" t="str">
        <f t="shared" si="1"/>
        <v>30 days</v>
      </c>
      <c r="N43" s="4">
        <v>0</v>
      </c>
      <c r="O43" s="2" t="s">
        <v>78</v>
      </c>
      <c r="P43" s="2" t="s">
        <v>78</v>
      </c>
    </row>
    <row r="44" spans="1:16" x14ac:dyDescent="0.2">
      <c r="A44" s="2" t="s">
        <v>304</v>
      </c>
      <c r="B44" s="2" t="s">
        <v>305</v>
      </c>
      <c r="C44" s="4">
        <v>890</v>
      </c>
      <c r="D44" s="4">
        <f t="shared" si="0"/>
        <v>10680</v>
      </c>
      <c r="E44" s="2" t="s">
        <v>78</v>
      </c>
      <c r="F44" s="4">
        <v>0</v>
      </c>
      <c r="G44" s="4">
        <v>0</v>
      </c>
      <c r="H44" s="3">
        <v>46064</v>
      </c>
      <c r="I44" s="4">
        <v>938.49</v>
      </c>
      <c r="J44" s="2" t="s">
        <v>4826</v>
      </c>
      <c r="K44" s="3">
        <v>46054</v>
      </c>
      <c r="L44" s="2">
        <f>IF(G44&lt;=0,0,MAX(0,Assumptions!$B$3-K44))</f>
        <v>0</v>
      </c>
      <c r="M44" s="2" t="str">
        <f t="shared" si="1"/>
        <v>Current</v>
      </c>
      <c r="N44" s="4">
        <v>0</v>
      </c>
      <c r="O44" s="2" t="s">
        <v>78</v>
      </c>
      <c r="P44" s="2" t="s">
        <v>78</v>
      </c>
    </row>
    <row r="45" spans="1:16" x14ac:dyDescent="0.2">
      <c r="A45" s="2" t="s">
        <v>311</v>
      </c>
      <c r="B45" s="2" t="s">
        <v>145</v>
      </c>
      <c r="C45" s="4">
        <v>890</v>
      </c>
      <c r="D45" s="4">
        <f t="shared" si="0"/>
        <v>10680</v>
      </c>
      <c r="E45" s="2" t="s">
        <v>78</v>
      </c>
      <c r="F45" s="4">
        <v>0</v>
      </c>
      <c r="G45" s="4">
        <v>15</v>
      </c>
      <c r="H45" s="3">
        <v>46039</v>
      </c>
      <c r="I45" s="4">
        <v>783.32</v>
      </c>
      <c r="J45" s="2" t="s">
        <v>4823</v>
      </c>
      <c r="K45" s="3">
        <v>46054</v>
      </c>
      <c r="L45" s="2">
        <f>IF(G45&lt;=0,0,MAX(0,Assumptions!$B$3-K45))</f>
        <v>0</v>
      </c>
      <c r="M45" s="2" t="str">
        <f t="shared" si="1"/>
        <v>30 days</v>
      </c>
      <c r="N45" s="4">
        <v>0</v>
      </c>
      <c r="O45" s="2" t="s">
        <v>78</v>
      </c>
      <c r="P45" s="2" t="s">
        <v>78</v>
      </c>
    </row>
    <row r="46" spans="1:16" x14ac:dyDescent="0.2">
      <c r="A46" s="2" t="s">
        <v>317</v>
      </c>
      <c r="B46" s="2" t="s">
        <v>318</v>
      </c>
      <c r="C46" s="4">
        <v>890</v>
      </c>
      <c r="D46" s="4">
        <f t="shared" si="0"/>
        <v>10680</v>
      </c>
      <c r="E46" s="2" t="s">
        <v>78</v>
      </c>
      <c r="F46" s="4">
        <v>0</v>
      </c>
      <c r="G46" s="4">
        <v>0</v>
      </c>
      <c r="H46" s="3">
        <v>46050</v>
      </c>
      <c r="I46" s="4">
        <v>949.7</v>
      </c>
      <c r="J46" s="2" t="s">
        <v>4823</v>
      </c>
      <c r="K46" s="3">
        <v>46054</v>
      </c>
      <c r="L46" s="2">
        <f>IF(G46&lt;=0,0,MAX(0,Assumptions!$B$3-K46))</f>
        <v>0</v>
      </c>
      <c r="M46" s="2" t="str">
        <f t="shared" si="1"/>
        <v>Current</v>
      </c>
      <c r="N46" s="4">
        <v>0</v>
      </c>
      <c r="O46" s="2" t="s">
        <v>78</v>
      </c>
      <c r="P46" s="2" t="s">
        <v>78</v>
      </c>
    </row>
    <row r="47" spans="1:16" x14ac:dyDescent="0.2">
      <c r="A47" s="2" t="s">
        <v>324</v>
      </c>
      <c r="B47" s="2" t="s">
        <v>325</v>
      </c>
      <c r="C47" s="4">
        <v>890</v>
      </c>
      <c r="D47" s="4">
        <f t="shared" si="0"/>
        <v>10680</v>
      </c>
      <c r="E47" s="2" t="s">
        <v>78</v>
      </c>
      <c r="F47" s="4">
        <v>0</v>
      </c>
      <c r="G47" s="4">
        <v>0</v>
      </c>
      <c r="H47" s="3">
        <v>46064</v>
      </c>
      <c r="I47" s="4">
        <v>721.96</v>
      </c>
      <c r="J47" s="2" t="s">
        <v>4823</v>
      </c>
      <c r="K47" s="3">
        <v>46054</v>
      </c>
      <c r="L47" s="2">
        <f>IF(G47&lt;=0,0,MAX(0,Assumptions!$B$3-K47))</f>
        <v>0</v>
      </c>
      <c r="M47" s="2" t="str">
        <f t="shared" si="1"/>
        <v>Current</v>
      </c>
      <c r="N47" s="4">
        <v>0</v>
      </c>
      <c r="O47" s="2" t="s">
        <v>78</v>
      </c>
      <c r="P47" s="2" t="s">
        <v>78</v>
      </c>
    </row>
    <row r="48" spans="1:16" x14ac:dyDescent="0.2">
      <c r="A48" s="2" t="s">
        <v>330</v>
      </c>
      <c r="B48" s="2" t="s">
        <v>331</v>
      </c>
      <c r="C48" s="4">
        <v>1050</v>
      </c>
      <c r="D48" s="4">
        <f t="shared" si="0"/>
        <v>12600</v>
      </c>
      <c r="E48" s="2" t="s">
        <v>78</v>
      </c>
      <c r="F48" s="4">
        <v>0</v>
      </c>
      <c r="G48" s="4">
        <v>0</v>
      </c>
      <c r="H48" s="3">
        <v>46032</v>
      </c>
      <c r="I48" s="4">
        <v>1113.18</v>
      </c>
      <c r="J48" s="2" t="s">
        <v>4824</v>
      </c>
      <c r="K48" s="3">
        <v>46054</v>
      </c>
      <c r="L48" s="2">
        <f>IF(G48&lt;=0,0,MAX(0,Assumptions!$B$3-K48))</f>
        <v>0</v>
      </c>
      <c r="M48" s="2" t="str">
        <f t="shared" si="1"/>
        <v>Current</v>
      </c>
      <c r="N48" s="4">
        <v>0</v>
      </c>
      <c r="O48" s="2" t="s">
        <v>78</v>
      </c>
      <c r="P48" s="2" t="s">
        <v>36</v>
      </c>
    </row>
    <row r="49" spans="1:16" x14ac:dyDescent="0.2">
      <c r="A49" s="2" t="s">
        <v>337</v>
      </c>
      <c r="B49" s="2" t="s">
        <v>338</v>
      </c>
      <c r="C49" s="4">
        <v>1050</v>
      </c>
      <c r="D49" s="4">
        <f t="shared" si="0"/>
        <v>12600</v>
      </c>
      <c r="E49" s="2" t="s">
        <v>78</v>
      </c>
      <c r="F49" s="4">
        <v>0</v>
      </c>
      <c r="G49" s="4">
        <v>0</v>
      </c>
      <c r="H49" s="3">
        <v>46044</v>
      </c>
      <c r="I49" s="4">
        <v>1210.6199999999999</v>
      </c>
      <c r="J49" s="2" t="s">
        <v>4823</v>
      </c>
      <c r="K49" s="3">
        <v>46054</v>
      </c>
      <c r="L49" s="2">
        <f>IF(G49&lt;=0,0,MAX(0,Assumptions!$B$3-K49))</f>
        <v>0</v>
      </c>
      <c r="M49" s="2" t="str">
        <f t="shared" si="1"/>
        <v>Current</v>
      </c>
      <c r="N49" s="4">
        <v>0</v>
      </c>
      <c r="O49" s="2" t="s">
        <v>78</v>
      </c>
      <c r="P49" s="2" t="s">
        <v>78</v>
      </c>
    </row>
    <row r="50" spans="1:16" x14ac:dyDescent="0.2">
      <c r="A50" s="2" t="s">
        <v>344</v>
      </c>
      <c r="B50" s="2" t="s">
        <v>345</v>
      </c>
      <c r="C50" s="4">
        <v>1050</v>
      </c>
      <c r="D50" s="4">
        <f t="shared" si="0"/>
        <v>12600</v>
      </c>
      <c r="E50" s="2" t="s">
        <v>78</v>
      </c>
      <c r="F50" s="4">
        <v>0</v>
      </c>
      <c r="G50" s="4">
        <v>15</v>
      </c>
      <c r="H50" s="3">
        <v>46060</v>
      </c>
      <c r="I50" s="4">
        <v>986.51</v>
      </c>
      <c r="J50" s="2" t="s">
        <v>4824</v>
      </c>
      <c r="K50" s="3">
        <v>46054</v>
      </c>
      <c r="L50" s="2">
        <f>IF(G50&lt;=0,0,MAX(0,Assumptions!$B$3-K50))</f>
        <v>0</v>
      </c>
      <c r="M50" s="2" t="str">
        <f t="shared" si="1"/>
        <v>30 days</v>
      </c>
      <c r="N50" s="4">
        <v>0</v>
      </c>
      <c r="O50" s="2" t="s">
        <v>78</v>
      </c>
      <c r="P50" s="2" t="s">
        <v>78</v>
      </c>
    </row>
    <row r="51" spans="1:16" x14ac:dyDescent="0.2">
      <c r="A51" s="2" t="s">
        <v>350</v>
      </c>
      <c r="B51" s="2" t="s">
        <v>200</v>
      </c>
      <c r="C51" s="4">
        <v>1050</v>
      </c>
      <c r="D51" s="4">
        <f t="shared" si="0"/>
        <v>12600</v>
      </c>
      <c r="E51" s="2" t="s">
        <v>78</v>
      </c>
      <c r="F51" s="4">
        <v>0</v>
      </c>
      <c r="G51" s="4">
        <v>-50</v>
      </c>
      <c r="H51" s="3">
        <v>46032</v>
      </c>
      <c r="I51" s="4">
        <v>1142.07</v>
      </c>
      <c r="J51" s="2" t="s">
        <v>4827</v>
      </c>
      <c r="K51" s="3">
        <v>46054</v>
      </c>
      <c r="L51" s="2">
        <f>IF(G51&lt;=0,0,MAX(0,Assumptions!$B$3-K51))</f>
        <v>0</v>
      </c>
      <c r="M51" s="2" t="str">
        <f t="shared" si="1"/>
        <v>Current</v>
      </c>
      <c r="N51" s="4">
        <v>0</v>
      </c>
      <c r="O51" s="2" t="s">
        <v>78</v>
      </c>
      <c r="P51" s="2" t="s">
        <v>36</v>
      </c>
    </row>
    <row r="52" spans="1:16" x14ac:dyDescent="0.2">
      <c r="A52" s="2" t="s">
        <v>355</v>
      </c>
      <c r="B52" s="2" t="s">
        <v>356</v>
      </c>
      <c r="C52" s="4">
        <v>1450</v>
      </c>
      <c r="D52" s="4">
        <f t="shared" si="0"/>
        <v>17400</v>
      </c>
      <c r="E52" s="2" t="s">
        <v>36</v>
      </c>
      <c r="F52" s="4">
        <v>7172.17</v>
      </c>
      <c r="G52" s="4">
        <v>0</v>
      </c>
      <c r="H52" s="3">
        <v>46048</v>
      </c>
      <c r="I52" s="4">
        <v>1199.56</v>
      </c>
      <c r="J52" s="2" t="s">
        <v>4823</v>
      </c>
      <c r="K52" s="3">
        <v>46054</v>
      </c>
      <c r="L52" s="2">
        <f>IF(G52&lt;=0,0,MAX(0,Assumptions!$B$3-K52))</f>
        <v>0</v>
      </c>
      <c r="M52" s="2" t="str">
        <f t="shared" si="1"/>
        <v>Current</v>
      </c>
      <c r="N52" s="4">
        <v>0</v>
      </c>
      <c r="O52" s="2" t="s">
        <v>78</v>
      </c>
      <c r="P52" s="2" t="s">
        <v>78</v>
      </c>
    </row>
    <row r="53" spans="1:16" x14ac:dyDescent="0.2">
      <c r="A53" s="2" t="s">
        <v>362</v>
      </c>
      <c r="B53" s="2" t="s">
        <v>363</v>
      </c>
      <c r="C53" s="4">
        <v>725</v>
      </c>
      <c r="D53" s="4">
        <f t="shared" si="0"/>
        <v>8700</v>
      </c>
      <c r="E53" s="2" t="s">
        <v>78</v>
      </c>
      <c r="F53" s="4">
        <v>0</v>
      </c>
      <c r="G53" s="4">
        <v>15</v>
      </c>
      <c r="H53" s="3">
        <v>46031</v>
      </c>
      <c r="I53" s="4">
        <v>732.38</v>
      </c>
      <c r="J53" s="2" t="s">
        <v>4826</v>
      </c>
      <c r="K53" s="3">
        <v>46054</v>
      </c>
      <c r="L53" s="2">
        <f>IF(G53&lt;=0,0,MAX(0,Assumptions!$B$3-K53))</f>
        <v>0</v>
      </c>
      <c r="M53" s="2" t="str">
        <f t="shared" si="1"/>
        <v>30 days</v>
      </c>
      <c r="N53" s="4">
        <v>0</v>
      </c>
      <c r="O53" s="2" t="s">
        <v>78</v>
      </c>
      <c r="P53" s="2" t="s">
        <v>78</v>
      </c>
    </row>
    <row r="54" spans="1:16" x14ac:dyDescent="0.2">
      <c r="A54" s="2" t="s">
        <v>368</v>
      </c>
      <c r="B54" s="2" t="s">
        <v>369</v>
      </c>
      <c r="C54" s="4">
        <v>725</v>
      </c>
      <c r="D54" s="4">
        <f t="shared" si="0"/>
        <v>8700</v>
      </c>
      <c r="E54" s="2" t="s">
        <v>78</v>
      </c>
      <c r="F54" s="4">
        <v>0</v>
      </c>
      <c r="G54" s="4">
        <v>0</v>
      </c>
      <c r="H54" s="3">
        <v>46069</v>
      </c>
      <c r="I54" s="4">
        <v>593.03</v>
      </c>
      <c r="J54" s="2" t="s">
        <v>4826</v>
      </c>
      <c r="K54" s="3">
        <v>46054</v>
      </c>
      <c r="L54" s="2">
        <f>IF(G54&lt;=0,0,MAX(0,Assumptions!$B$3-K54))</f>
        <v>0</v>
      </c>
      <c r="M54" s="2" t="str">
        <f t="shared" si="1"/>
        <v>Current</v>
      </c>
      <c r="N54" s="4">
        <v>0</v>
      </c>
      <c r="O54" s="2" t="s">
        <v>78</v>
      </c>
      <c r="P54" s="2" t="s">
        <v>78</v>
      </c>
    </row>
    <row r="55" spans="1:16" x14ac:dyDescent="0.2">
      <c r="A55" s="2" t="s">
        <v>373</v>
      </c>
      <c r="B55" s="2" t="s">
        <v>374</v>
      </c>
      <c r="C55" s="4">
        <v>725</v>
      </c>
      <c r="D55" s="4">
        <f t="shared" si="0"/>
        <v>8700</v>
      </c>
      <c r="E55" s="2" t="s">
        <v>78</v>
      </c>
      <c r="F55" s="4">
        <v>0</v>
      </c>
      <c r="G55" s="4">
        <v>0</v>
      </c>
      <c r="H55" s="3">
        <v>46053</v>
      </c>
      <c r="I55" s="4">
        <v>800.37</v>
      </c>
      <c r="J55" s="2" t="s">
        <v>4826</v>
      </c>
      <c r="K55" s="3">
        <v>46054</v>
      </c>
      <c r="L55" s="2">
        <f>IF(G55&lt;=0,0,MAX(0,Assumptions!$B$3-K55))</f>
        <v>0</v>
      </c>
      <c r="M55" s="2" t="str">
        <f t="shared" si="1"/>
        <v>Current</v>
      </c>
      <c r="N55" s="4">
        <v>0</v>
      </c>
      <c r="O55" s="2" t="s">
        <v>78</v>
      </c>
      <c r="P55" s="2" t="s">
        <v>78</v>
      </c>
    </row>
    <row r="56" spans="1:16" x14ac:dyDescent="0.2">
      <c r="A56" s="2" t="s">
        <v>379</v>
      </c>
      <c r="B56" s="2" t="s">
        <v>380</v>
      </c>
      <c r="C56" s="4">
        <v>725</v>
      </c>
      <c r="D56" s="4">
        <f t="shared" si="0"/>
        <v>8700</v>
      </c>
      <c r="E56" s="2" t="s">
        <v>78</v>
      </c>
      <c r="F56" s="4">
        <v>0</v>
      </c>
      <c r="G56" s="4">
        <v>0</v>
      </c>
      <c r="H56" s="3">
        <v>46047</v>
      </c>
      <c r="I56" s="4">
        <v>847.49</v>
      </c>
      <c r="J56" s="2" t="s">
        <v>4825</v>
      </c>
      <c r="K56" s="3">
        <v>46054</v>
      </c>
      <c r="L56" s="2">
        <f>IF(G56&lt;=0,0,MAX(0,Assumptions!$B$3-K56))</f>
        <v>0</v>
      </c>
      <c r="M56" s="2" t="str">
        <f t="shared" si="1"/>
        <v>Current</v>
      </c>
      <c r="N56" s="4">
        <v>0</v>
      </c>
      <c r="O56" s="2" t="s">
        <v>78</v>
      </c>
      <c r="P56" s="2" t="s">
        <v>78</v>
      </c>
    </row>
    <row r="57" spans="1:16" x14ac:dyDescent="0.2">
      <c r="A57" s="2" t="s">
        <v>384</v>
      </c>
      <c r="B57" s="2" t="s">
        <v>385</v>
      </c>
      <c r="C57" s="4">
        <v>725</v>
      </c>
      <c r="D57" s="4">
        <f t="shared" si="0"/>
        <v>8700</v>
      </c>
      <c r="E57" s="2" t="s">
        <v>78</v>
      </c>
      <c r="F57" s="4">
        <v>0</v>
      </c>
      <c r="G57" s="4">
        <v>0</v>
      </c>
      <c r="H57" s="3">
        <v>46045</v>
      </c>
      <c r="I57" s="4">
        <v>801.37</v>
      </c>
      <c r="J57" s="2" t="s">
        <v>4824</v>
      </c>
      <c r="K57" s="3">
        <v>46054</v>
      </c>
      <c r="L57" s="2">
        <f>IF(G57&lt;=0,0,MAX(0,Assumptions!$B$3-K57))</f>
        <v>0</v>
      </c>
      <c r="M57" s="2" t="str">
        <f t="shared" si="1"/>
        <v>Current</v>
      </c>
      <c r="N57" s="4">
        <v>0</v>
      </c>
      <c r="O57" s="2" t="s">
        <v>78</v>
      </c>
      <c r="P57" s="2" t="s">
        <v>36</v>
      </c>
    </row>
    <row r="58" spans="1:16" x14ac:dyDescent="0.2">
      <c r="A58" s="2" t="s">
        <v>390</v>
      </c>
      <c r="B58" s="2" t="s">
        <v>391</v>
      </c>
      <c r="C58" s="4">
        <v>725</v>
      </c>
      <c r="D58" s="4">
        <f t="shared" si="0"/>
        <v>8700</v>
      </c>
      <c r="E58" s="2" t="s">
        <v>78</v>
      </c>
      <c r="F58" s="4">
        <v>0</v>
      </c>
      <c r="G58" s="4">
        <v>0</v>
      </c>
      <c r="H58" s="3">
        <v>46045</v>
      </c>
      <c r="I58" s="4">
        <v>689.51</v>
      </c>
      <c r="J58" s="2" t="s">
        <v>4824</v>
      </c>
      <c r="K58" s="3">
        <v>46054</v>
      </c>
      <c r="L58" s="2">
        <f>IF(G58&lt;=0,0,MAX(0,Assumptions!$B$3-K58))</f>
        <v>0</v>
      </c>
      <c r="M58" s="2" t="str">
        <f t="shared" si="1"/>
        <v>Current</v>
      </c>
      <c r="N58" s="4">
        <v>0</v>
      </c>
      <c r="O58" s="2" t="s">
        <v>78</v>
      </c>
      <c r="P58" s="2" t="s">
        <v>36</v>
      </c>
    </row>
    <row r="59" spans="1:16" x14ac:dyDescent="0.2">
      <c r="A59" s="2" t="s">
        <v>397</v>
      </c>
      <c r="B59" s="2" t="s">
        <v>398</v>
      </c>
      <c r="C59" s="4">
        <v>890</v>
      </c>
      <c r="D59" s="4">
        <f t="shared" si="0"/>
        <v>10680</v>
      </c>
      <c r="E59" s="2" t="s">
        <v>78</v>
      </c>
      <c r="F59" s="4">
        <v>0</v>
      </c>
      <c r="G59" s="4">
        <v>0</v>
      </c>
      <c r="H59" s="3">
        <v>46059</v>
      </c>
      <c r="I59" s="4">
        <v>783.62</v>
      </c>
      <c r="J59" s="2" t="s">
        <v>4826</v>
      </c>
      <c r="K59" s="3">
        <v>46054</v>
      </c>
      <c r="L59" s="2">
        <f>IF(G59&lt;=0,0,MAX(0,Assumptions!$B$3-K59))</f>
        <v>0</v>
      </c>
      <c r="M59" s="2" t="str">
        <f t="shared" si="1"/>
        <v>Current</v>
      </c>
      <c r="N59" s="4">
        <v>0</v>
      </c>
      <c r="O59" s="2" t="s">
        <v>78</v>
      </c>
      <c r="P59" s="2" t="s">
        <v>36</v>
      </c>
    </row>
    <row r="60" spans="1:16" x14ac:dyDescent="0.2">
      <c r="A60" s="2" t="s">
        <v>404</v>
      </c>
      <c r="B60" s="2" t="s">
        <v>405</v>
      </c>
      <c r="C60" s="4">
        <v>890</v>
      </c>
      <c r="D60" s="4">
        <f t="shared" si="0"/>
        <v>10680</v>
      </c>
      <c r="E60" s="2" t="s">
        <v>78</v>
      </c>
      <c r="F60" s="4">
        <v>0</v>
      </c>
      <c r="G60" s="4">
        <v>0</v>
      </c>
      <c r="H60" s="3">
        <v>46036</v>
      </c>
      <c r="I60" s="4">
        <v>720.63</v>
      </c>
      <c r="J60" s="2" t="s">
        <v>4825</v>
      </c>
      <c r="K60" s="3">
        <v>46054</v>
      </c>
      <c r="L60" s="2">
        <f>IF(G60&lt;=0,0,MAX(0,Assumptions!$B$3-K60))</f>
        <v>0</v>
      </c>
      <c r="M60" s="2" t="str">
        <f t="shared" si="1"/>
        <v>Current</v>
      </c>
      <c r="N60" s="4">
        <v>0</v>
      </c>
      <c r="O60" s="2" t="s">
        <v>78</v>
      </c>
      <c r="P60" s="2" t="s">
        <v>78</v>
      </c>
    </row>
    <row r="61" spans="1:16" x14ac:dyDescent="0.2">
      <c r="A61" s="2" t="s">
        <v>411</v>
      </c>
      <c r="B61" s="2" t="s">
        <v>412</v>
      </c>
      <c r="C61" s="4">
        <v>890</v>
      </c>
      <c r="D61" s="4">
        <f t="shared" si="0"/>
        <v>10680</v>
      </c>
      <c r="E61" s="2" t="s">
        <v>78</v>
      </c>
      <c r="F61" s="4">
        <v>0</v>
      </c>
      <c r="G61" s="4">
        <v>-50</v>
      </c>
      <c r="H61" s="3">
        <v>46047</v>
      </c>
      <c r="I61" s="4">
        <v>914.31</v>
      </c>
      <c r="J61" s="2" t="s">
        <v>4825</v>
      </c>
      <c r="K61" s="3">
        <v>46054</v>
      </c>
      <c r="L61" s="2">
        <f>IF(G61&lt;=0,0,MAX(0,Assumptions!$B$3-K61))</f>
        <v>0</v>
      </c>
      <c r="M61" s="2" t="str">
        <f t="shared" si="1"/>
        <v>Current</v>
      </c>
      <c r="N61" s="4">
        <v>0</v>
      </c>
      <c r="O61" s="2" t="s">
        <v>78</v>
      </c>
      <c r="P61" s="2" t="s">
        <v>78</v>
      </c>
    </row>
    <row r="62" spans="1:16" x14ac:dyDescent="0.2">
      <c r="A62" s="2" t="s">
        <v>419</v>
      </c>
      <c r="B62" s="2" t="s">
        <v>341</v>
      </c>
      <c r="C62" s="4">
        <v>890</v>
      </c>
      <c r="D62" s="4">
        <f t="shared" si="0"/>
        <v>10680</v>
      </c>
      <c r="E62" s="2" t="s">
        <v>78</v>
      </c>
      <c r="F62" s="4">
        <v>0</v>
      </c>
      <c r="G62" s="4">
        <v>15</v>
      </c>
      <c r="H62" s="3">
        <v>46042</v>
      </c>
      <c r="I62" s="4">
        <v>779.69</v>
      </c>
      <c r="J62" s="2" t="s">
        <v>4826</v>
      </c>
      <c r="K62" s="3">
        <v>46054</v>
      </c>
      <c r="L62" s="2">
        <f>IF(G62&lt;=0,0,MAX(0,Assumptions!$B$3-K62))</f>
        <v>0</v>
      </c>
      <c r="M62" s="2" t="str">
        <f t="shared" si="1"/>
        <v>30 days</v>
      </c>
      <c r="N62" s="4">
        <v>0</v>
      </c>
      <c r="O62" s="2" t="s">
        <v>78</v>
      </c>
      <c r="P62" s="2" t="s">
        <v>78</v>
      </c>
    </row>
    <row r="63" spans="1:16" x14ac:dyDescent="0.2">
      <c r="A63" s="2" t="s">
        <v>423</v>
      </c>
      <c r="B63" s="2" t="s">
        <v>424</v>
      </c>
      <c r="C63" s="4">
        <v>890</v>
      </c>
      <c r="D63" s="4">
        <f t="shared" si="0"/>
        <v>10680</v>
      </c>
      <c r="E63" s="2" t="s">
        <v>78</v>
      </c>
      <c r="F63" s="4">
        <v>0</v>
      </c>
      <c r="G63" s="4">
        <v>15</v>
      </c>
      <c r="H63" s="3">
        <v>46065</v>
      </c>
      <c r="I63" s="4">
        <v>997.37</v>
      </c>
      <c r="J63" s="2" t="s">
        <v>4823</v>
      </c>
      <c r="K63" s="3">
        <v>46054</v>
      </c>
      <c r="L63" s="2">
        <f>IF(G63&lt;=0,0,MAX(0,Assumptions!$B$3-K63))</f>
        <v>0</v>
      </c>
      <c r="M63" s="2" t="str">
        <f t="shared" si="1"/>
        <v>30 days</v>
      </c>
      <c r="N63" s="4">
        <v>0</v>
      </c>
      <c r="O63" s="2" t="s">
        <v>78</v>
      </c>
      <c r="P63" s="2" t="s">
        <v>78</v>
      </c>
    </row>
    <row r="64" spans="1:16" x14ac:dyDescent="0.2">
      <c r="A64" s="2" t="s">
        <v>429</v>
      </c>
      <c r="B64" s="2" t="s">
        <v>430</v>
      </c>
      <c r="C64" s="4">
        <v>890</v>
      </c>
      <c r="D64" s="4">
        <f t="shared" si="0"/>
        <v>10680</v>
      </c>
      <c r="E64" s="2" t="s">
        <v>36</v>
      </c>
      <c r="F64" s="4">
        <v>1164.22</v>
      </c>
      <c r="G64" s="4">
        <v>15</v>
      </c>
      <c r="H64" s="3">
        <v>46054</v>
      </c>
      <c r="I64" s="4">
        <v>747.93</v>
      </c>
      <c r="J64" s="2" t="s">
        <v>4823</v>
      </c>
      <c r="K64" s="3">
        <v>46054</v>
      </c>
      <c r="L64" s="2">
        <f>IF(G64&lt;=0,0,MAX(0,Assumptions!$B$3-K64))</f>
        <v>0</v>
      </c>
      <c r="M64" s="2" t="str">
        <f t="shared" si="1"/>
        <v>30 days</v>
      </c>
      <c r="N64" s="4">
        <v>0</v>
      </c>
      <c r="O64" s="2" t="s">
        <v>78</v>
      </c>
      <c r="P64" s="2" t="s">
        <v>36</v>
      </c>
    </row>
    <row r="65" spans="1:16" x14ac:dyDescent="0.2">
      <c r="A65" s="2" t="s">
        <v>436</v>
      </c>
      <c r="B65" s="2" t="s">
        <v>437</v>
      </c>
      <c r="C65" s="4">
        <v>1050</v>
      </c>
      <c r="D65" s="4">
        <f t="shared" si="0"/>
        <v>12600</v>
      </c>
      <c r="E65" s="2" t="s">
        <v>78</v>
      </c>
      <c r="F65" s="4">
        <v>0</v>
      </c>
      <c r="G65" s="4">
        <v>25</v>
      </c>
      <c r="H65" s="3">
        <v>46055</v>
      </c>
      <c r="I65" s="4">
        <v>1227.3499999999999</v>
      </c>
      <c r="J65" s="2" t="s">
        <v>4827</v>
      </c>
      <c r="K65" s="3">
        <v>46054</v>
      </c>
      <c r="L65" s="2">
        <f>IF(G65&lt;=0,0,MAX(0,Assumptions!$B$3-K65))</f>
        <v>0</v>
      </c>
      <c r="M65" s="2" t="str">
        <f t="shared" si="1"/>
        <v>30 days</v>
      </c>
      <c r="N65" s="4">
        <v>0</v>
      </c>
      <c r="O65" s="2" t="s">
        <v>78</v>
      </c>
      <c r="P65" s="2" t="s">
        <v>78</v>
      </c>
    </row>
    <row r="66" spans="1:16" x14ac:dyDescent="0.2">
      <c r="A66" s="2" t="s">
        <v>442</v>
      </c>
      <c r="B66" s="2" t="s">
        <v>443</v>
      </c>
      <c r="C66" s="4">
        <v>1050</v>
      </c>
      <c r="D66" s="4">
        <f t="shared" ref="D66:D129" si="2">C66*12</f>
        <v>12600</v>
      </c>
      <c r="E66" s="2" t="s">
        <v>78</v>
      </c>
      <c r="F66" s="4">
        <v>0</v>
      </c>
      <c r="G66" s="4">
        <v>0</v>
      </c>
      <c r="H66" s="3">
        <v>46055</v>
      </c>
      <c r="I66" s="4">
        <v>871.41</v>
      </c>
      <c r="J66" s="2" t="s">
        <v>4824</v>
      </c>
      <c r="K66" s="3">
        <v>46054</v>
      </c>
      <c r="L66" s="2">
        <f>IF(G66&lt;=0,0,MAX(0,Assumptions!$B$3-K66))</f>
        <v>0</v>
      </c>
      <c r="M66" s="2" t="str">
        <f t="shared" ref="M66:M129" si="3">IF(G66&lt;=0,"Current",IF(L66&lt;=30,"30 days",IF(L66&lt;=60,"60 days",IF(L66&lt;=90,"90 days","90+ days"))))</f>
        <v>Current</v>
      </c>
      <c r="N66" s="4">
        <v>0</v>
      </c>
      <c r="O66" s="2" t="s">
        <v>78</v>
      </c>
      <c r="P66" s="2" t="s">
        <v>36</v>
      </c>
    </row>
    <row r="67" spans="1:16" x14ac:dyDescent="0.2">
      <c r="A67" s="2" t="s">
        <v>448</v>
      </c>
      <c r="B67" s="2" t="s">
        <v>449</v>
      </c>
      <c r="C67" s="4">
        <v>1050</v>
      </c>
      <c r="D67" s="4">
        <f t="shared" si="2"/>
        <v>12600</v>
      </c>
      <c r="E67" s="2" t="s">
        <v>78</v>
      </c>
      <c r="F67" s="4">
        <v>0</v>
      </c>
      <c r="G67" s="4">
        <v>0</v>
      </c>
      <c r="H67" s="3">
        <v>46048</v>
      </c>
      <c r="I67" s="4">
        <v>1099.83</v>
      </c>
      <c r="J67" s="2" t="s">
        <v>4824</v>
      </c>
      <c r="K67" s="3">
        <v>46054</v>
      </c>
      <c r="L67" s="2">
        <f>IF(G67&lt;=0,0,MAX(0,Assumptions!$B$3-K67))</f>
        <v>0</v>
      </c>
      <c r="M67" s="2" t="str">
        <f t="shared" si="3"/>
        <v>Current</v>
      </c>
      <c r="N67" s="4">
        <v>0</v>
      </c>
      <c r="O67" s="2" t="s">
        <v>78</v>
      </c>
      <c r="P67" s="2" t="s">
        <v>78</v>
      </c>
    </row>
    <row r="68" spans="1:16" x14ac:dyDescent="0.2">
      <c r="A68" s="2" t="s">
        <v>454</v>
      </c>
      <c r="B68" s="2" t="s">
        <v>455</v>
      </c>
      <c r="C68" s="4">
        <v>1050</v>
      </c>
      <c r="D68" s="4">
        <f t="shared" si="2"/>
        <v>12600</v>
      </c>
      <c r="E68" s="2" t="s">
        <v>78</v>
      </c>
      <c r="F68" s="4">
        <v>0</v>
      </c>
      <c r="G68" s="4">
        <v>0</v>
      </c>
      <c r="H68" s="3">
        <v>46032</v>
      </c>
      <c r="I68" s="4">
        <v>852.59</v>
      </c>
      <c r="J68" s="2" t="s">
        <v>4827</v>
      </c>
      <c r="K68" s="3">
        <v>46054</v>
      </c>
      <c r="L68" s="2">
        <f>IF(G68&lt;=0,0,MAX(0,Assumptions!$B$3-K68))</f>
        <v>0</v>
      </c>
      <c r="M68" s="2" t="str">
        <f t="shared" si="3"/>
        <v>Current</v>
      </c>
      <c r="N68" s="4">
        <v>0</v>
      </c>
      <c r="O68" s="2" t="s">
        <v>78</v>
      </c>
      <c r="P68" s="2" t="s">
        <v>36</v>
      </c>
    </row>
    <row r="69" spans="1:16" x14ac:dyDescent="0.2">
      <c r="A69" s="2" t="s">
        <v>461</v>
      </c>
      <c r="B69" s="2" t="s">
        <v>462</v>
      </c>
      <c r="C69" s="4">
        <v>1450</v>
      </c>
      <c r="D69" s="4">
        <f t="shared" si="2"/>
        <v>17400</v>
      </c>
      <c r="E69" s="2" t="s">
        <v>78</v>
      </c>
      <c r="F69" s="4">
        <v>0</v>
      </c>
      <c r="G69" s="4">
        <v>0</v>
      </c>
      <c r="H69" s="3">
        <v>46065</v>
      </c>
      <c r="I69" s="4">
        <v>1278.46</v>
      </c>
      <c r="J69" s="2" t="s">
        <v>4827</v>
      </c>
      <c r="K69" s="3">
        <v>46054</v>
      </c>
      <c r="L69" s="2">
        <f>IF(G69&lt;=0,0,MAX(0,Assumptions!$B$3-K69))</f>
        <v>0</v>
      </c>
      <c r="M69" s="2" t="str">
        <f t="shared" si="3"/>
        <v>Current</v>
      </c>
      <c r="N69" s="4">
        <v>0</v>
      </c>
      <c r="O69" s="2" t="s">
        <v>78</v>
      </c>
      <c r="P69" s="2" t="s">
        <v>36</v>
      </c>
    </row>
    <row r="70" spans="1:16" x14ac:dyDescent="0.2">
      <c r="A70" s="2" t="s">
        <v>468</v>
      </c>
      <c r="B70" s="2" t="s">
        <v>72</v>
      </c>
      <c r="C70" s="4">
        <v>725</v>
      </c>
      <c r="D70" s="4">
        <f t="shared" si="2"/>
        <v>8700</v>
      </c>
      <c r="E70" s="2" t="s">
        <v>78</v>
      </c>
      <c r="F70" s="4">
        <v>0</v>
      </c>
      <c r="G70" s="4">
        <v>25</v>
      </c>
      <c r="H70" s="3">
        <v>46042</v>
      </c>
      <c r="I70" s="4">
        <v>601.14</v>
      </c>
      <c r="J70" s="2" t="s">
        <v>4824</v>
      </c>
      <c r="K70" s="3">
        <v>46054</v>
      </c>
      <c r="L70" s="2">
        <f>IF(G70&lt;=0,0,MAX(0,Assumptions!$B$3-K70))</f>
        <v>0</v>
      </c>
      <c r="M70" s="2" t="str">
        <f t="shared" si="3"/>
        <v>30 days</v>
      </c>
      <c r="N70" s="4">
        <v>0</v>
      </c>
      <c r="O70" s="2" t="s">
        <v>78</v>
      </c>
      <c r="P70" s="2" t="s">
        <v>78</v>
      </c>
    </row>
    <row r="71" spans="1:16" x14ac:dyDescent="0.2">
      <c r="A71" s="2" t="s">
        <v>472</v>
      </c>
      <c r="B71" s="2" t="s">
        <v>473</v>
      </c>
      <c r="C71" s="4">
        <v>725</v>
      </c>
      <c r="D71" s="4">
        <f t="shared" si="2"/>
        <v>8700</v>
      </c>
      <c r="E71" s="2" t="s">
        <v>78</v>
      </c>
      <c r="F71" s="4">
        <v>0</v>
      </c>
      <c r="G71" s="4">
        <v>0</v>
      </c>
      <c r="H71" s="3">
        <v>46051</v>
      </c>
      <c r="I71" s="4">
        <v>864.51</v>
      </c>
      <c r="J71" s="2" t="s">
        <v>4823</v>
      </c>
      <c r="K71" s="3">
        <v>46054</v>
      </c>
      <c r="L71" s="2">
        <f>IF(G71&lt;=0,0,MAX(0,Assumptions!$B$3-K71))</f>
        <v>0</v>
      </c>
      <c r="M71" s="2" t="str">
        <f t="shared" si="3"/>
        <v>Current</v>
      </c>
      <c r="N71" s="4">
        <v>0</v>
      </c>
      <c r="O71" s="2" t="s">
        <v>78</v>
      </c>
      <c r="P71" s="2" t="s">
        <v>78</v>
      </c>
    </row>
    <row r="72" spans="1:16" x14ac:dyDescent="0.2">
      <c r="A72" s="2" t="s">
        <v>478</v>
      </c>
      <c r="B72" s="2" t="s">
        <v>479</v>
      </c>
      <c r="C72" s="4">
        <v>725</v>
      </c>
      <c r="D72" s="4">
        <f t="shared" si="2"/>
        <v>8700</v>
      </c>
      <c r="E72" s="2" t="s">
        <v>36</v>
      </c>
      <c r="F72" s="4">
        <v>5187.1099999999997</v>
      </c>
      <c r="G72" s="4">
        <v>0</v>
      </c>
      <c r="H72" s="3">
        <v>46056</v>
      </c>
      <c r="I72" s="4">
        <v>789.77</v>
      </c>
      <c r="J72" s="2" t="s">
        <v>4825</v>
      </c>
      <c r="K72" s="3">
        <v>46054</v>
      </c>
      <c r="L72" s="2">
        <f>IF(G72&lt;=0,0,MAX(0,Assumptions!$B$3-K72))</f>
        <v>0</v>
      </c>
      <c r="M72" s="2" t="str">
        <f t="shared" si="3"/>
        <v>Current</v>
      </c>
      <c r="N72" s="4">
        <v>0</v>
      </c>
      <c r="O72" s="2" t="s">
        <v>78</v>
      </c>
      <c r="P72" s="2" t="s">
        <v>78</v>
      </c>
    </row>
    <row r="73" spans="1:16" x14ac:dyDescent="0.2">
      <c r="A73" s="2" t="s">
        <v>484</v>
      </c>
      <c r="B73" s="2" t="s">
        <v>485</v>
      </c>
      <c r="C73" s="4">
        <v>725</v>
      </c>
      <c r="D73" s="4">
        <f t="shared" si="2"/>
        <v>8700</v>
      </c>
      <c r="E73" s="2" t="s">
        <v>78</v>
      </c>
      <c r="F73" s="4">
        <v>0</v>
      </c>
      <c r="G73" s="4">
        <v>1650.85</v>
      </c>
      <c r="H73" s="3">
        <v>45928</v>
      </c>
      <c r="I73" s="4">
        <v>707.17</v>
      </c>
      <c r="J73" s="2" t="s">
        <v>4825</v>
      </c>
      <c r="K73" s="3">
        <v>45994</v>
      </c>
      <c r="L73" s="2">
        <f>IF(G73&lt;=0,0,MAX(0,Assumptions!$B$3-K73))</f>
        <v>0</v>
      </c>
      <c r="M73" s="2" t="str">
        <f t="shared" si="3"/>
        <v>30 days</v>
      </c>
      <c r="N73" s="4">
        <v>0</v>
      </c>
      <c r="O73" s="2" t="s">
        <v>78</v>
      </c>
      <c r="P73" s="2" t="s">
        <v>78</v>
      </c>
    </row>
    <row r="74" spans="1:16" x14ac:dyDescent="0.2">
      <c r="A74" s="2" t="s">
        <v>490</v>
      </c>
      <c r="B74" s="2" t="s">
        <v>491</v>
      </c>
      <c r="C74" s="4">
        <v>725</v>
      </c>
      <c r="D74" s="4">
        <f t="shared" si="2"/>
        <v>8700</v>
      </c>
      <c r="E74" s="2" t="s">
        <v>78</v>
      </c>
      <c r="F74" s="4">
        <v>0</v>
      </c>
      <c r="G74" s="4">
        <v>2353.44</v>
      </c>
      <c r="H74" s="3">
        <v>45946</v>
      </c>
      <c r="I74" s="4">
        <v>111.31</v>
      </c>
      <c r="J74" s="2" t="s">
        <v>4825</v>
      </c>
      <c r="K74" s="3">
        <v>45964</v>
      </c>
      <c r="L74" s="2">
        <f>IF(G74&lt;=0,0,MAX(0,Assumptions!$B$3-K74))</f>
        <v>0</v>
      </c>
      <c r="M74" s="2" t="str">
        <f t="shared" si="3"/>
        <v>30 days</v>
      </c>
      <c r="N74" s="4">
        <v>100</v>
      </c>
      <c r="O74" s="2" t="s">
        <v>78</v>
      </c>
      <c r="P74" s="2" t="s">
        <v>78</v>
      </c>
    </row>
    <row r="75" spans="1:16" x14ac:dyDescent="0.2">
      <c r="A75" s="2" t="s">
        <v>497</v>
      </c>
      <c r="B75" s="2" t="s">
        <v>498</v>
      </c>
      <c r="C75" s="4">
        <v>725</v>
      </c>
      <c r="D75" s="4">
        <f t="shared" si="2"/>
        <v>8700</v>
      </c>
      <c r="E75" s="2" t="s">
        <v>36</v>
      </c>
      <c r="F75" s="4">
        <v>6461.37</v>
      </c>
      <c r="G75" s="4">
        <v>15</v>
      </c>
      <c r="H75" s="3">
        <v>46065</v>
      </c>
      <c r="I75" s="4">
        <v>613.52</v>
      </c>
      <c r="J75" s="2" t="s">
        <v>4825</v>
      </c>
      <c r="K75" s="3">
        <v>46054</v>
      </c>
      <c r="L75" s="2">
        <f>IF(G75&lt;=0,0,MAX(0,Assumptions!$B$3-K75))</f>
        <v>0</v>
      </c>
      <c r="M75" s="2" t="str">
        <f t="shared" si="3"/>
        <v>30 days</v>
      </c>
      <c r="N75" s="4">
        <v>0</v>
      </c>
      <c r="O75" s="2" t="s">
        <v>78</v>
      </c>
      <c r="P75" s="2" t="s">
        <v>36</v>
      </c>
    </row>
    <row r="76" spans="1:16" x14ac:dyDescent="0.2">
      <c r="A76" s="2" t="s">
        <v>503</v>
      </c>
      <c r="B76" s="2" t="s">
        <v>504</v>
      </c>
      <c r="C76" s="4">
        <v>890</v>
      </c>
      <c r="D76" s="4">
        <f t="shared" si="2"/>
        <v>10680</v>
      </c>
      <c r="E76" s="2" t="s">
        <v>78</v>
      </c>
      <c r="F76" s="4">
        <v>0</v>
      </c>
      <c r="G76" s="4">
        <v>25</v>
      </c>
      <c r="H76" s="3">
        <v>46052</v>
      </c>
      <c r="I76" s="4">
        <v>867.4</v>
      </c>
      <c r="J76" s="2" t="s">
        <v>4825</v>
      </c>
      <c r="K76" s="3">
        <v>46054</v>
      </c>
      <c r="L76" s="2">
        <f>IF(G76&lt;=0,0,MAX(0,Assumptions!$B$3-K76))</f>
        <v>0</v>
      </c>
      <c r="M76" s="2" t="str">
        <f t="shared" si="3"/>
        <v>30 days</v>
      </c>
      <c r="N76" s="4">
        <v>0</v>
      </c>
      <c r="O76" s="2" t="s">
        <v>78</v>
      </c>
      <c r="P76" s="2" t="s">
        <v>78</v>
      </c>
    </row>
    <row r="77" spans="1:16" x14ac:dyDescent="0.2">
      <c r="A77" s="2" t="s">
        <v>510</v>
      </c>
      <c r="B77" s="2" t="s">
        <v>511</v>
      </c>
      <c r="C77" s="4">
        <v>890</v>
      </c>
      <c r="D77" s="4">
        <f t="shared" si="2"/>
        <v>10680</v>
      </c>
      <c r="E77" s="2" t="s">
        <v>36</v>
      </c>
      <c r="F77" s="4">
        <v>4011.06</v>
      </c>
      <c r="G77" s="4">
        <v>15</v>
      </c>
      <c r="H77" s="3">
        <v>46037</v>
      </c>
      <c r="I77" s="4">
        <v>728.3</v>
      </c>
      <c r="J77" s="2" t="s">
        <v>4825</v>
      </c>
      <c r="K77" s="3">
        <v>46054</v>
      </c>
      <c r="L77" s="2">
        <f>IF(G77&lt;=0,0,MAX(0,Assumptions!$B$3-K77))</f>
        <v>0</v>
      </c>
      <c r="M77" s="2" t="str">
        <f t="shared" si="3"/>
        <v>30 days</v>
      </c>
      <c r="N77" s="4">
        <v>0</v>
      </c>
      <c r="O77" s="2" t="s">
        <v>78</v>
      </c>
      <c r="P77" s="2" t="s">
        <v>36</v>
      </c>
    </row>
    <row r="78" spans="1:16" x14ac:dyDescent="0.2">
      <c r="A78" s="2" t="s">
        <v>517</v>
      </c>
      <c r="B78" s="2" t="s">
        <v>518</v>
      </c>
      <c r="C78" s="4">
        <v>890</v>
      </c>
      <c r="D78" s="4">
        <f t="shared" si="2"/>
        <v>10680</v>
      </c>
      <c r="E78" s="2" t="s">
        <v>36</v>
      </c>
      <c r="F78" s="4">
        <v>981.56</v>
      </c>
      <c r="G78" s="4">
        <v>0</v>
      </c>
      <c r="H78" s="3">
        <v>46062</v>
      </c>
      <c r="I78" s="4">
        <v>812.6</v>
      </c>
      <c r="J78" s="2" t="s">
        <v>4827</v>
      </c>
      <c r="K78" s="3">
        <v>46054</v>
      </c>
      <c r="L78" s="2">
        <f>IF(G78&lt;=0,0,MAX(0,Assumptions!$B$3-K78))</f>
        <v>0</v>
      </c>
      <c r="M78" s="2" t="str">
        <f t="shared" si="3"/>
        <v>Current</v>
      </c>
      <c r="N78" s="4">
        <v>0</v>
      </c>
      <c r="O78" s="2" t="s">
        <v>78</v>
      </c>
      <c r="P78" s="2" t="s">
        <v>36</v>
      </c>
    </row>
    <row r="79" spans="1:16" x14ac:dyDescent="0.2">
      <c r="A79" s="2" t="s">
        <v>524</v>
      </c>
      <c r="B79" s="2" t="s">
        <v>525</v>
      </c>
      <c r="C79" s="4">
        <v>890</v>
      </c>
      <c r="D79" s="4">
        <f t="shared" si="2"/>
        <v>10680</v>
      </c>
      <c r="E79" s="2" t="s">
        <v>78</v>
      </c>
      <c r="F79" s="4">
        <v>0</v>
      </c>
      <c r="G79" s="4">
        <v>0</v>
      </c>
      <c r="H79" s="3">
        <v>46065</v>
      </c>
      <c r="I79" s="4">
        <v>927.78</v>
      </c>
      <c r="J79" s="2" t="s">
        <v>4823</v>
      </c>
      <c r="K79" s="3">
        <v>46054</v>
      </c>
      <c r="L79" s="2">
        <f>IF(G79&lt;=0,0,MAX(0,Assumptions!$B$3-K79))</f>
        <v>0</v>
      </c>
      <c r="M79" s="2" t="str">
        <f t="shared" si="3"/>
        <v>Current</v>
      </c>
      <c r="N79" s="4">
        <v>0</v>
      </c>
      <c r="O79" s="2" t="s">
        <v>78</v>
      </c>
      <c r="P79" s="2" t="s">
        <v>78</v>
      </c>
    </row>
    <row r="80" spans="1:16" x14ac:dyDescent="0.2">
      <c r="A80" s="2" t="s">
        <v>531</v>
      </c>
      <c r="B80" s="2" t="s">
        <v>532</v>
      </c>
      <c r="C80" s="4">
        <v>890</v>
      </c>
      <c r="D80" s="4">
        <f t="shared" si="2"/>
        <v>10680</v>
      </c>
      <c r="E80" s="2" t="s">
        <v>36</v>
      </c>
      <c r="F80" s="4">
        <v>8476.15</v>
      </c>
      <c r="G80" s="4">
        <v>25</v>
      </c>
      <c r="H80" s="3">
        <v>46042</v>
      </c>
      <c r="I80" s="4">
        <v>963.07</v>
      </c>
      <c r="J80" s="2" t="s">
        <v>4827</v>
      </c>
      <c r="K80" s="3">
        <v>46054</v>
      </c>
      <c r="L80" s="2">
        <f>IF(G80&lt;=0,0,MAX(0,Assumptions!$B$3-K80))</f>
        <v>0</v>
      </c>
      <c r="M80" s="2" t="str">
        <f t="shared" si="3"/>
        <v>30 days</v>
      </c>
      <c r="N80" s="4">
        <v>0</v>
      </c>
      <c r="O80" s="2" t="s">
        <v>78</v>
      </c>
      <c r="P80" s="2" t="s">
        <v>78</v>
      </c>
    </row>
    <row r="81" spans="1:16" x14ac:dyDescent="0.2">
      <c r="A81" s="2" t="s">
        <v>536</v>
      </c>
      <c r="B81" s="2" t="s">
        <v>537</v>
      </c>
      <c r="C81" s="4">
        <v>890</v>
      </c>
      <c r="D81" s="4">
        <f t="shared" si="2"/>
        <v>10680</v>
      </c>
      <c r="E81" s="2" t="s">
        <v>78</v>
      </c>
      <c r="F81" s="4">
        <v>0</v>
      </c>
      <c r="G81" s="4">
        <v>0</v>
      </c>
      <c r="H81" s="3">
        <v>46050</v>
      </c>
      <c r="I81" s="4">
        <v>989.75</v>
      </c>
      <c r="J81" s="2" t="s">
        <v>4827</v>
      </c>
      <c r="K81" s="3">
        <v>46054</v>
      </c>
      <c r="L81" s="2">
        <f>IF(G81&lt;=0,0,MAX(0,Assumptions!$B$3-K81))</f>
        <v>0</v>
      </c>
      <c r="M81" s="2" t="str">
        <f t="shared" si="3"/>
        <v>Current</v>
      </c>
      <c r="N81" s="4">
        <v>0</v>
      </c>
      <c r="O81" s="2" t="s">
        <v>78</v>
      </c>
      <c r="P81" s="2" t="s">
        <v>78</v>
      </c>
    </row>
    <row r="82" spans="1:16" x14ac:dyDescent="0.2">
      <c r="A82" s="2" t="s">
        <v>542</v>
      </c>
      <c r="B82" s="2" t="s">
        <v>543</v>
      </c>
      <c r="C82" s="4">
        <v>1050</v>
      </c>
      <c r="D82" s="4">
        <f t="shared" si="2"/>
        <v>12600</v>
      </c>
      <c r="E82" s="2" t="s">
        <v>78</v>
      </c>
      <c r="F82" s="4">
        <v>0</v>
      </c>
      <c r="G82" s="4">
        <v>-50</v>
      </c>
      <c r="H82" s="3">
        <v>46039</v>
      </c>
      <c r="I82" s="4">
        <v>1051.45</v>
      </c>
      <c r="J82" s="2" t="s">
        <v>4825</v>
      </c>
      <c r="K82" s="3">
        <v>46054</v>
      </c>
      <c r="L82" s="2">
        <f>IF(G82&lt;=0,0,MAX(0,Assumptions!$B$3-K82))</f>
        <v>0</v>
      </c>
      <c r="M82" s="2" t="str">
        <f t="shared" si="3"/>
        <v>Current</v>
      </c>
      <c r="N82" s="4">
        <v>0</v>
      </c>
      <c r="O82" s="2" t="s">
        <v>78</v>
      </c>
      <c r="P82" s="2" t="s">
        <v>36</v>
      </c>
    </row>
    <row r="83" spans="1:16" x14ac:dyDescent="0.2">
      <c r="A83" s="2" t="s">
        <v>548</v>
      </c>
      <c r="B83" s="2" t="s">
        <v>549</v>
      </c>
      <c r="C83" s="4">
        <v>1050</v>
      </c>
      <c r="D83" s="4">
        <f t="shared" si="2"/>
        <v>12600</v>
      </c>
      <c r="E83" s="2" t="s">
        <v>78</v>
      </c>
      <c r="F83" s="4">
        <v>0</v>
      </c>
      <c r="G83" s="4">
        <v>0</v>
      </c>
      <c r="H83" s="3">
        <v>46056</v>
      </c>
      <c r="I83" s="4">
        <v>872.95</v>
      </c>
      <c r="J83" s="2" t="s">
        <v>4826</v>
      </c>
      <c r="K83" s="3">
        <v>46054</v>
      </c>
      <c r="L83" s="2">
        <f>IF(G83&lt;=0,0,MAX(0,Assumptions!$B$3-K83))</f>
        <v>0</v>
      </c>
      <c r="M83" s="2" t="str">
        <f t="shared" si="3"/>
        <v>Current</v>
      </c>
      <c r="N83" s="4">
        <v>0</v>
      </c>
      <c r="O83" s="2" t="s">
        <v>78</v>
      </c>
      <c r="P83" s="2" t="s">
        <v>36</v>
      </c>
    </row>
    <row r="84" spans="1:16" x14ac:dyDescent="0.2">
      <c r="A84" s="2" t="s">
        <v>555</v>
      </c>
      <c r="B84" s="2" t="s">
        <v>556</v>
      </c>
      <c r="C84" s="4">
        <v>1050</v>
      </c>
      <c r="D84" s="4">
        <f t="shared" si="2"/>
        <v>12600</v>
      </c>
      <c r="E84" s="2" t="s">
        <v>78</v>
      </c>
      <c r="F84" s="4">
        <v>0</v>
      </c>
      <c r="G84" s="4">
        <v>15</v>
      </c>
      <c r="H84" s="3">
        <v>46060</v>
      </c>
      <c r="I84" s="4">
        <v>891.55</v>
      </c>
      <c r="J84" s="2" t="s">
        <v>4826</v>
      </c>
      <c r="K84" s="3">
        <v>46054</v>
      </c>
      <c r="L84" s="2">
        <f>IF(G84&lt;=0,0,MAX(0,Assumptions!$B$3-K84))</f>
        <v>0</v>
      </c>
      <c r="M84" s="2" t="str">
        <f t="shared" si="3"/>
        <v>30 days</v>
      </c>
      <c r="N84" s="4">
        <v>0</v>
      </c>
      <c r="O84" s="2" t="s">
        <v>78</v>
      </c>
      <c r="P84" s="2" t="s">
        <v>78</v>
      </c>
    </row>
    <row r="85" spans="1:16" x14ac:dyDescent="0.2">
      <c r="A85" s="2" t="s">
        <v>561</v>
      </c>
      <c r="B85" s="2" t="s">
        <v>562</v>
      </c>
      <c r="C85" s="4">
        <v>1050</v>
      </c>
      <c r="D85" s="4">
        <f t="shared" si="2"/>
        <v>12600</v>
      </c>
      <c r="E85" s="2" t="s">
        <v>78</v>
      </c>
      <c r="F85" s="4">
        <v>0</v>
      </c>
      <c r="G85" s="4">
        <v>1079.79</v>
      </c>
      <c r="H85" s="3">
        <v>45933</v>
      </c>
      <c r="I85" s="4">
        <v>132.07</v>
      </c>
      <c r="J85" s="2" t="s">
        <v>4824</v>
      </c>
      <c r="K85" s="3">
        <v>46024</v>
      </c>
      <c r="L85" s="2">
        <f>IF(G85&lt;=0,0,MAX(0,Assumptions!$B$3-K85))</f>
        <v>0</v>
      </c>
      <c r="M85" s="2" t="str">
        <f t="shared" si="3"/>
        <v>30 days</v>
      </c>
      <c r="N85" s="4">
        <v>35</v>
      </c>
      <c r="O85" s="2" t="s">
        <v>78</v>
      </c>
      <c r="P85" s="2" t="s">
        <v>78</v>
      </c>
    </row>
    <row r="86" spans="1:16" x14ac:dyDescent="0.2">
      <c r="A86" s="2" t="s">
        <v>570</v>
      </c>
      <c r="B86" s="2" t="s">
        <v>571</v>
      </c>
      <c r="C86" s="4">
        <v>1450</v>
      </c>
      <c r="D86" s="4">
        <f t="shared" si="2"/>
        <v>17400</v>
      </c>
      <c r="E86" s="2" t="s">
        <v>36</v>
      </c>
      <c r="F86" s="4">
        <v>2872.29</v>
      </c>
      <c r="G86" s="4">
        <v>0</v>
      </c>
      <c r="H86" s="3">
        <v>46042</v>
      </c>
      <c r="I86" s="4">
        <v>1170.93</v>
      </c>
      <c r="J86" s="2" t="s">
        <v>4823</v>
      </c>
      <c r="K86" s="3">
        <v>46054</v>
      </c>
      <c r="L86" s="2">
        <f>IF(G86&lt;=0,0,MAX(0,Assumptions!$B$3-K86))</f>
        <v>0</v>
      </c>
      <c r="M86" s="2" t="str">
        <f t="shared" si="3"/>
        <v>Current</v>
      </c>
      <c r="N86" s="4">
        <v>0</v>
      </c>
      <c r="O86" s="2" t="s">
        <v>78</v>
      </c>
      <c r="P86" s="2" t="s">
        <v>78</v>
      </c>
    </row>
    <row r="87" spans="1:16" x14ac:dyDescent="0.2">
      <c r="A87" s="2" t="s">
        <v>576</v>
      </c>
      <c r="B87" s="2" t="s">
        <v>577</v>
      </c>
      <c r="C87" s="4">
        <v>725</v>
      </c>
      <c r="D87" s="4">
        <f t="shared" si="2"/>
        <v>8700</v>
      </c>
      <c r="E87" s="2" t="s">
        <v>78</v>
      </c>
      <c r="F87" s="4">
        <v>0</v>
      </c>
      <c r="G87" s="4">
        <v>0</v>
      </c>
      <c r="H87" s="3">
        <v>46031</v>
      </c>
      <c r="I87" s="4">
        <v>705.01</v>
      </c>
      <c r="J87" s="2" t="s">
        <v>4825</v>
      </c>
      <c r="K87" s="3">
        <v>46054</v>
      </c>
      <c r="L87" s="2">
        <f>IF(G87&lt;=0,0,MAX(0,Assumptions!$B$3-K87))</f>
        <v>0</v>
      </c>
      <c r="M87" s="2" t="str">
        <f t="shared" si="3"/>
        <v>Current</v>
      </c>
      <c r="N87" s="4">
        <v>0</v>
      </c>
      <c r="O87" s="2" t="s">
        <v>78</v>
      </c>
      <c r="P87" s="2" t="s">
        <v>36</v>
      </c>
    </row>
    <row r="88" spans="1:16" x14ac:dyDescent="0.2">
      <c r="A88" s="2" t="s">
        <v>583</v>
      </c>
      <c r="B88" s="2" t="s">
        <v>584</v>
      </c>
      <c r="C88" s="4">
        <v>725</v>
      </c>
      <c r="D88" s="4">
        <f t="shared" si="2"/>
        <v>8700</v>
      </c>
      <c r="E88" s="2" t="s">
        <v>78</v>
      </c>
      <c r="F88" s="4">
        <v>0</v>
      </c>
      <c r="G88" s="4">
        <v>0</v>
      </c>
      <c r="H88" s="3">
        <v>46035</v>
      </c>
      <c r="I88" s="4">
        <v>798.8</v>
      </c>
      <c r="J88" s="2" t="s">
        <v>4827</v>
      </c>
      <c r="K88" s="3">
        <v>46054</v>
      </c>
      <c r="L88" s="2">
        <f>IF(G88&lt;=0,0,MAX(0,Assumptions!$B$3-K88))</f>
        <v>0</v>
      </c>
      <c r="M88" s="2" t="str">
        <f t="shared" si="3"/>
        <v>Current</v>
      </c>
      <c r="N88" s="4">
        <v>0</v>
      </c>
      <c r="O88" s="2" t="s">
        <v>78</v>
      </c>
      <c r="P88" s="2" t="s">
        <v>36</v>
      </c>
    </row>
    <row r="89" spans="1:16" x14ac:dyDescent="0.2">
      <c r="A89" s="2" t="s">
        <v>588</v>
      </c>
      <c r="B89" s="2" t="s">
        <v>589</v>
      </c>
      <c r="C89" s="4">
        <v>725</v>
      </c>
      <c r="D89" s="4">
        <f t="shared" si="2"/>
        <v>8700</v>
      </c>
      <c r="E89" s="2" t="s">
        <v>78</v>
      </c>
      <c r="F89" s="4">
        <v>0</v>
      </c>
      <c r="G89" s="4">
        <v>25</v>
      </c>
      <c r="H89" s="3">
        <v>46072</v>
      </c>
      <c r="I89" s="4">
        <v>678.87</v>
      </c>
      <c r="J89" s="2" t="s">
        <v>4824</v>
      </c>
      <c r="K89" s="3">
        <v>46054</v>
      </c>
      <c r="L89" s="2">
        <f>IF(G89&lt;=0,0,MAX(0,Assumptions!$B$3-K89))</f>
        <v>0</v>
      </c>
      <c r="M89" s="2" t="str">
        <f t="shared" si="3"/>
        <v>30 days</v>
      </c>
      <c r="N89" s="4">
        <v>0</v>
      </c>
      <c r="O89" s="2" t="s">
        <v>78</v>
      </c>
      <c r="P89" s="2" t="s">
        <v>78</v>
      </c>
    </row>
    <row r="90" spans="1:16" x14ac:dyDescent="0.2">
      <c r="A90" s="2" t="s">
        <v>593</v>
      </c>
      <c r="B90" s="2" t="s">
        <v>594</v>
      </c>
      <c r="C90" s="4">
        <v>725</v>
      </c>
      <c r="D90" s="4">
        <f t="shared" si="2"/>
        <v>8700</v>
      </c>
      <c r="E90" s="2" t="s">
        <v>78</v>
      </c>
      <c r="F90" s="4">
        <v>0</v>
      </c>
      <c r="G90" s="4">
        <v>0</v>
      </c>
      <c r="H90" s="3">
        <v>46067</v>
      </c>
      <c r="I90" s="4">
        <v>740.46</v>
      </c>
      <c r="J90" s="2" t="s">
        <v>4827</v>
      </c>
      <c r="K90" s="3">
        <v>46054</v>
      </c>
      <c r="L90" s="2">
        <f>IF(G90&lt;=0,0,MAX(0,Assumptions!$B$3-K90))</f>
        <v>0</v>
      </c>
      <c r="M90" s="2" t="str">
        <f t="shared" si="3"/>
        <v>Current</v>
      </c>
      <c r="N90" s="4">
        <v>0</v>
      </c>
      <c r="O90" s="2" t="s">
        <v>78</v>
      </c>
      <c r="P90" s="2" t="s">
        <v>36</v>
      </c>
    </row>
    <row r="91" spans="1:16" x14ac:dyDescent="0.2">
      <c r="A91" s="2" t="s">
        <v>599</v>
      </c>
      <c r="B91" s="2" t="s">
        <v>600</v>
      </c>
      <c r="C91" s="4">
        <v>725</v>
      </c>
      <c r="D91" s="4">
        <f t="shared" si="2"/>
        <v>8700</v>
      </c>
      <c r="E91" s="2" t="s">
        <v>78</v>
      </c>
      <c r="F91" s="4">
        <v>0</v>
      </c>
      <c r="G91" s="4">
        <v>15</v>
      </c>
      <c r="H91" s="3">
        <v>46057</v>
      </c>
      <c r="I91" s="4">
        <v>627.14</v>
      </c>
      <c r="J91" s="2" t="s">
        <v>4823</v>
      </c>
      <c r="K91" s="3">
        <v>46054</v>
      </c>
      <c r="L91" s="2">
        <f>IF(G91&lt;=0,0,MAX(0,Assumptions!$B$3-K91))</f>
        <v>0</v>
      </c>
      <c r="M91" s="2" t="str">
        <f t="shared" si="3"/>
        <v>30 days</v>
      </c>
      <c r="N91" s="4">
        <v>0</v>
      </c>
      <c r="O91" s="2" t="s">
        <v>78</v>
      </c>
      <c r="P91" s="2" t="s">
        <v>78</v>
      </c>
    </row>
    <row r="92" spans="1:16" x14ac:dyDescent="0.2">
      <c r="A92" s="2" t="s">
        <v>605</v>
      </c>
      <c r="B92" s="2" t="s">
        <v>606</v>
      </c>
      <c r="C92" s="4">
        <v>725</v>
      </c>
      <c r="D92" s="4">
        <f t="shared" si="2"/>
        <v>8700</v>
      </c>
      <c r="E92" s="2" t="s">
        <v>78</v>
      </c>
      <c r="F92" s="4">
        <v>0</v>
      </c>
      <c r="G92" s="4">
        <v>0</v>
      </c>
      <c r="H92" s="3">
        <v>46056</v>
      </c>
      <c r="I92" s="4">
        <v>811.88</v>
      </c>
      <c r="J92" s="2" t="s">
        <v>4827</v>
      </c>
      <c r="K92" s="3">
        <v>46054</v>
      </c>
      <c r="L92" s="2">
        <f>IF(G92&lt;=0,0,MAX(0,Assumptions!$B$3-K92))</f>
        <v>0</v>
      </c>
      <c r="M92" s="2" t="str">
        <f t="shared" si="3"/>
        <v>Current</v>
      </c>
      <c r="N92" s="4">
        <v>0</v>
      </c>
      <c r="O92" s="2" t="s">
        <v>78</v>
      </c>
      <c r="P92" s="2" t="s">
        <v>78</v>
      </c>
    </row>
    <row r="93" spans="1:16" x14ac:dyDescent="0.2">
      <c r="A93" s="2" t="s">
        <v>611</v>
      </c>
      <c r="B93" s="2" t="s">
        <v>612</v>
      </c>
      <c r="C93" s="4">
        <v>890</v>
      </c>
      <c r="D93" s="4">
        <f t="shared" si="2"/>
        <v>10680</v>
      </c>
      <c r="E93" s="2" t="s">
        <v>78</v>
      </c>
      <c r="F93" s="4">
        <v>0</v>
      </c>
      <c r="G93" s="4">
        <v>2703.69</v>
      </c>
      <c r="H93" s="3">
        <v>46005</v>
      </c>
      <c r="I93" s="4">
        <v>840.76</v>
      </c>
      <c r="J93" s="2" t="s">
        <v>4824</v>
      </c>
      <c r="K93" s="3">
        <v>45964</v>
      </c>
      <c r="L93" s="2">
        <f>IF(G93&lt;=0,0,MAX(0,Assumptions!$B$3-K93))</f>
        <v>0</v>
      </c>
      <c r="M93" s="2" t="str">
        <f t="shared" si="3"/>
        <v>30 days</v>
      </c>
      <c r="N93" s="4">
        <v>35</v>
      </c>
      <c r="O93" s="2" t="s">
        <v>78</v>
      </c>
      <c r="P93" s="2" t="s">
        <v>78</v>
      </c>
    </row>
    <row r="94" spans="1:16" x14ac:dyDescent="0.2">
      <c r="A94" s="2" t="s">
        <v>616</v>
      </c>
      <c r="B94" s="2" t="s">
        <v>617</v>
      </c>
      <c r="C94" s="4">
        <v>890</v>
      </c>
      <c r="D94" s="4">
        <f t="shared" si="2"/>
        <v>10680</v>
      </c>
      <c r="E94" s="2" t="s">
        <v>78</v>
      </c>
      <c r="F94" s="4">
        <v>0</v>
      </c>
      <c r="G94" s="4">
        <v>1904.86</v>
      </c>
      <c r="H94" s="3">
        <v>46038</v>
      </c>
      <c r="I94" s="4">
        <v>868.61</v>
      </c>
      <c r="J94" s="2" t="s">
        <v>4825</v>
      </c>
      <c r="K94" s="3">
        <v>45994</v>
      </c>
      <c r="L94" s="2">
        <f>IF(G94&lt;=0,0,MAX(0,Assumptions!$B$3-K94))</f>
        <v>0</v>
      </c>
      <c r="M94" s="2" t="str">
        <f t="shared" si="3"/>
        <v>30 days</v>
      </c>
      <c r="N94" s="4">
        <v>100</v>
      </c>
      <c r="O94" s="2" t="s">
        <v>78</v>
      </c>
      <c r="P94" s="2" t="s">
        <v>78</v>
      </c>
    </row>
    <row r="95" spans="1:16" x14ac:dyDescent="0.2">
      <c r="A95" s="2" t="s">
        <v>623</v>
      </c>
      <c r="B95" s="2" t="s">
        <v>254</v>
      </c>
      <c r="C95" s="4">
        <v>890</v>
      </c>
      <c r="D95" s="4">
        <f t="shared" si="2"/>
        <v>10680</v>
      </c>
      <c r="E95" s="2" t="s">
        <v>78</v>
      </c>
      <c r="F95" s="4">
        <v>0</v>
      </c>
      <c r="G95" s="4">
        <v>25</v>
      </c>
      <c r="H95" s="3">
        <v>46047</v>
      </c>
      <c r="I95" s="4">
        <v>732.86</v>
      </c>
      <c r="J95" s="2" t="s">
        <v>4825</v>
      </c>
      <c r="K95" s="3">
        <v>46054</v>
      </c>
      <c r="L95" s="2">
        <f>IF(G95&lt;=0,0,MAX(0,Assumptions!$B$3-K95))</f>
        <v>0</v>
      </c>
      <c r="M95" s="2" t="str">
        <f t="shared" si="3"/>
        <v>30 days</v>
      </c>
      <c r="N95" s="4">
        <v>0</v>
      </c>
      <c r="O95" s="2" t="s">
        <v>78</v>
      </c>
      <c r="P95" s="2" t="s">
        <v>78</v>
      </c>
    </row>
    <row r="96" spans="1:16" x14ac:dyDescent="0.2">
      <c r="A96" s="2" t="s">
        <v>630</v>
      </c>
      <c r="B96" s="2" t="s">
        <v>631</v>
      </c>
      <c r="C96" s="4">
        <v>890</v>
      </c>
      <c r="D96" s="4">
        <f t="shared" si="2"/>
        <v>10680</v>
      </c>
      <c r="E96" s="2" t="s">
        <v>78</v>
      </c>
      <c r="F96" s="4">
        <v>0</v>
      </c>
      <c r="G96" s="4">
        <v>0</v>
      </c>
      <c r="H96" s="3">
        <v>46045</v>
      </c>
      <c r="I96" s="4">
        <v>776.01</v>
      </c>
      <c r="J96" s="2" t="s">
        <v>4827</v>
      </c>
      <c r="K96" s="3">
        <v>46054</v>
      </c>
      <c r="L96" s="2">
        <f>IF(G96&lt;=0,0,MAX(0,Assumptions!$B$3-K96))</f>
        <v>0</v>
      </c>
      <c r="M96" s="2" t="str">
        <f t="shared" si="3"/>
        <v>Current</v>
      </c>
      <c r="N96" s="4">
        <v>0</v>
      </c>
      <c r="O96" s="2" t="s">
        <v>78</v>
      </c>
      <c r="P96" s="2" t="s">
        <v>78</v>
      </c>
    </row>
    <row r="97" spans="1:16" x14ac:dyDescent="0.2">
      <c r="A97" s="2" t="s">
        <v>635</v>
      </c>
      <c r="B97" s="2" t="s">
        <v>636</v>
      </c>
      <c r="C97" s="4">
        <v>890</v>
      </c>
      <c r="D97" s="4">
        <f t="shared" si="2"/>
        <v>10680</v>
      </c>
      <c r="E97" s="2" t="s">
        <v>78</v>
      </c>
      <c r="F97" s="4">
        <v>0</v>
      </c>
      <c r="G97" s="4">
        <v>0</v>
      </c>
      <c r="H97" s="3">
        <v>46064</v>
      </c>
      <c r="I97" s="4">
        <v>1022.16</v>
      </c>
      <c r="J97" s="2" t="s">
        <v>4825</v>
      </c>
      <c r="K97" s="3">
        <v>46054</v>
      </c>
      <c r="L97" s="2">
        <f>IF(G97&lt;=0,0,MAX(0,Assumptions!$B$3-K97))</f>
        <v>0</v>
      </c>
      <c r="M97" s="2" t="str">
        <f t="shared" si="3"/>
        <v>Current</v>
      </c>
      <c r="N97" s="4">
        <v>0</v>
      </c>
      <c r="O97" s="2" t="s">
        <v>78</v>
      </c>
      <c r="P97" s="2" t="s">
        <v>78</v>
      </c>
    </row>
    <row r="98" spans="1:16" x14ac:dyDescent="0.2">
      <c r="A98" s="2" t="s">
        <v>641</v>
      </c>
      <c r="B98" s="2" t="s">
        <v>642</v>
      </c>
      <c r="C98" s="4">
        <v>890</v>
      </c>
      <c r="D98" s="4">
        <f t="shared" si="2"/>
        <v>10680</v>
      </c>
      <c r="E98" s="2" t="s">
        <v>78</v>
      </c>
      <c r="F98" s="4">
        <v>0</v>
      </c>
      <c r="G98" s="4">
        <v>15</v>
      </c>
      <c r="H98" s="3">
        <v>46045</v>
      </c>
      <c r="I98" s="4">
        <v>918.44</v>
      </c>
      <c r="J98" s="2" t="s">
        <v>4825</v>
      </c>
      <c r="K98" s="3">
        <v>46054</v>
      </c>
      <c r="L98" s="2">
        <f>IF(G98&lt;=0,0,MAX(0,Assumptions!$B$3-K98))</f>
        <v>0</v>
      </c>
      <c r="M98" s="2" t="str">
        <f t="shared" si="3"/>
        <v>30 days</v>
      </c>
      <c r="N98" s="4">
        <v>0</v>
      </c>
      <c r="O98" s="2" t="s">
        <v>78</v>
      </c>
      <c r="P98" s="2" t="s">
        <v>78</v>
      </c>
    </row>
    <row r="99" spans="1:16" x14ac:dyDescent="0.2">
      <c r="A99" s="2" t="s">
        <v>646</v>
      </c>
      <c r="B99" s="2" t="s">
        <v>31</v>
      </c>
      <c r="C99" s="4">
        <v>1050</v>
      </c>
      <c r="D99" s="4">
        <f t="shared" si="2"/>
        <v>12600</v>
      </c>
      <c r="E99" s="2" t="s">
        <v>78</v>
      </c>
      <c r="F99" s="4">
        <v>0</v>
      </c>
      <c r="G99" s="4">
        <v>0</v>
      </c>
      <c r="H99" s="3">
        <v>46057</v>
      </c>
      <c r="I99" s="4">
        <v>846.77</v>
      </c>
      <c r="J99" s="2" t="s">
        <v>4827</v>
      </c>
      <c r="K99" s="3">
        <v>46054</v>
      </c>
      <c r="L99" s="2">
        <f>IF(G99&lt;=0,0,MAX(0,Assumptions!$B$3-K99))</f>
        <v>0</v>
      </c>
      <c r="M99" s="2" t="str">
        <f t="shared" si="3"/>
        <v>Current</v>
      </c>
      <c r="N99" s="4">
        <v>0</v>
      </c>
      <c r="O99" s="2" t="s">
        <v>78</v>
      </c>
      <c r="P99" s="2" t="s">
        <v>36</v>
      </c>
    </row>
    <row r="100" spans="1:16" x14ac:dyDescent="0.2">
      <c r="A100" s="2" t="s">
        <v>652</v>
      </c>
      <c r="B100" s="2" t="s">
        <v>653</v>
      </c>
      <c r="C100" s="4">
        <v>1050</v>
      </c>
      <c r="D100" s="4">
        <f t="shared" si="2"/>
        <v>12600</v>
      </c>
      <c r="E100" s="2" t="s">
        <v>78</v>
      </c>
      <c r="F100" s="4">
        <v>0</v>
      </c>
      <c r="G100" s="4">
        <v>0</v>
      </c>
      <c r="H100" s="3">
        <v>46069</v>
      </c>
      <c r="I100" s="4">
        <v>1052.9100000000001</v>
      </c>
      <c r="J100" s="2" t="s">
        <v>4825</v>
      </c>
      <c r="K100" s="3">
        <v>46054</v>
      </c>
      <c r="L100" s="2">
        <f>IF(G100&lt;=0,0,MAX(0,Assumptions!$B$3-K100))</f>
        <v>0</v>
      </c>
      <c r="M100" s="2" t="str">
        <f t="shared" si="3"/>
        <v>Current</v>
      </c>
      <c r="N100" s="4">
        <v>0</v>
      </c>
      <c r="O100" s="2" t="s">
        <v>78</v>
      </c>
      <c r="P100" s="2" t="s">
        <v>36</v>
      </c>
    </row>
    <row r="101" spans="1:16" x14ac:dyDescent="0.2">
      <c r="A101" s="2" t="s">
        <v>658</v>
      </c>
      <c r="B101" s="2" t="s">
        <v>659</v>
      </c>
      <c r="C101" s="4">
        <v>1050</v>
      </c>
      <c r="D101" s="4">
        <f t="shared" si="2"/>
        <v>12600</v>
      </c>
      <c r="E101" s="2" t="s">
        <v>78</v>
      </c>
      <c r="F101" s="4">
        <v>0</v>
      </c>
      <c r="G101" s="4">
        <v>-50</v>
      </c>
      <c r="H101" s="3">
        <v>46030</v>
      </c>
      <c r="I101" s="4">
        <v>1014.71</v>
      </c>
      <c r="J101" s="2" t="s">
        <v>4823</v>
      </c>
      <c r="K101" s="3">
        <v>46054</v>
      </c>
      <c r="L101" s="2">
        <f>IF(G101&lt;=0,0,MAX(0,Assumptions!$B$3-K101))</f>
        <v>0</v>
      </c>
      <c r="M101" s="2" t="str">
        <f t="shared" si="3"/>
        <v>Current</v>
      </c>
      <c r="N101" s="4">
        <v>0</v>
      </c>
      <c r="O101" s="2" t="s">
        <v>78</v>
      </c>
      <c r="P101" s="2" t="s">
        <v>36</v>
      </c>
    </row>
    <row r="102" spans="1:16" x14ac:dyDescent="0.2">
      <c r="A102" s="2" t="s">
        <v>665</v>
      </c>
      <c r="B102" s="2" t="s">
        <v>666</v>
      </c>
      <c r="C102" s="4">
        <v>1050</v>
      </c>
      <c r="D102" s="4">
        <f t="shared" si="2"/>
        <v>12600</v>
      </c>
      <c r="E102" s="2" t="s">
        <v>78</v>
      </c>
      <c r="F102" s="4">
        <v>0</v>
      </c>
      <c r="G102" s="4">
        <v>-50</v>
      </c>
      <c r="H102" s="3">
        <v>46052</v>
      </c>
      <c r="I102" s="4">
        <v>1249.54</v>
      </c>
      <c r="J102" s="2" t="s">
        <v>4827</v>
      </c>
      <c r="K102" s="3">
        <v>46054</v>
      </c>
      <c r="L102" s="2">
        <f>IF(G102&lt;=0,0,MAX(0,Assumptions!$B$3-K102))</f>
        <v>0</v>
      </c>
      <c r="M102" s="2" t="str">
        <f t="shared" si="3"/>
        <v>Current</v>
      </c>
      <c r="N102" s="4">
        <v>0</v>
      </c>
      <c r="O102" s="2" t="s">
        <v>78</v>
      </c>
      <c r="P102" s="2" t="s">
        <v>36</v>
      </c>
    </row>
    <row r="103" spans="1:16" x14ac:dyDescent="0.2">
      <c r="A103" s="2" t="s">
        <v>670</v>
      </c>
      <c r="B103" s="2" t="s">
        <v>671</v>
      </c>
      <c r="C103" s="4">
        <v>1450</v>
      </c>
      <c r="D103" s="4">
        <f t="shared" si="2"/>
        <v>17400</v>
      </c>
      <c r="E103" s="2" t="s">
        <v>78</v>
      </c>
      <c r="F103" s="4">
        <v>0</v>
      </c>
      <c r="G103" s="4">
        <v>0</v>
      </c>
      <c r="H103" s="3">
        <v>46050</v>
      </c>
      <c r="I103" s="4">
        <v>1185.8699999999999</v>
      </c>
      <c r="J103" s="2" t="s">
        <v>4826</v>
      </c>
      <c r="K103" s="3">
        <v>46054</v>
      </c>
      <c r="L103" s="2">
        <f>IF(G103&lt;=0,0,MAX(0,Assumptions!$B$3-K103))</f>
        <v>0</v>
      </c>
      <c r="M103" s="2" t="str">
        <f t="shared" si="3"/>
        <v>Current</v>
      </c>
      <c r="N103" s="4">
        <v>0</v>
      </c>
      <c r="O103" s="2" t="s">
        <v>78</v>
      </c>
      <c r="P103" s="2" t="s">
        <v>78</v>
      </c>
    </row>
    <row r="104" spans="1:16" x14ac:dyDescent="0.2">
      <c r="A104" s="2" t="s">
        <v>677</v>
      </c>
      <c r="B104" s="2" t="s">
        <v>678</v>
      </c>
      <c r="C104" s="4">
        <v>725</v>
      </c>
      <c r="D104" s="4">
        <f t="shared" si="2"/>
        <v>8700</v>
      </c>
      <c r="E104" s="2" t="s">
        <v>78</v>
      </c>
      <c r="F104" s="4">
        <v>0</v>
      </c>
      <c r="G104" s="4">
        <v>-50</v>
      </c>
      <c r="H104" s="3">
        <v>46041</v>
      </c>
      <c r="I104" s="4">
        <v>787.57</v>
      </c>
      <c r="J104" s="2" t="s">
        <v>4824</v>
      </c>
      <c r="K104" s="3">
        <v>46054</v>
      </c>
      <c r="L104" s="2">
        <f>IF(G104&lt;=0,0,MAX(0,Assumptions!$B$3-K104))</f>
        <v>0</v>
      </c>
      <c r="M104" s="2" t="str">
        <f t="shared" si="3"/>
        <v>Current</v>
      </c>
      <c r="N104" s="4">
        <v>0</v>
      </c>
      <c r="O104" s="2" t="s">
        <v>78</v>
      </c>
      <c r="P104" s="2" t="s">
        <v>36</v>
      </c>
    </row>
    <row r="105" spans="1:16" x14ac:dyDescent="0.2">
      <c r="A105" s="2" t="s">
        <v>682</v>
      </c>
      <c r="B105" s="2" t="s">
        <v>683</v>
      </c>
      <c r="C105" s="4">
        <v>725</v>
      </c>
      <c r="D105" s="4">
        <f t="shared" si="2"/>
        <v>8700</v>
      </c>
      <c r="E105" s="2" t="s">
        <v>78</v>
      </c>
      <c r="F105" s="4">
        <v>0</v>
      </c>
      <c r="G105" s="4">
        <v>0</v>
      </c>
      <c r="H105" s="3">
        <v>46036</v>
      </c>
      <c r="I105" s="4">
        <v>589.45000000000005</v>
      </c>
      <c r="J105" s="2" t="s">
        <v>4826</v>
      </c>
      <c r="K105" s="3">
        <v>46054</v>
      </c>
      <c r="L105" s="2">
        <f>IF(G105&lt;=0,0,MAX(0,Assumptions!$B$3-K105))</f>
        <v>0</v>
      </c>
      <c r="M105" s="2" t="str">
        <f t="shared" si="3"/>
        <v>Current</v>
      </c>
      <c r="N105" s="4">
        <v>0</v>
      </c>
      <c r="O105" s="2" t="s">
        <v>78</v>
      </c>
      <c r="P105" s="2" t="s">
        <v>78</v>
      </c>
    </row>
    <row r="106" spans="1:16" x14ac:dyDescent="0.2">
      <c r="A106" s="2" t="s">
        <v>688</v>
      </c>
      <c r="B106" s="2" t="s">
        <v>689</v>
      </c>
      <c r="C106" s="4">
        <v>725</v>
      </c>
      <c r="D106" s="4">
        <f t="shared" si="2"/>
        <v>8700</v>
      </c>
      <c r="E106" s="2" t="s">
        <v>36</v>
      </c>
      <c r="F106" s="4">
        <v>1157.1500000000001</v>
      </c>
      <c r="G106" s="4">
        <v>25</v>
      </c>
      <c r="H106" s="3">
        <v>46037</v>
      </c>
      <c r="I106" s="4">
        <v>726.01</v>
      </c>
      <c r="J106" s="2" t="s">
        <v>4824</v>
      </c>
      <c r="K106" s="3">
        <v>46054</v>
      </c>
      <c r="L106" s="2">
        <f>IF(G106&lt;=0,0,MAX(0,Assumptions!$B$3-K106))</f>
        <v>0</v>
      </c>
      <c r="M106" s="2" t="str">
        <f t="shared" si="3"/>
        <v>30 days</v>
      </c>
      <c r="N106" s="4">
        <v>0</v>
      </c>
      <c r="O106" s="2" t="s">
        <v>78</v>
      </c>
      <c r="P106" s="2" t="s">
        <v>78</v>
      </c>
    </row>
    <row r="107" spans="1:16" x14ac:dyDescent="0.2">
      <c r="A107" s="2" t="s">
        <v>693</v>
      </c>
      <c r="B107" s="2" t="s">
        <v>189</v>
      </c>
      <c r="C107" s="4">
        <v>725</v>
      </c>
      <c r="D107" s="4">
        <f t="shared" si="2"/>
        <v>8700</v>
      </c>
      <c r="E107" s="2" t="s">
        <v>78</v>
      </c>
      <c r="F107" s="4">
        <v>0</v>
      </c>
      <c r="G107" s="4">
        <v>0</v>
      </c>
      <c r="H107" s="3">
        <v>46040</v>
      </c>
      <c r="I107" s="4">
        <v>811.48</v>
      </c>
      <c r="J107" s="2" t="s">
        <v>4824</v>
      </c>
      <c r="K107" s="3">
        <v>46054</v>
      </c>
      <c r="L107" s="2">
        <f>IF(G107&lt;=0,0,MAX(0,Assumptions!$B$3-K107))</f>
        <v>0</v>
      </c>
      <c r="M107" s="2" t="str">
        <f t="shared" si="3"/>
        <v>Current</v>
      </c>
      <c r="N107" s="4">
        <v>0</v>
      </c>
      <c r="O107" s="2" t="s">
        <v>78</v>
      </c>
      <c r="P107" s="2" t="s">
        <v>78</v>
      </c>
    </row>
    <row r="108" spans="1:16" x14ac:dyDescent="0.2">
      <c r="A108" s="2" t="s">
        <v>698</v>
      </c>
      <c r="B108" s="2" t="s">
        <v>699</v>
      </c>
      <c r="C108" s="4">
        <v>725</v>
      </c>
      <c r="D108" s="4">
        <f t="shared" si="2"/>
        <v>8700</v>
      </c>
      <c r="E108" s="2" t="s">
        <v>78</v>
      </c>
      <c r="F108" s="4">
        <v>0</v>
      </c>
      <c r="G108" s="4">
        <v>0</v>
      </c>
      <c r="H108" s="3">
        <v>46061</v>
      </c>
      <c r="I108" s="4">
        <v>822.44</v>
      </c>
      <c r="J108" s="2" t="s">
        <v>4827</v>
      </c>
      <c r="K108" s="3">
        <v>46054</v>
      </c>
      <c r="L108" s="2">
        <f>IF(G108&lt;=0,0,MAX(0,Assumptions!$B$3-K108))</f>
        <v>0</v>
      </c>
      <c r="M108" s="2" t="str">
        <f t="shared" si="3"/>
        <v>Current</v>
      </c>
      <c r="N108" s="4">
        <v>0</v>
      </c>
      <c r="O108" s="2" t="s">
        <v>78</v>
      </c>
      <c r="P108" s="2" t="s">
        <v>78</v>
      </c>
    </row>
    <row r="109" spans="1:16" x14ac:dyDescent="0.2">
      <c r="A109" s="2" t="s">
        <v>703</v>
      </c>
      <c r="B109" s="2" t="s">
        <v>704</v>
      </c>
      <c r="C109" s="4">
        <v>725</v>
      </c>
      <c r="D109" s="4">
        <f t="shared" si="2"/>
        <v>8700</v>
      </c>
      <c r="E109" s="2" t="s">
        <v>78</v>
      </c>
      <c r="F109" s="4">
        <v>0</v>
      </c>
      <c r="G109" s="4">
        <v>-50</v>
      </c>
      <c r="H109" s="3">
        <v>46059</v>
      </c>
      <c r="I109" s="4">
        <v>712.19</v>
      </c>
      <c r="J109" s="2" t="s">
        <v>4825</v>
      </c>
      <c r="K109" s="3">
        <v>46054</v>
      </c>
      <c r="L109" s="2">
        <f>IF(G109&lt;=0,0,MAX(0,Assumptions!$B$3-K109))</f>
        <v>0</v>
      </c>
      <c r="M109" s="2" t="str">
        <f t="shared" si="3"/>
        <v>Current</v>
      </c>
      <c r="N109" s="4">
        <v>0</v>
      </c>
      <c r="O109" s="2" t="s">
        <v>78</v>
      </c>
      <c r="P109" s="2" t="s">
        <v>36</v>
      </c>
    </row>
    <row r="110" spans="1:16" x14ac:dyDescent="0.2">
      <c r="A110" s="2" t="s">
        <v>710</v>
      </c>
      <c r="B110" s="2" t="s">
        <v>711</v>
      </c>
      <c r="C110" s="4">
        <v>890</v>
      </c>
      <c r="D110" s="4">
        <f t="shared" si="2"/>
        <v>10680</v>
      </c>
      <c r="E110" s="2" t="s">
        <v>78</v>
      </c>
      <c r="F110" s="4">
        <v>0</v>
      </c>
      <c r="G110" s="4">
        <v>0</v>
      </c>
      <c r="H110" s="3">
        <v>46050</v>
      </c>
      <c r="I110" s="4">
        <v>740.37</v>
      </c>
      <c r="J110" s="2" t="s">
        <v>4824</v>
      </c>
      <c r="K110" s="3">
        <v>46054</v>
      </c>
      <c r="L110" s="2">
        <f>IF(G110&lt;=0,0,MAX(0,Assumptions!$B$3-K110))</f>
        <v>0</v>
      </c>
      <c r="M110" s="2" t="str">
        <f t="shared" si="3"/>
        <v>Current</v>
      </c>
      <c r="N110" s="4">
        <v>0</v>
      </c>
      <c r="O110" s="2" t="s">
        <v>78</v>
      </c>
      <c r="P110" s="2" t="s">
        <v>36</v>
      </c>
    </row>
    <row r="111" spans="1:16" x14ac:dyDescent="0.2">
      <c r="A111" s="2" t="s">
        <v>717</v>
      </c>
      <c r="B111" s="2" t="s">
        <v>718</v>
      </c>
      <c r="C111" s="4">
        <v>890</v>
      </c>
      <c r="D111" s="4">
        <f t="shared" si="2"/>
        <v>10680</v>
      </c>
      <c r="E111" s="2" t="s">
        <v>78</v>
      </c>
      <c r="F111" s="4">
        <v>0</v>
      </c>
      <c r="G111" s="4">
        <v>25</v>
      </c>
      <c r="H111" s="3">
        <v>46045</v>
      </c>
      <c r="I111" s="4">
        <v>991.92</v>
      </c>
      <c r="J111" s="2" t="s">
        <v>4826</v>
      </c>
      <c r="K111" s="3">
        <v>46054</v>
      </c>
      <c r="L111" s="2">
        <f>IF(G111&lt;=0,0,MAX(0,Assumptions!$B$3-K111))</f>
        <v>0</v>
      </c>
      <c r="M111" s="2" t="str">
        <f t="shared" si="3"/>
        <v>30 days</v>
      </c>
      <c r="N111" s="4">
        <v>0</v>
      </c>
      <c r="O111" s="2" t="s">
        <v>78</v>
      </c>
      <c r="P111" s="2" t="s">
        <v>78</v>
      </c>
    </row>
    <row r="112" spans="1:16" x14ac:dyDescent="0.2">
      <c r="A112" s="2" t="s">
        <v>722</v>
      </c>
      <c r="B112" s="2" t="s">
        <v>723</v>
      </c>
      <c r="C112" s="4">
        <v>890</v>
      </c>
      <c r="D112" s="4">
        <f t="shared" si="2"/>
        <v>10680</v>
      </c>
      <c r="E112" s="2" t="s">
        <v>36</v>
      </c>
      <c r="F112" s="4">
        <v>5069.74</v>
      </c>
      <c r="G112" s="4">
        <v>0</v>
      </c>
      <c r="H112" s="3">
        <v>46030</v>
      </c>
      <c r="I112" s="4">
        <v>920.17</v>
      </c>
      <c r="J112" s="2" t="s">
        <v>4826</v>
      </c>
      <c r="K112" s="3">
        <v>46054</v>
      </c>
      <c r="L112" s="2">
        <f>IF(G112&lt;=0,0,MAX(0,Assumptions!$B$3-K112))</f>
        <v>0</v>
      </c>
      <c r="M112" s="2" t="str">
        <f t="shared" si="3"/>
        <v>Current</v>
      </c>
      <c r="N112" s="4">
        <v>0</v>
      </c>
      <c r="O112" s="2" t="s">
        <v>78</v>
      </c>
      <c r="P112" s="2" t="s">
        <v>78</v>
      </c>
    </row>
    <row r="113" spans="1:16" x14ac:dyDescent="0.2">
      <c r="A113" s="2" t="s">
        <v>729</v>
      </c>
      <c r="B113" s="2" t="s">
        <v>730</v>
      </c>
      <c r="C113" s="4">
        <v>890</v>
      </c>
      <c r="D113" s="4">
        <f t="shared" si="2"/>
        <v>10680</v>
      </c>
      <c r="E113" s="2" t="s">
        <v>78</v>
      </c>
      <c r="F113" s="4">
        <v>0</v>
      </c>
      <c r="G113" s="4">
        <v>0</v>
      </c>
      <c r="H113" s="3">
        <v>46068</v>
      </c>
      <c r="I113" s="4">
        <v>857.43</v>
      </c>
      <c r="J113" s="2" t="s">
        <v>4824</v>
      </c>
      <c r="K113" s="3">
        <v>46054</v>
      </c>
      <c r="L113" s="2">
        <f>IF(G113&lt;=0,0,MAX(0,Assumptions!$B$3-K113))</f>
        <v>0</v>
      </c>
      <c r="M113" s="2" t="str">
        <f t="shared" si="3"/>
        <v>Current</v>
      </c>
      <c r="N113" s="4">
        <v>0</v>
      </c>
      <c r="O113" s="2" t="s">
        <v>78</v>
      </c>
      <c r="P113" s="2" t="s">
        <v>78</v>
      </c>
    </row>
    <row r="114" spans="1:16" x14ac:dyDescent="0.2">
      <c r="A114" s="2" t="s">
        <v>735</v>
      </c>
      <c r="B114" s="2" t="s">
        <v>736</v>
      </c>
      <c r="C114" s="4">
        <v>890</v>
      </c>
      <c r="D114" s="4">
        <f t="shared" si="2"/>
        <v>10680</v>
      </c>
      <c r="E114" s="2" t="s">
        <v>78</v>
      </c>
      <c r="F114" s="4">
        <v>0</v>
      </c>
      <c r="G114" s="4">
        <v>25</v>
      </c>
      <c r="H114" s="3">
        <v>46062</v>
      </c>
      <c r="I114" s="4">
        <v>1024</v>
      </c>
      <c r="J114" s="2" t="s">
        <v>4825</v>
      </c>
      <c r="K114" s="3">
        <v>46054</v>
      </c>
      <c r="L114" s="2">
        <f>IF(G114&lt;=0,0,MAX(0,Assumptions!$B$3-K114))</f>
        <v>0</v>
      </c>
      <c r="M114" s="2" t="str">
        <f t="shared" si="3"/>
        <v>30 days</v>
      </c>
      <c r="N114" s="4">
        <v>0</v>
      </c>
      <c r="O114" s="2" t="s">
        <v>78</v>
      </c>
      <c r="P114" s="2" t="s">
        <v>78</v>
      </c>
    </row>
    <row r="115" spans="1:16" x14ac:dyDescent="0.2">
      <c r="A115" s="2" t="s">
        <v>742</v>
      </c>
      <c r="B115" s="2" t="s">
        <v>743</v>
      </c>
      <c r="C115" s="4">
        <v>890</v>
      </c>
      <c r="D115" s="4">
        <f t="shared" si="2"/>
        <v>10680</v>
      </c>
      <c r="E115" s="2" t="s">
        <v>78</v>
      </c>
      <c r="F115" s="4">
        <v>0</v>
      </c>
      <c r="G115" s="4">
        <v>0</v>
      </c>
      <c r="H115" s="3">
        <v>46067</v>
      </c>
      <c r="I115" s="4">
        <v>757</v>
      </c>
      <c r="J115" s="2" t="s">
        <v>4825</v>
      </c>
      <c r="K115" s="3">
        <v>46054</v>
      </c>
      <c r="L115" s="2">
        <f>IF(G115&lt;=0,0,MAX(0,Assumptions!$B$3-K115))</f>
        <v>0</v>
      </c>
      <c r="M115" s="2" t="str">
        <f t="shared" si="3"/>
        <v>Current</v>
      </c>
      <c r="N115" s="4">
        <v>0</v>
      </c>
      <c r="O115" s="2" t="s">
        <v>78</v>
      </c>
      <c r="P115" s="2" t="s">
        <v>36</v>
      </c>
    </row>
    <row r="116" spans="1:16" x14ac:dyDescent="0.2">
      <c r="A116" s="2" t="s">
        <v>748</v>
      </c>
      <c r="B116" s="2" t="s">
        <v>749</v>
      </c>
      <c r="C116" s="4">
        <v>1050</v>
      </c>
      <c r="D116" s="4">
        <f t="shared" si="2"/>
        <v>12600</v>
      </c>
      <c r="E116" s="2" t="s">
        <v>78</v>
      </c>
      <c r="F116" s="4">
        <v>0</v>
      </c>
      <c r="G116" s="4">
        <v>0</v>
      </c>
      <c r="H116" s="3">
        <v>46065</v>
      </c>
      <c r="I116" s="4">
        <v>1056.26</v>
      </c>
      <c r="J116" s="2" t="s">
        <v>4824</v>
      </c>
      <c r="K116" s="3">
        <v>46054</v>
      </c>
      <c r="L116" s="2">
        <f>IF(G116&lt;=0,0,MAX(0,Assumptions!$B$3-K116))</f>
        <v>0</v>
      </c>
      <c r="M116" s="2" t="str">
        <f t="shared" si="3"/>
        <v>Current</v>
      </c>
      <c r="N116" s="4">
        <v>0</v>
      </c>
      <c r="O116" s="2" t="s">
        <v>78</v>
      </c>
      <c r="P116" s="2" t="s">
        <v>36</v>
      </c>
    </row>
    <row r="117" spans="1:16" x14ac:dyDescent="0.2">
      <c r="A117" s="2" t="s">
        <v>754</v>
      </c>
      <c r="B117" s="2" t="s">
        <v>562</v>
      </c>
      <c r="C117" s="4">
        <v>1050</v>
      </c>
      <c r="D117" s="4">
        <f t="shared" si="2"/>
        <v>12600</v>
      </c>
      <c r="E117" s="2" t="s">
        <v>78</v>
      </c>
      <c r="F117" s="4">
        <v>0</v>
      </c>
      <c r="G117" s="4">
        <v>0</v>
      </c>
      <c r="H117" s="3">
        <v>46038</v>
      </c>
      <c r="I117" s="4">
        <v>941.4</v>
      </c>
      <c r="J117" s="2" t="s">
        <v>4827</v>
      </c>
      <c r="K117" s="3">
        <v>46054</v>
      </c>
      <c r="L117" s="2">
        <f>IF(G117&lt;=0,0,MAX(0,Assumptions!$B$3-K117))</f>
        <v>0</v>
      </c>
      <c r="M117" s="2" t="str">
        <f t="shared" si="3"/>
        <v>Current</v>
      </c>
      <c r="N117" s="4">
        <v>0</v>
      </c>
      <c r="O117" s="2" t="s">
        <v>78</v>
      </c>
      <c r="P117" s="2" t="s">
        <v>78</v>
      </c>
    </row>
    <row r="118" spans="1:16" x14ac:dyDescent="0.2">
      <c r="A118" s="2" t="s">
        <v>759</v>
      </c>
      <c r="B118" s="2" t="s">
        <v>760</v>
      </c>
      <c r="C118" s="4">
        <v>1050</v>
      </c>
      <c r="D118" s="4">
        <f t="shared" si="2"/>
        <v>12600</v>
      </c>
      <c r="E118" s="2" t="s">
        <v>78</v>
      </c>
      <c r="F118" s="4">
        <v>0</v>
      </c>
      <c r="G118" s="4">
        <v>0</v>
      </c>
      <c r="H118" s="3">
        <v>46071</v>
      </c>
      <c r="I118" s="4">
        <v>870.98</v>
      </c>
      <c r="J118" s="2" t="s">
        <v>4827</v>
      </c>
      <c r="K118" s="3">
        <v>46054</v>
      </c>
      <c r="L118" s="2">
        <f>IF(G118&lt;=0,0,MAX(0,Assumptions!$B$3-K118))</f>
        <v>0</v>
      </c>
      <c r="M118" s="2" t="str">
        <f t="shared" si="3"/>
        <v>Current</v>
      </c>
      <c r="N118" s="4">
        <v>0</v>
      </c>
      <c r="O118" s="2" t="s">
        <v>78</v>
      </c>
      <c r="P118" s="2" t="s">
        <v>78</v>
      </c>
    </row>
    <row r="119" spans="1:16" x14ac:dyDescent="0.2">
      <c r="A119" s="2" t="s">
        <v>766</v>
      </c>
      <c r="B119" s="2" t="s">
        <v>767</v>
      </c>
      <c r="C119" s="4">
        <v>1050</v>
      </c>
      <c r="D119" s="4">
        <f t="shared" si="2"/>
        <v>12600</v>
      </c>
      <c r="E119" s="2" t="s">
        <v>78</v>
      </c>
      <c r="F119" s="4">
        <v>0</v>
      </c>
      <c r="G119" s="4">
        <v>0</v>
      </c>
      <c r="H119" s="3">
        <v>46055</v>
      </c>
      <c r="I119" s="4">
        <v>1158.22</v>
      </c>
      <c r="J119" s="2" t="s">
        <v>4826</v>
      </c>
      <c r="K119" s="3">
        <v>46054</v>
      </c>
      <c r="L119" s="2">
        <f>IF(G119&lt;=0,0,MAX(0,Assumptions!$B$3-K119))</f>
        <v>0</v>
      </c>
      <c r="M119" s="2" t="str">
        <f t="shared" si="3"/>
        <v>Current</v>
      </c>
      <c r="N119" s="4">
        <v>0</v>
      </c>
      <c r="O119" s="2" t="s">
        <v>78</v>
      </c>
      <c r="P119" s="2" t="s">
        <v>78</v>
      </c>
    </row>
    <row r="120" spans="1:16" x14ac:dyDescent="0.2">
      <c r="A120" s="2" t="s">
        <v>773</v>
      </c>
      <c r="B120" s="2" t="s">
        <v>220</v>
      </c>
      <c r="C120" s="4">
        <v>1450</v>
      </c>
      <c r="D120" s="4">
        <f t="shared" si="2"/>
        <v>17400</v>
      </c>
      <c r="E120" s="2" t="s">
        <v>78</v>
      </c>
      <c r="F120" s="4">
        <v>0</v>
      </c>
      <c r="G120" s="4">
        <v>15</v>
      </c>
      <c r="H120" s="3">
        <v>46068</v>
      </c>
      <c r="I120" s="4">
        <v>1248.31</v>
      </c>
      <c r="J120" s="2" t="s">
        <v>4825</v>
      </c>
      <c r="K120" s="3">
        <v>46054</v>
      </c>
      <c r="L120" s="2">
        <f>IF(G120&lt;=0,0,MAX(0,Assumptions!$B$3-K120))</f>
        <v>0</v>
      </c>
      <c r="M120" s="2" t="str">
        <f t="shared" si="3"/>
        <v>30 days</v>
      </c>
      <c r="N120" s="4">
        <v>0</v>
      </c>
      <c r="O120" s="2" t="s">
        <v>78</v>
      </c>
      <c r="P120" s="2" t="s">
        <v>78</v>
      </c>
    </row>
    <row r="121" spans="1:16" x14ac:dyDescent="0.2">
      <c r="A121" s="2" t="s">
        <v>778</v>
      </c>
      <c r="B121" s="2" t="s">
        <v>779</v>
      </c>
      <c r="C121" s="4">
        <v>725</v>
      </c>
      <c r="D121" s="4">
        <f t="shared" si="2"/>
        <v>8700</v>
      </c>
      <c r="E121" s="2" t="s">
        <v>78</v>
      </c>
      <c r="F121" s="4">
        <v>0</v>
      </c>
      <c r="G121" s="4">
        <v>0</v>
      </c>
      <c r="H121" s="3">
        <v>46053</v>
      </c>
      <c r="I121" s="4">
        <v>707.19</v>
      </c>
      <c r="J121" s="2" t="s">
        <v>4824</v>
      </c>
      <c r="K121" s="3">
        <v>46054</v>
      </c>
      <c r="L121" s="2">
        <f>IF(G121&lt;=0,0,MAX(0,Assumptions!$B$3-K121))</f>
        <v>0</v>
      </c>
      <c r="M121" s="2" t="str">
        <f t="shared" si="3"/>
        <v>Current</v>
      </c>
      <c r="N121" s="4">
        <v>0</v>
      </c>
      <c r="O121" s="2" t="s">
        <v>78</v>
      </c>
      <c r="P121" s="2" t="s">
        <v>36</v>
      </c>
    </row>
    <row r="122" spans="1:16" x14ac:dyDescent="0.2">
      <c r="A122" s="2" t="s">
        <v>784</v>
      </c>
      <c r="B122" s="2" t="s">
        <v>785</v>
      </c>
      <c r="C122" s="4">
        <v>725</v>
      </c>
      <c r="D122" s="4">
        <f t="shared" si="2"/>
        <v>8700</v>
      </c>
      <c r="E122" s="2" t="s">
        <v>78</v>
      </c>
      <c r="F122" s="4">
        <v>0</v>
      </c>
      <c r="G122" s="4">
        <v>25</v>
      </c>
      <c r="H122" s="3">
        <v>46054</v>
      </c>
      <c r="I122" s="4">
        <v>723.06</v>
      </c>
      <c r="J122" s="2" t="s">
        <v>4825</v>
      </c>
      <c r="K122" s="3">
        <v>46054</v>
      </c>
      <c r="L122" s="2">
        <f>IF(G122&lt;=0,0,MAX(0,Assumptions!$B$3-K122))</f>
        <v>0</v>
      </c>
      <c r="M122" s="2" t="str">
        <f t="shared" si="3"/>
        <v>30 days</v>
      </c>
      <c r="N122" s="4">
        <v>0</v>
      </c>
      <c r="O122" s="2" t="s">
        <v>78</v>
      </c>
      <c r="P122" s="2" t="s">
        <v>36</v>
      </c>
    </row>
    <row r="123" spans="1:16" x14ac:dyDescent="0.2">
      <c r="A123" s="2" t="s">
        <v>790</v>
      </c>
      <c r="B123" s="2" t="s">
        <v>791</v>
      </c>
      <c r="C123" s="4">
        <v>725</v>
      </c>
      <c r="D123" s="4">
        <f t="shared" si="2"/>
        <v>8700</v>
      </c>
      <c r="E123" s="2" t="s">
        <v>78</v>
      </c>
      <c r="F123" s="4">
        <v>0</v>
      </c>
      <c r="G123" s="4">
        <v>0</v>
      </c>
      <c r="H123" s="3">
        <v>46055</v>
      </c>
      <c r="I123" s="4">
        <v>673.61</v>
      </c>
      <c r="J123" s="2" t="s">
        <v>4827</v>
      </c>
      <c r="K123" s="3">
        <v>46054</v>
      </c>
      <c r="L123" s="2">
        <f>IF(G123&lt;=0,0,MAX(0,Assumptions!$B$3-K123))</f>
        <v>0</v>
      </c>
      <c r="M123" s="2" t="str">
        <f t="shared" si="3"/>
        <v>Current</v>
      </c>
      <c r="N123" s="4">
        <v>0</v>
      </c>
      <c r="O123" s="2" t="s">
        <v>78</v>
      </c>
      <c r="P123" s="2" t="s">
        <v>78</v>
      </c>
    </row>
    <row r="124" spans="1:16" x14ac:dyDescent="0.2">
      <c r="A124" s="2" t="s">
        <v>797</v>
      </c>
      <c r="B124" s="2" t="s">
        <v>798</v>
      </c>
      <c r="C124" s="4">
        <v>725</v>
      </c>
      <c r="D124" s="4">
        <f t="shared" si="2"/>
        <v>8700</v>
      </c>
      <c r="E124" s="2" t="s">
        <v>36</v>
      </c>
      <c r="F124" s="4">
        <v>8532.9500000000007</v>
      </c>
      <c r="G124" s="4">
        <v>25</v>
      </c>
      <c r="H124" s="3">
        <v>46046</v>
      </c>
      <c r="I124" s="4">
        <v>730.55</v>
      </c>
      <c r="J124" s="2" t="s">
        <v>4824</v>
      </c>
      <c r="K124" s="3">
        <v>46054</v>
      </c>
      <c r="L124" s="2">
        <f>IF(G124&lt;=0,0,MAX(0,Assumptions!$B$3-K124))</f>
        <v>0</v>
      </c>
      <c r="M124" s="2" t="str">
        <f t="shared" si="3"/>
        <v>30 days</v>
      </c>
      <c r="N124" s="4">
        <v>0</v>
      </c>
      <c r="O124" s="2" t="s">
        <v>78</v>
      </c>
      <c r="P124" s="2" t="s">
        <v>78</v>
      </c>
    </row>
    <row r="125" spans="1:16" x14ac:dyDescent="0.2">
      <c r="A125" s="2" t="s">
        <v>802</v>
      </c>
      <c r="B125" s="2" t="s">
        <v>803</v>
      </c>
      <c r="C125" s="4">
        <v>725</v>
      </c>
      <c r="D125" s="4">
        <f t="shared" si="2"/>
        <v>8700</v>
      </c>
      <c r="E125" s="2" t="s">
        <v>78</v>
      </c>
      <c r="F125" s="4">
        <v>0</v>
      </c>
      <c r="G125" s="4">
        <v>0</v>
      </c>
      <c r="H125" s="3">
        <v>46066</v>
      </c>
      <c r="I125" s="4">
        <v>663.47</v>
      </c>
      <c r="J125" s="2" t="s">
        <v>4823</v>
      </c>
      <c r="K125" s="3">
        <v>46054</v>
      </c>
      <c r="L125" s="2">
        <f>IF(G125&lt;=0,0,MAX(0,Assumptions!$B$3-K125))</f>
        <v>0</v>
      </c>
      <c r="M125" s="2" t="str">
        <f t="shared" si="3"/>
        <v>Current</v>
      </c>
      <c r="N125" s="4">
        <v>0</v>
      </c>
      <c r="O125" s="2" t="s">
        <v>78</v>
      </c>
      <c r="P125" s="2" t="s">
        <v>36</v>
      </c>
    </row>
    <row r="126" spans="1:16" x14ac:dyDescent="0.2">
      <c r="A126" s="2" t="s">
        <v>808</v>
      </c>
      <c r="B126" s="2" t="s">
        <v>227</v>
      </c>
      <c r="C126" s="4">
        <v>725</v>
      </c>
      <c r="D126" s="4">
        <f t="shared" si="2"/>
        <v>8700</v>
      </c>
      <c r="E126" s="2" t="s">
        <v>78</v>
      </c>
      <c r="F126" s="4">
        <v>0</v>
      </c>
      <c r="G126" s="4">
        <v>0</v>
      </c>
      <c r="H126" s="3">
        <v>46035</v>
      </c>
      <c r="I126" s="4">
        <v>798.51</v>
      </c>
      <c r="J126" s="2" t="s">
        <v>4826</v>
      </c>
      <c r="K126" s="3">
        <v>46054</v>
      </c>
      <c r="L126" s="2">
        <f>IF(G126&lt;=0,0,MAX(0,Assumptions!$B$3-K126))</f>
        <v>0</v>
      </c>
      <c r="M126" s="2" t="str">
        <f t="shared" si="3"/>
        <v>Current</v>
      </c>
      <c r="N126" s="4">
        <v>0</v>
      </c>
      <c r="O126" s="2" t="s">
        <v>78</v>
      </c>
      <c r="P126" s="2" t="s">
        <v>78</v>
      </c>
    </row>
    <row r="127" spans="1:16" x14ac:dyDescent="0.2">
      <c r="A127" s="2" t="s">
        <v>813</v>
      </c>
      <c r="B127" s="2" t="s">
        <v>814</v>
      </c>
      <c r="C127" s="4">
        <v>890</v>
      </c>
      <c r="D127" s="4">
        <f t="shared" si="2"/>
        <v>10680</v>
      </c>
      <c r="E127" s="2" t="s">
        <v>78</v>
      </c>
      <c r="F127" s="4">
        <v>0</v>
      </c>
      <c r="G127" s="4">
        <v>15</v>
      </c>
      <c r="H127" s="3">
        <v>46063</v>
      </c>
      <c r="I127" s="4">
        <v>721.74</v>
      </c>
      <c r="J127" s="2" t="s">
        <v>4825</v>
      </c>
      <c r="K127" s="3">
        <v>46054</v>
      </c>
      <c r="L127" s="2">
        <f>IF(G127&lt;=0,0,MAX(0,Assumptions!$B$3-K127))</f>
        <v>0</v>
      </c>
      <c r="M127" s="2" t="str">
        <f t="shared" si="3"/>
        <v>30 days</v>
      </c>
      <c r="N127" s="4">
        <v>0</v>
      </c>
      <c r="O127" s="2" t="s">
        <v>78</v>
      </c>
      <c r="P127" s="2" t="s">
        <v>36</v>
      </c>
    </row>
    <row r="128" spans="1:16" x14ac:dyDescent="0.2">
      <c r="A128" s="2" t="s">
        <v>820</v>
      </c>
      <c r="B128" s="2" t="s">
        <v>821</v>
      </c>
      <c r="C128" s="4">
        <v>890</v>
      </c>
      <c r="D128" s="4">
        <f t="shared" si="2"/>
        <v>10680</v>
      </c>
      <c r="E128" s="2" t="s">
        <v>78</v>
      </c>
      <c r="F128" s="4">
        <v>0</v>
      </c>
      <c r="G128" s="4">
        <v>0</v>
      </c>
      <c r="H128" s="3">
        <v>46042</v>
      </c>
      <c r="I128" s="4">
        <v>1008.37</v>
      </c>
      <c r="J128" s="2" t="s">
        <v>4825</v>
      </c>
      <c r="K128" s="3">
        <v>46054</v>
      </c>
      <c r="L128" s="2">
        <f>IF(G128&lt;=0,0,MAX(0,Assumptions!$B$3-K128))</f>
        <v>0</v>
      </c>
      <c r="M128" s="2" t="str">
        <f t="shared" si="3"/>
        <v>Current</v>
      </c>
      <c r="N128" s="4">
        <v>0</v>
      </c>
      <c r="O128" s="2" t="s">
        <v>78</v>
      </c>
      <c r="P128" s="2" t="s">
        <v>78</v>
      </c>
    </row>
    <row r="129" spans="1:16" x14ac:dyDescent="0.2">
      <c r="A129" s="2" t="s">
        <v>827</v>
      </c>
      <c r="B129" s="2" t="s">
        <v>828</v>
      </c>
      <c r="C129" s="4">
        <v>890</v>
      </c>
      <c r="D129" s="4">
        <f t="shared" si="2"/>
        <v>10680</v>
      </c>
      <c r="E129" s="2" t="s">
        <v>78</v>
      </c>
      <c r="F129" s="4">
        <v>0</v>
      </c>
      <c r="G129" s="4">
        <v>0</v>
      </c>
      <c r="H129" s="3">
        <v>46045</v>
      </c>
      <c r="I129" s="4">
        <v>897.44</v>
      </c>
      <c r="J129" s="2" t="s">
        <v>4823</v>
      </c>
      <c r="K129" s="3">
        <v>46054</v>
      </c>
      <c r="L129" s="2">
        <f>IF(G129&lt;=0,0,MAX(0,Assumptions!$B$3-K129))</f>
        <v>0</v>
      </c>
      <c r="M129" s="2" t="str">
        <f t="shared" si="3"/>
        <v>Current</v>
      </c>
      <c r="N129" s="4">
        <v>0</v>
      </c>
      <c r="O129" s="2" t="s">
        <v>78</v>
      </c>
      <c r="P129" s="2" t="s">
        <v>36</v>
      </c>
    </row>
    <row r="130" spans="1:16" x14ac:dyDescent="0.2">
      <c r="A130" s="2" t="s">
        <v>832</v>
      </c>
      <c r="B130" s="2" t="s">
        <v>267</v>
      </c>
      <c r="C130" s="4">
        <v>890</v>
      </c>
      <c r="D130" s="4">
        <f t="shared" ref="D130:D193" si="4">C130*12</f>
        <v>10680</v>
      </c>
      <c r="E130" s="2" t="s">
        <v>78</v>
      </c>
      <c r="F130" s="4">
        <v>0</v>
      </c>
      <c r="G130" s="4">
        <v>0</v>
      </c>
      <c r="H130" s="3">
        <v>46045</v>
      </c>
      <c r="I130" s="4">
        <v>1028.44</v>
      </c>
      <c r="J130" s="2" t="s">
        <v>4823</v>
      </c>
      <c r="K130" s="3">
        <v>46054</v>
      </c>
      <c r="L130" s="2">
        <f>IF(G130&lt;=0,0,MAX(0,Assumptions!$B$3-K130))</f>
        <v>0</v>
      </c>
      <c r="M130" s="2" t="str">
        <f t="shared" ref="M130:M193" si="5">IF(G130&lt;=0,"Current",IF(L130&lt;=30,"30 days",IF(L130&lt;=60,"60 days",IF(L130&lt;=90,"90 days","90+ days"))))</f>
        <v>Current</v>
      </c>
      <c r="N130" s="4">
        <v>0</v>
      </c>
      <c r="O130" s="2" t="s">
        <v>78</v>
      </c>
      <c r="P130" s="2" t="s">
        <v>36</v>
      </c>
    </row>
    <row r="131" spans="1:16" x14ac:dyDescent="0.2">
      <c r="A131" s="2" t="s">
        <v>836</v>
      </c>
      <c r="B131" s="2" t="s">
        <v>837</v>
      </c>
      <c r="C131" s="4">
        <v>890</v>
      </c>
      <c r="D131" s="4">
        <f t="shared" si="4"/>
        <v>10680</v>
      </c>
      <c r="E131" s="2" t="s">
        <v>78</v>
      </c>
      <c r="F131" s="4">
        <v>0</v>
      </c>
      <c r="G131" s="4">
        <v>0</v>
      </c>
      <c r="H131" s="3">
        <v>46051</v>
      </c>
      <c r="I131" s="4">
        <v>998.1</v>
      </c>
      <c r="J131" s="2" t="s">
        <v>4826</v>
      </c>
      <c r="K131" s="3">
        <v>46054</v>
      </c>
      <c r="L131" s="2">
        <f>IF(G131&lt;=0,0,MAX(0,Assumptions!$B$3-K131))</f>
        <v>0</v>
      </c>
      <c r="M131" s="2" t="str">
        <f t="shared" si="5"/>
        <v>Current</v>
      </c>
      <c r="N131" s="4">
        <v>0</v>
      </c>
      <c r="O131" s="2" t="s">
        <v>78</v>
      </c>
      <c r="P131" s="2" t="s">
        <v>78</v>
      </c>
    </row>
    <row r="132" spans="1:16" x14ac:dyDescent="0.2">
      <c r="A132" s="2" t="s">
        <v>841</v>
      </c>
      <c r="B132" s="2" t="s">
        <v>842</v>
      </c>
      <c r="C132" s="4">
        <v>890</v>
      </c>
      <c r="D132" s="4">
        <f t="shared" si="4"/>
        <v>10680</v>
      </c>
      <c r="E132" s="2" t="s">
        <v>78</v>
      </c>
      <c r="F132" s="4">
        <v>0</v>
      </c>
      <c r="G132" s="4">
        <v>0</v>
      </c>
      <c r="H132" s="3">
        <v>46044</v>
      </c>
      <c r="I132" s="4">
        <v>936.5</v>
      </c>
      <c r="J132" s="2" t="s">
        <v>4824</v>
      </c>
      <c r="K132" s="3">
        <v>46054</v>
      </c>
      <c r="L132" s="2">
        <f>IF(G132&lt;=0,0,MAX(0,Assumptions!$B$3-K132))</f>
        <v>0</v>
      </c>
      <c r="M132" s="2" t="str">
        <f t="shared" si="5"/>
        <v>Current</v>
      </c>
      <c r="N132" s="4">
        <v>0</v>
      </c>
      <c r="O132" s="2" t="s">
        <v>78</v>
      </c>
      <c r="P132" s="2" t="s">
        <v>36</v>
      </c>
    </row>
    <row r="133" spans="1:16" x14ac:dyDescent="0.2">
      <c r="A133" s="2" t="s">
        <v>848</v>
      </c>
      <c r="B133" s="2" t="s">
        <v>849</v>
      </c>
      <c r="C133" s="4">
        <v>1050</v>
      </c>
      <c r="D133" s="4">
        <f t="shared" si="4"/>
        <v>12600</v>
      </c>
      <c r="E133" s="2" t="s">
        <v>78</v>
      </c>
      <c r="F133" s="4">
        <v>0</v>
      </c>
      <c r="G133" s="4">
        <v>0</v>
      </c>
      <c r="H133" s="3">
        <v>46046</v>
      </c>
      <c r="I133" s="4">
        <v>882.18</v>
      </c>
      <c r="J133" s="2" t="s">
        <v>4824</v>
      </c>
      <c r="K133" s="3">
        <v>46054</v>
      </c>
      <c r="L133" s="2">
        <f>IF(G133&lt;=0,0,MAX(0,Assumptions!$B$3-K133))</f>
        <v>0</v>
      </c>
      <c r="M133" s="2" t="str">
        <f t="shared" si="5"/>
        <v>Current</v>
      </c>
      <c r="N133" s="4">
        <v>0</v>
      </c>
      <c r="O133" s="2" t="s">
        <v>78</v>
      </c>
      <c r="P133" s="2" t="s">
        <v>36</v>
      </c>
    </row>
    <row r="134" spans="1:16" x14ac:dyDescent="0.2">
      <c r="A134" s="2" t="s">
        <v>855</v>
      </c>
      <c r="B134" s="2" t="s">
        <v>856</v>
      </c>
      <c r="C134" s="4">
        <v>1050</v>
      </c>
      <c r="D134" s="4">
        <f t="shared" si="4"/>
        <v>12600</v>
      </c>
      <c r="E134" s="2" t="s">
        <v>78</v>
      </c>
      <c r="F134" s="4">
        <v>0</v>
      </c>
      <c r="G134" s="4">
        <v>0</v>
      </c>
      <c r="H134" s="3">
        <v>46033</v>
      </c>
      <c r="I134" s="4">
        <v>1103.46</v>
      </c>
      <c r="J134" s="2" t="s">
        <v>4826</v>
      </c>
      <c r="K134" s="3">
        <v>46054</v>
      </c>
      <c r="L134" s="2">
        <f>IF(G134&lt;=0,0,MAX(0,Assumptions!$B$3-K134))</f>
        <v>0</v>
      </c>
      <c r="M134" s="2" t="str">
        <f t="shared" si="5"/>
        <v>Current</v>
      </c>
      <c r="N134" s="4">
        <v>0</v>
      </c>
      <c r="O134" s="2" t="s">
        <v>78</v>
      </c>
      <c r="P134" s="2" t="s">
        <v>78</v>
      </c>
    </row>
    <row r="135" spans="1:16" x14ac:dyDescent="0.2">
      <c r="A135" s="2" t="s">
        <v>861</v>
      </c>
      <c r="B135" s="2" t="s">
        <v>770</v>
      </c>
      <c r="C135" s="4">
        <v>1050</v>
      </c>
      <c r="D135" s="4">
        <f t="shared" si="4"/>
        <v>12600</v>
      </c>
      <c r="E135" s="2" t="s">
        <v>78</v>
      </c>
      <c r="F135" s="4">
        <v>0</v>
      </c>
      <c r="G135" s="4">
        <v>25</v>
      </c>
      <c r="H135" s="3">
        <v>46057</v>
      </c>
      <c r="I135" s="4">
        <v>1037.45</v>
      </c>
      <c r="J135" s="2" t="s">
        <v>4823</v>
      </c>
      <c r="K135" s="3">
        <v>46054</v>
      </c>
      <c r="L135" s="2">
        <f>IF(G135&lt;=0,0,MAX(0,Assumptions!$B$3-K135))</f>
        <v>0</v>
      </c>
      <c r="M135" s="2" t="str">
        <f t="shared" si="5"/>
        <v>30 days</v>
      </c>
      <c r="N135" s="4">
        <v>0</v>
      </c>
      <c r="O135" s="2" t="s">
        <v>78</v>
      </c>
      <c r="P135" s="2" t="s">
        <v>36</v>
      </c>
    </row>
    <row r="136" spans="1:16" x14ac:dyDescent="0.2">
      <c r="A136" s="2" t="s">
        <v>866</v>
      </c>
      <c r="B136" s="2" t="s">
        <v>867</v>
      </c>
      <c r="C136" s="4">
        <v>1050</v>
      </c>
      <c r="D136" s="4">
        <f t="shared" si="4"/>
        <v>12600</v>
      </c>
      <c r="E136" s="2" t="s">
        <v>78</v>
      </c>
      <c r="F136" s="4">
        <v>0</v>
      </c>
      <c r="G136" s="4">
        <v>25</v>
      </c>
      <c r="H136" s="3">
        <v>46033</v>
      </c>
      <c r="I136" s="4">
        <v>1207.8599999999999</v>
      </c>
      <c r="J136" s="2" t="s">
        <v>4824</v>
      </c>
      <c r="K136" s="3">
        <v>46054</v>
      </c>
      <c r="L136" s="2">
        <f>IF(G136&lt;=0,0,MAX(0,Assumptions!$B$3-K136))</f>
        <v>0</v>
      </c>
      <c r="M136" s="2" t="str">
        <f t="shared" si="5"/>
        <v>30 days</v>
      </c>
      <c r="N136" s="4">
        <v>0</v>
      </c>
      <c r="O136" s="2" t="s">
        <v>78</v>
      </c>
      <c r="P136" s="2" t="s">
        <v>78</v>
      </c>
    </row>
    <row r="137" spans="1:16" x14ac:dyDescent="0.2">
      <c r="A137" s="2" t="s">
        <v>874</v>
      </c>
      <c r="B137" s="2" t="s">
        <v>875</v>
      </c>
      <c r="C137" s="4">
        <v>1450</v>
      </c>
      <c r="D137" s="4">
        <f t="shared" si="4"/>
        <v>17400</v>
      </c>
      <c r="E137" s="2" t="s">
        <v>36</v>
      </c>
      <c r="F137" s="4">
        <v>1071.72</v>
      </c>
      <c r="G137" s="4">
        <v>15</v>
      </c>
      <c r="H137" s="3">
        <v>46034</v>
      </c>
      <c r="I137" s="4">
        <v>1280.96</v>
      </c>
      <c r="J137" s="2" t="s">
        <v>4826</v>
      </c>
      <c r="K137" s="3">
        <v>46054</v>
      </c>
      <c r="L137" s="2">
        <f>IF(G137&lt;=0,0,MAX(0,Assumptions!$B$3-K137))</f>
        <v>0</v>
      </c>
      <c r="M137" s="2" t="str">
        <f t="shared" si="5"/>
        <v>30 days</v>
      </c>
      <c r="N137" s="4">
        <v>0</v>
      </c>
      <c r="O137" s="2" t="s">
        <v>78</v>
      </c>
      <c r="P137" s="2" t="s">
        <v>78</v>
      </c>
    </row>
    <row r="138" spans="1:16" x14ac:dyDescent="0.2">
      <c r="A138" s="2" t="s">
        <v>881</v>
      </c>
      <c r="B138" s="2" t="s">
        <v>882</v>
      </c>
      <c r="C138" s="4">
        <v>725</v>
      </c>
      <c r="D138" s="4">
        <f t="shared" si="4"/>
        <v>8700</v>
      </c>
      <c r="E138" s="2" t="s">
        <v>78</v>
      </c>
      <c r="F138" s="4">
        <v>0</v>
      </c>
      <c r="G138" s="4">
        <v>1618.49</v>
      </c>
      <c r="H138" s="3">
        <v>45979</v>
      </c>
      <c r="I138" s="4">
        <v>733.83</v>
      </c>
      <c r="J138" s="2" t="s">
        <v>4827</v>
      </c>
      <c r="K138" s="3">
        <v>45994</v>
      </c>
      <c r="L138" s="2">
        <f>IF(G138&lt;=0,0,MAX(0,Assumptions!$B$3-K138))</f>
        <v>0</v>
      </c>
      <c r="M138" s="2" t="str">
        <f t="shared" si="5"/>
        <v>30 days</v>
      </c>
      <c r="N138" s="4">
        <v>0</v>
      </c>
      <c r="O138" s="2" t="s">
        <v>78</v>
      </c>
      <c r="P138" s="2" t="s">
        <v>78</v>
      </c>
    </row>
    <row r="139" spans="1:16" x14ac:dyDescent="0.2">
      <c r="A139" s="2" t="s">
        <v>887</v>
      </c>
      <c r="B139" s="2" t="s">
        <v>888</v>
      </c>
      <c r="C139" s="4">
        <v>725</v>
      </c>
      <c r="D139" s="4">
        <f t="shared" si="4"/>
        <v>8700</v>
      </c>
      <c r="E139" s="2" t="s">
        <v>78</v>
      </c>
      <c r="F139" s="4">
        <v>0</v>
      </c>
      <c r="G139" s="4">
        <v>0</v>
      </c>
      <c r="H139" s="3">
        <v>46033</v>
      </c>
      <c r="I139" s="4">
        <v>693.74</v>
      </c>
      <c r="J139" s="2" t="s">
        <v>4827</v>
      </c>
      <c r="K139" s="3">
        <v>46054</v>
      </c>
      <c r="L139" s="2">
        <f>IF(G139&lt;=0,0,MAX(0,Assumptions!$B$3-K139))</f>
        <v>0</v>
      </c>
      <c r="M139" s="2" t="str">
        <f t="shared" si="5"/>
        <v>Current</v>
      </c>
      <c r="N139" s="4">
        <v>0</v>
      </c>
      <c r="O139" s="2" t="s">
        <v>78</v>
      </c>
      <c r="P139" s="2" t="s">
        <v>78</v>
      </c>
    </row>
    <row r="140" spans="1:16" x14ac:dyDescent="0.2">
      <c r="A140" s="2" t="s">
        <v>892</v>
      </c>
      <c r="B140" s="2" t="s">
        <v>893</v>
      </c>
      <c r="C140" s="4">
        <v>725</v>
      </c>
      <c r="D140" s="4">
        <f t="shared" si="4"/>
        <v>8700</v>
      </c>
      <c r="E140" s="2" t="s">
        <v>78</v>
      </c>
      <c r="F140" s="4">
        <v>0</v>
      </c>
      <c r="G140" s="4">
        <v>0</v>
      </c>
      <c r="H140" s="3">
        <v>46047</v>
      </c>
      <c r="I140" s="4">
        <v>861.12</v>
      </c>
      <c r="J140" s="2" t="s">
        <v>4827</v>
      </c>
      <c r="K140" s="3">
        <v>46054</v>
      </c>
      <c r="L140" s="2">
        <f>IF(G140&lt;=0,0,MAX(0,Assumptions!$B$3-K140))</f>
        <v>0</v>
      </c>
      <c r="M140" s="2" t="str">
        <f t="shared" si="5"/>
        <v>Current</v>
      </c>
      <c r="N140" s="4">
        <v>0</v>
      </c>
      <c r="O140" s="2" t="s">
        <v>78</v>
      </c>
      <c r="P140" s="2" t="s">
        <v>36</v>
      </c>
    </row>
    <row r="141" spans="1:16" x14ac:dyDescent="0.2">
      <c r="A141" s="2" t="s">
        <v>898</v>
      </c>
      <c r="B141" s="2" t="s">
        <v>899</v>
      </c>
      <c r="C141" s="4">
        <v>725</v>
      </c>
      <c r="D141" s="4">
        <f t="shared" si="4"/>
        <v>8700</v>
      </c>
      <c r="E141" s="2" t="s">
        <v>78</v>
      </c>
      <c r="F141" s="4">
        <v>0</v>
      </c>
      <c r="G141" s="4">
        <v>-50</v>
      </c>
      <c r="H141" s="3">
        <v>46031</v>
      </c>
      <c r="I141" s="4">
        <v>612.92999999999995</v>
      </c>
      <c r="J141" s="2" t="s">
        <v>4823</v>
      </c>
      <c r="K141" s="3">
        <v>46054</v>
      </c>
      <c r="L141" s="2">
        <f>IF(G141&lt;=0,0,MAX(0,Assumptions!$B$3-K141))</f>
        <v>0</v>
      </c>
      <c r="M141" s="2" t="str">
        <f t="shared" si="5"/>
        <v>Current</v>
      </c>
      <c r="N141" s="4">
        <v>0</v>
      </c>
      <c r="O141" s="2" t="s">
        <v>78</v>
      </c>
      <c r="P141" s="2" t="s">
        <v>36</v>
      </c>
    </row>
    <row r="142" spans="1:16" x14ac:dyDescent="0.2">
      <c r="A142" s="2" t="s">
        <v>903</v>
      </c>
      <c r="B142" s="2" t="s">
        <v>904</v>
      </c>
      <c r="C142" s="4">
        <v>725</v>
      </c>
      <c r="D142" s="4">
        <f t="shared" si="4"/>
        <v>8700</v>
      </c>
      <c r="E142" s="2" t="s">
        <v>78</v>
      </c>
      <c r="F142" s="4">
        <v>0</v>
      </c>
      <c r="G142" s="4">
        <v>0</v>
      </c>
      <c r="H142" s="3">
        <v>46035</v>
      </c>
      <c r="I142" s="4">
        <v>699.48</v>
      </c>
      <c r="J142" s="2" t="s">
        <v>4826</v>
      </c>
      <c r="K142" s="3">
        <v>46054</v>
      </c>
      <c r="L142" s="2">
        <f>IF(G142&lt;=0,0,MAX(0,Assumptions!$B$3-K142))</f>
        <v>0</v>
      </c>
      <c r="M142" s="2" t="str">
        <f t="shared" si="5"/>
        <v>Current</v>
      </c>
      <c r="N142" s="4">
        <v>0</v>
      </c>
      <c r="O142" s="2" t="s">
        <v>78</v>
      </c>
      <c r="P142" s="2" t="s">
        <v>78</v>
      </c>
    </row>
    <row r="143" spans="1:16" x14ac:dyDescent="0.2">
      <c r="A143" s="2" t="s">
        <v>910</v>
      </c>
      <c r="B143" s="2" t="s">
        <v>911</v>
      </c>
      <c r="C143" s="4">
        <v>725</v>
      </c>
      <c r="D143" s="4">
        <f t="shared" si="4"/>
        <v>8700</v>
      </c>
      <c r="E143" s="2" t="s">
        <v>78</v>
      </c>
      <c r="F143" s="4">
        <v>0</v>
      </c>
      <c r="G143" s="4">
        <v>2213.6799999999998</v>
      </c>
      <c r="H143" s="3">
        <v>45942</v>
      </c>
      <c r="I143" s="4">
        <v>302</v>
      </c>
      <c r="J143" s="2" t="s">
        <v>4823</v>
      </c>
      <c r="K143" s="3">
        <v>45964</v>
      </c>
      <c r="L143" s="2">
        <f>IF(G143&lt;=0,0,MAX(0,Assumptions!$B$3-K143))</f>
        <v>0</v>
      </c>
      <c r="M143" s="2" t="str">
        <f t="shared" si="5"/>
        <v>30 days</v>
      </c>
      <c r="N143" s="4">
        <v>50</v>
      </c>
      <c r="O143" s="2" t="s">
        <v>78</v>
      </c>
      <c r="P143" s="2" t="s">
        <v>78</v>
      </c>
    </row>
    <row r="144" spans="1:16" x14ac:dyDescent="0.2">
      <c r="A144" s="2" t="s">
        <v>915</v>
      </c>
      <c r="B144" s="2" t="s">
        <v>916</v>
      </c>
      <c r="C144" s="4">
        <v>890</v>
      </c>
      <c r="D144" s="4">
        <f t="shared" si="4"/>
        <v>10680</v>
      </c>
      <c r="E144" s="2" t="s">
        <v>78</v>
      </c>
      <c r="F144" s="4">
        <v>0</v>
      </c>
      <c r="G144" s="4">
        <v>0</v>
      </c>
      <c r="H144" s="3">
        <v>46056</v>
      </c>
      <c r="I144" s="4">
        <v>884.84</v>
      </c>
      <c r="J144" s="2" t="s">
        <v>4826</v>
      </c>
      <c r="K144" s="3">
        <v>46054</v>
      </c>
      <c r="L144" s="2">
        <f>IF(G144&lt;=0,0,MAX(0,Assumptions!$B$3-K144))</f>
        <v>0</v>
      </c>
      <c r="M144" s="2" t="str">
        <f t="shared" si="5"/>
        <v>Current</v>
      </c>
      <c r="N144" s="4">
        <v>0</v>
      </c>
      <c r="O144" s="2" t="s">
        <v>78</v>
      </c>
      <c r="P144" s="2" t="s">
        <v>36</v>
      </c>
    </row>
    <row r="145" spans="1:16" x14ac:dyDescent="0.2">
      <c r="A145" s="2" t="s">
        <v>922</v>
      </c>
      <c r="B145" s="2" t="s">
        <v>923</v>
      </c>
      <c r="C145" s="4">
        <v>890</v>
      </c>
      <c r="D145" s="4">
        <f t="shared" si="4"/>
        <v>10680</v>
      </c>
      <c r="E145" s="2" t="s">
        <v>78</v>
      </c>
      <c r="F145" s="4">
        <v>0</v>
      </c>
      <c r="G145" s="4">
        <v>0</v>
      </c>
      <c r="H145" s="3">
        <v>46059</v>
      </c>
      <c r="I145" s="4">
        <v>915.81</v>
      </c>
      <c r="J145" s="2" t="s">
        <v>4826</v>
      </c>
      <c r="K145" s="3">
        <v>46054</v>
      </c>
      <c r="L145" s="2">
        <f>IF(G145&lt;=0,0,MAX(0,Assumptions!$B$3-K145))</f>
        <v>0</v>
      </c>
      <c r="M145" s="2" t="str">
        <f t="shared" si="5"/>
        <v>Current</v>
      </c>
      <c r="N145" s="4">
        <v>0</v>
      </c>
      <c r="O145" s="2" t="s">
        <v>78</v>
      </c>
      <c r="P145" s="2" t="s">
        <v>78</v>
      </c>
    </row>
    <row r="146" spans="1:16" x14ac:dyDescent="0.2">
      <c r="A146" s="2" t="s">
        <v>927</v>
      </c>
      <c r="B146" s="2" t="s">
        <v>928</v>
      </c>
      <c r="C146" s="4">
        <v>890</v>
      </c>
      <c r="D146" s="4">
        <f t="shared" si="4"/>
        <v>10680</v>
      </c>
      <c r="E146" s="2" t="s">
        <v>36</v>
      </c>
      <c r="F146" s="4">
        <v>8730.17</v>
      </c>
      <c r="G146" s="4">
        <v>-50</v>
      </c>
      <c r="H146" s="3">
        <v>46065</v>
      </c>
      <c r="I146" s="4">
        <v>927.37</v>
      </c>
      <c r="J146" s="2" t="s">
        <v>4825</v>
      </c>
      <c r="K146" s="3">
        <v>46054</v>
      </c>
      <c r="L146" s="2">
        <f>IF(G146&lt;=0,0,MAX(0,Assumptions!$B$3-K146))</f>
        <v>0</v>
      </c>
      <c r="M146" s="2" t="str">
        <f t="shared" si="5"/>
        <v>Current</v>
      </c>
      <c r="N146" s="4">
        <v>0</v>
      </c>
      <c r="O146" s="2" t="s">
        <v>78</v>
      </c>
      <c r="P146" s="2" t="s">
        <v>78</v>
      </c>
    </row>
    <row r="147" spans="1:16" x14ac:dyDescent="0.2">
      <c r="A147" s="2" t="s">
        <v>934</v>
      </c>
      <c r="B147" s="2" t="s">
        <v>935</v>
      </c>
      <c r="C147" s="4">
        <v>890</v>
      </c>
      <c r="D147" s="4">
        <f t="shared" si="4"/>
        <v>10680</v>
      </c>
      <c r="E147" s="2" t="s">
        <v>78</v>
      </c>
      <c r="F147" s="4">
        <v>0</v>
      </c>
      <c r="G147" s="4">
        <v>-50</v>
      </c>
      <c r="H147" s="3">
        <v>46051</v>
      </c>
      <c r="I147" s="4">
        <v>985</v>
      </c>
      <c r="J147" s="2" t="s">
        <v>4824</v>
      </c>
      <c r="K147" s="3">
        <v>46054</v>
      </c>
      <c r="L147" s="2">
        <f>IF(G147&lt;=0,0,MAX(0,Assumptions!$B$3-K147))</f>
        <v>0</v>
      </c>
      <c r="M147" s="2" t="str">
        <f t="shared" si="5"/>
        <v>Current</v>
      </c>
      <c r="N147" s="4">
        <v>0</v>
      </c>
      <c r="O147" s="2" t="s">
        <v>78</v>
      </c>
      <c r="P147" s="2" t="s">
        <v>36</v>
      </c>
    </row>
    <row r="148" spans="1:16" x14ac:dyDescent="0.2">
      <c r="A148" s="2" t="s">
        <v>940</v>
      </c>
      <c r="B148" s="2" t="s">
        <v>941</v>
      </c>
      <c r="C148" s="4">
        <v>890</v>
      </c>
      <c r="D148" s="4">
        <f t="shared" si="4"/>
        <v>10680</v>
      </c>
      <c r="E148" s="2" t="s">
        <v>78</v>
      </c>
      <c r="F148" s="4">
        <v>0</v>
      </c>
      <c r="G148" s="4">
        <v>1993.58</v>
      </c>
      <c r="H148" s="3">
        <v>45990</v>
      </c>
      <c r="I148" s="4">
        <v>1018.06</v>
      </c>
      <c r="J148" s="2" t="s">
        <v>4827</v>
      </c>
      <c r="K148" s="3">
        <v>45994</v>
      </c>
      <c r="L148" s="2">
        <f>IF(G148&lt;=0,0,MAX(0,Assumptions!$B$3-K148))</f>
        <v>0</v>
      </c>
      <c r="M148" s="2" t="str">
        <f t="shared" si="5"/>
        <v>30 days</v>
      </c>
      <c r="N148" s="4">
        <v>25</v>
      </c>
      <c r="O148" s="2" t="s">
        <v>78</v>
      </c>
      <c r="P148" s="2" t="s">
        <v>78</v>
      </c>
    </row>
    <row r="149" spans="1:16" x14ac:dyDescent="0.2">
      <c r="A149" s="2" t="s">
        <v>948</v>
      </c>
      <c r="B149" s="2" t="s">
        <v>949</v>
      </c>
      <c r="C149" s="4">
        <v>890</v>
      </c>
      <c r="D149" s="4">
        <f t="shared" si="4"/>
        <v>10680</v>
      </c>
      <c r="E149" s="2" t="s">
        <v>78</v>
      </c>
      <c r="F149" s="4">
        <v>0</v>
      </c>
      <c r="G149" s="4">
        <v>25</v>
      </c>
      <c r="H149" s="3">
        <v>46038</v>
      </c>
      <c r="I149" s="4">
        <v>973.07</v>
      </c>
      <c r="J149" s="2" t="s">
        <v>4825</v>
      </c>
      <c r="K149" s="3">
        <v>46054</v>
      </c>
      <c r="L149" s="2">
        <f>IF(G149&lt;=0,0,MAX(0,Assumptions!$B$3-K149))</f>
        <v>0</v>
      </c>
      <c r="M149" s="2" t="str">
        <f t="shared" si="5"/>
        <v>30 days</v>
      </c>
      <c r="N149" s="4">
        <v>0</v>
      </c>
      <c r="O149" s="2" t="s">
        <v>78</v>
      </c>
      <c r="P149" s="2" t="s">
        <v>78</v>
      </c>
    </row>
    <row r="150" spans="1:16" x14ac:dyDescent="0.2">
      <c r="A150" s="2" t="s">
        <v>954</v>
      </c>
      <c r="B150" s="2" t="s">
        <v>955</v>
      </c>
      <c r="C150" s="4">
        <v>1050</v>
      </c>
      <c r="D150" s="4">
        <f t="shared" si="4"/>
        <v>12600</v>
      </c>
      <c r="E150" s="2" t="s">
        <v>36</v>
      </c>
      <c r="F150" s="4">
        <v>3882.47</v>
      </c>
      <c r="G150" s="4">
        <v>3184.51</v>
      </c>
      <c r="H150" s="3">
        <v>46004</v>
      </c>
      <c r="I150" s="4">
        <v>966.62</v>
      </c>
      <c r="J150" s="2" t="s">
        <v>4826</v>
      </c>
      <c r="K150" s="3">
        <v>45964</v>
      </c>
      <c r="L150" s="2">
        <f>IF(G150&lt;=0,0,MAX(0,Assumptions!$B$3-K150))</f>
        <v>0</v>
      </c>
      <c r="M150" s="2" t="str">
        <f t="shared" si="5"/>
        <v>30 days</v>
      </c>
      <c r="N150" s="4">
        <v>25</v>
      </c>
      <c r="O150" s="2" t="s">
        <v>78</v>
      </c>
      <c r="P150" s="2" t="s">
        <v>78</v>
      </c>
    </row>
    <row r="151" spans="1:16" x14ac:dyDescent="0.2">
      <c r="A151" s="2" t="s">
        <v>959</v>
      </c>
      <c r="B151" s="2" t="s">
        <v>960</v>
      </c>
      <c r="C151" s="4">
        <v>1050</v>
      </c>
      <c r="D151" s="4">
        <f t="shared" si="4"/>
        <v>12600</v>
      </c>
      <c r="E151" s="2" t="s">
        <v>78</v>
      </c>
      <c r="F151" s="4">
        <v>0</v>
      </c>
      <c r="G151" s="4">
        <v>3204.52</v>
      </c>
      <c r="H151" s="3">
        <v>45946</v>
      </c>
      <c r="I151" s="4">
        <v>932.79</v>
      </c>
      <c r="J151" s="2" t="s">
        <v>4825</v>
      </c>
      <c r="K151" s="3">
        <v>45964</v>
      </c>
      <c r="L151" s="2">
        <f>IF(G151&lt;=0,0,MAX(0,Assumptions!$B$3-K151))</f>
        <v>0</v>
      </c>
      <c r="M151" s="2" t="str">
        <f t="shared" si="5"/>
        <v>30 days</v>
      </c>
      <c r="N151" s="4">
        <v>0</v>
      </c>
      <c r="O151" s="2" t="s">
        <v>78</v>
      </c>
      <c r="P151" s="2" t="s">
        <v>78</v>
      </c>
    </row>
    <row r="152" spans="1:16" x14ac:dyDescent="0.2">
      <c r="A152" s="2" t="s">
        <v>965</v>
      </c>
      <c r="B152" s="2" t="s">
        <v>966</v>
      </c>
      <c r="C152" s="4">
        <v>1050</v>
      </c>
      <c r="D152" s="4">
        <f t="shared" si="4"/>
        <v>12600</v>
      </c>
      <c r="E152" s="2" t="s">
        <v>78</v>
      </c>
      <c r="F152" s="4">
        <v>0</v>
      </c>
      <c r="G152" s="4">
        <v>1242.0999999999999</v>
      </c>
      <c r="H152" s="3">
        <v>45971</v>
      </c>
      <c r="I152" s="4">
        <v>1094.05</v>
      </c>
      <c r="J152" s="2" t="s">
        <v>4825</v>
      </c>
      <c r="K152" s="3">
        <v>46024</v>
      </c>
      <c r="L152" s="2">
        <f>IF(G152&lt;=0,0,MAX(0,Assumptions!$B$3-K152))</f>
        <v>0</v>
      </c>
      <c r="M152" s="2" t="str">
        <f t="shared" si="5"/>
        <v>30 days</v>
      </c>
      <c r="N152" s="4">
        <v>0</v>
      </c>
      <c r="O152" s="2" t="s">
        <v>78</v>
      </c>
      <c r="P152" s="2" t="s">
        <v>78</v>
      </c>
    </row>
    <row r="153" spans="1:16" x14ac:dyDescent="0.2">
      <c r="A153" s="2" t="s">
        <v>972</v>
      </c>
      <c r="B153" s="2" t="s">
        <v>973</v>
      </c>
      <c r="C153" s="4">
        <v>1050</v>
      </c>
      <c r="D153" s="4">
        <f t="shared" si="4"/>
        <v>12600</v>
      </c>
      <c r="E153" s="2" t="s">
        <v>78</v>
      </c>
      <c r="F153" s="4">
        <v>0</v>
      </c>
      <c r="G153" s="4">
        <v>0</v>
      </c>
      <c r="H153" s="3">
        <v>46053</v>
      </c>
      <c r="I153" s="4">
        <v>1018.56</v>
      </c>
      <c r="J153" s="2" t="s">
        <v>4825</v>
      </c>
      <c r="K153" s="3">
        <v>46054</v>
      </c>
      <c r="L153" s="2">
        <f>IF(G153&lt;=0,0,MAX(0,Assumptions!$B$3-K153))</f>
        <v>0</v>
      </c>
      <c r="M153" s="2" t="str">
        <f t="shared" si="5"/>
        <v>Current</v>
      </c>
      <c r="N153" s="4">
        <v>0</v>
      </c>
      <c r="O153" s="2" t="s">
        <v>78</v>
      </c>
      <c r="P153" s="2" t="s">
        <v>78</v>
      </c>
    </row>
    <row r="154" spans="1:16" x14ac:dyDescent="0.2">
      <c r="A154" s="2" t="s">
        <v>979</v>
      </c>
      <c r="B154" s="2" t="s">
        <v>980</v>
      </c>
      <c r="C154" s="4">
        <v>1450</v>
      </c>
      <c r="D154" s="4">
        <f t="shared" si="4"/>
        <v>17400</v>
      </c>
      <c r="E154" s="2" t="s">
        <v>36</v>
      </c>
      <c r="F154" s="4">
        <v>8738.73</v>
      </c>
      <c r="G154" s="4">
        <v>0</v>
      </c>
      <c r="H154" s="3">
        <v>46049</v>
      </c>
      <c r="I154" s="4">
        <v>1328.92</v>
      </c>
      <c r="J154" s="2" t="s">
        <v>4825</v>
      </c>
      <c r="K154" s="3">
        <v>46054</v>
      </c>
      <c r="L154" s="2">
        <f>IF(G154&lt;=0,0,MAX(0,Assumptions!$B$3-K154))</f>
        <v>0</v>
      </c>
      <c r="M154" s="2" t="str">
        <f t="shared" si="5"/>
        <v>Current</v>
      </c>
      <c r="N154" s="4">
        <v>0</v>
      </c>
      <c r="O154" s="2" t="s">
        <v>78</v>
      </c>
      <c r="P154" s="2" t="s">
        <v>36</v>
      </c>
    </row>
    <row r="155" spans="1:16" x14ac:dyDescent="0.2">
      <c r="A155" s="2" t="s">
        <v>987</v>
      </c>
      <c r="B155" s="2" t="s">
        <v>988</v>
      </c>
      <c r="C155" s="4">
        <v>725</v>
      </c>
      <c r="D155" s="4">
        <f t="shared" si="4"/>
        <v>8700</v>
      </c>
      <c r="E155" s="2" t="s">
        <v>78</v>
      </c>
      <c r="F155" s="4">
        <v>0</v>
      </c>
      <c r="G155" s="4">
        <v>0</v>
      </c>
      <c r="H155" s="3">
        <v>46039</v>
      </c>
      <c r="I155" s="4">
        <v>726.91</v>
      </c>
      <c r="J155" s="2" t="s">
        <v>4823</v>
      </c>
      <c r="K155" s="3">
        <v>46054</v>
      </c>
      <c r="L155" s="2">
        <f>IF(G155&lt;=0,0,MAX(0,Assumptions!$B$3-K155))</f>
        <v>0</v>
      </c>
      <c r="M155" s="2" t="str">
        <f t="shared" si="5"/>
        <v>Current</v>
      </c>
      <c r="N155" s="4">
        <v>0</v>
      </c>
      <c r="O155" s="2" t="s">
        <v>78</v>
      </c>
      <c r="P155" s="2" t="s">
        <v>36</v>
      </c>
    </row>
    <row r="156" spans="1:16" x14ac:dyDescent="0.2">
      <c r="A156" s="2" t="s">
        <v>993</v>
      </c>
      <c r="B156" s="2" t="s">
        <v>994</v>
      </c>
      <c r="C156" s="4">
        <v>725</v>
      </c>
      <c r="D156" s="4">
        <f t="shared" si="4"/>
        <v>8700</v>
      </c>
      <c r="E156" s="2" t="s">
        <v>78</v>
      </c>
      <c r="F156" s="4">
        <v>0</v>
      </c>
      <c r="G156" s="4">
        <v>2360.7800000000002</v>
      </c>
      <c r="H156" s="3">
        <v>45983</v>
      </c>
      <c r="I156" s="4">
        <v>644.98</v>
      </c>
      <c r="J156" s="2" t="s">
        <v>4823</v>
      </c>
      <c r="K156" s="3">
        <v>45964</v>
      </c>
      <c r="L156" s="2">
        <f>IF(G156&lt;=0,0,MAX(0,Assumptions!$B$3-K156))</f>
        <v>0</v>
      </c>
      <c r="M156" s="2" t="str">
        <f t="shared" si="5"/>
        <v>30 days</v>
      </c>
      <c r="N156" s="4">
        <v>0</v>
      </c>
      <c r="O156" s="2" t="s">
        <v>78</v>
      </c>
      <c r="P156" s="2" t="s">
        <v>78</v>
      </c>
    </row>
    <row r="157" spans="1:16" x14ac:dyDescent="0.2">
      <c r="A157" s="2" t="s">
        <v>999</v>
      </c>
      <c r="B157" s="2" t="s">
        <v>1000</v>
      </c>
      <c r="C157" s="4">
        <v>725</v>
      </c>
      <c r="D157" s="4">
        <f t="shared" si="4"/>
        <v>8700</v>
      </c>
      <c r="E157" s="2" t="s">
        <v>78</v>
      </c>
      <c r="F157" s="4">
        <v>0</v>
      </c>
      <c r="G157" s="4">
        <v>0</v>
      </c>
      <c r="H157" s="3">
        <v>46032</v>
      </c>
      <c r="I157" s="4">
        <v>670.08</v>
      </c>
      <c r="J157" s="2" t="s">
        <v>4826</v>
      </c>
      <c r="K157" s="3">
        <v>46054</v>
      </c>
      <c r="L157" s="2">
        <f>IF(G157&lt;=0,0,MAX(0,Assumptions!$B$3-K157))</f>
        <v>0</v>
      </c>
      <c r="M157" s="2" t="str">
        <f t="shared" si="5"/>
        <v>Current</v>
      </c>
      <c r="N157" s="4">
        <v>0</v>
      </c>
      <c r="O157" s="2" t="s">
        <v>78</v>
      </c>
      <c r="P157" s="2" t="s">
        <v>36</v>
      </c>
    </row>
    <row r="158" spans="1:16" x14ac:dyDescent="0.2">
      <c r="A158" s="2" t="s">
        <v>1005</v>
      </c>
      <c r="B158" s="2" t="s">
        <v>935</v>
      </c>
      <c r="C158" s="4">
        <v>725</v>
      </c>
      <c r="D158" s="4">
        <f t="shared" si="4"/>
        <v>8700</v>
      </c>
      <c r="E158" s="2" t="s">
        <v>36</v>
      </c>
      <c r="F158" s="4">
        <v>1938.67</v>
      </c>
      <c r="G158" s="4">
        <v>0</v>
      </c>
      <c r="H158" s="3">
        <v>46036</v>
      </c>
      <c r="I158" s="4">
        <v>652.49</v>
      </c>
      <c r="J158" s="2" t="s">
        <v>4826</v>
      </c>
      <c r="K158" s="3">
        <v>46054</v>
      </c>
      <c r="L158" s="2">
        <f>IF(G158&lt;=0,0,MAX(0,Assumptions!$B$3-K158))</f>
        <v>0</v>
      </c>
      <c r="M158" s="2" t="str">
        <f t="shared" si="5"/>
        <v>Current</v>
      </c>
      <c r="N158" s="4">
        <v>0</v>
      </c>
      <c r="O158" s="2" t="s">
        <v>78</v>
      </c>
      <c r="P158" s="2" t="s">
        <v>78</v>
      </c>
    </row>
    <row r="159" spans="1:16" x14ac:dyDescent="0.2">
      <c r="A159" s="2" t="s">
        <v>1009</v>
      </c>
      <c r="B159" s="2" t="s">
        <v>1010</v>
      </c>
      <c r="C159" s="4">
        <v>725</v>
      </c>
      <c r="D159" s="4">
        <f t="shared" si="4"/>
        <v>8700</v>
      </c>
      <c r="E159" s="2" t="s">
        <v>78</v>
      </c>
      <c r="F159" s="4">
        <v>0</v>
      </c>
      <c r="G159" s="4">
        <v>25</v>
      </c>
      <c r="H159" s="3">
        <v>46070</v>
      </c>
      <c r="I159" s="4">
        <v>802.55</v>
      </c>
      <c r="J159" s="2" t="s">
        <v>4827</v>
      </c>
      <c r="K159" s="3">
        <v>46054</v>
      </c>
      <c r="L159" s="2">
        <f>IF(G159&lt;=0,0,MAX(0,Assumptions!$B$3-K159))</f>
        <v>0</v>
      </c>
      <c r="M159" s="2" t="str">
        <f t="shared" si="5"/>
        <v>30 days</v>
      </c>
      <c r="N159" s="4">
        <v>0</v>
      </c>
      <c r="O159" s="2" t="s">
        <v>78</v>
      </c>
      <c r="P159" s="2" t="s">
        <v>78</v>
      </c>
    </row>
    <row r="160" spans="1:16" x14ac:dyDescent="0.2">
      <c r="A160" s="2" t="s">
        <v>1015</v>
      </c>
      <c r="B160" s="2" t="s">
        <v>80</v>
      </c>
      <c r="C160" s="4">
        <v>725</v>
      </c>
      <c r="D160" s="4">
        <f t="shared" si="4"/>
        <v>8700</v>
      </c>
      <c r="E160" s="2" t="s">
        <v>78</v>
      </c>
      <c r="F160" s="4">
        <v>0</v>
      </c>
      <c r="G160" s="4">
        <v>0</v>
      </c>
      <c r="H160" s="3">
        <v>46053</v>
      </c>
      <c r="I160" s="4">
        <v>779.81</v>
      </c>
      <c r="J160" s="2" t="s">
        <v>4824</v>
      </c>
      <c r="K160" s="3">
        <v>46054</v>
      </c>
      <c r="L160" s="2">
        <f>IF(G160&lt;=0,0,MAX(0,Assumptions!$B$3-K160))</f>
        <v>0</v>
      </c>
      <c r="M160" s="2" t="str">
        <f t="shared" si="5"/>
        <v>Current</v>
      </c>
      <c r="N160" s="4">
        <v>0</v>
      </c>
      <c r="O160" s="2" t="s">
        <v>78</v>
      </c>
      <c r="P160" s="2" t="s">
        <v>78</v>
      </c>
    </row>
    <row r="161" spans="1:16" x14ac:dyDescent="0.2">
      <c r="A161" s="2" t="s">
        <v>1020</v>
      </c>
      <c r="B161" s="2" t="s">
        <v>1021</v>
      </c>
      <c r="C161" s="4">
        <v>890</v>
      </c>
      <c r="D161" s="4">
        <f t="shared" si="4"/>
        <v>10680</v>
      </c>
      <c r="E161" s="2" t="s">
        <v>78</v>
      </c>
      <c r="F161" s="4">
        <v>0</v>
      </c>
      <c r="G161" s="4">
        <v>15</v>
      </c>
      <c r="H161" s="3">
        <v>46042</v>
      </c>
      <c r="I161" s="4">
        <v>906.23</v>
      </c>
      <c r="J161" s="2" t="s">
        <v>4827</v>
      </c>
      <c r="K161" s="3">
        <v>46054</v>
      </c>
      <c r="L161" s="2">
        <f>IF(G161&lt;=0,0,MAX(0,Assumptions!$B$3-K161))</f>
        <v>0</v>
      </c>
      <c r="M161" s="2" t="str">
        <f t="shared" si="5"/>
        <v>30 days</v>
      </c>
      <c r="N161" s="4">
        <v>0</v>
      </c>
      <c r="O161" s="2" t="s">
        <v>78</v>
      </c>
      <c r="P161" s="2" t="s">
        <v>36</v>
      </c>
    </row>
    <row r="162" spans="1:16" x14ac:dyDescent="0.2">
      <c r="A162" s="2" t="s">
        <v>1026</v>
      </c>
      <c r="B162" s="2" t="s">
        <v>1027</v>
      </c>
      <c r="C162" s="4">
        <v>890</v>
      </c>
      <c r="D162" s="4">
        <f t="shared" si="4"/>
        <v>10680</v>
      </c>
      <c r="E162" s="2" t="s">
        <v>78</v>
      </c>
      <c r="F162" s="4">
        <v>0</v>
      </c>
      <c r="G162" s="4">
        <v>0</v>
      </c>
      <c r="H162" s="3">
        <v>46041</v>
      </c>
      <c r="I162" s="4">
        <v>909.51</v>
      </c>
      <c r="J162" s="2" t="s">
        <v>4825</v>
      </c>
      <c r="K162" s="3">
        <v>46054</v>
      </c>
      <c r="L162" s="2">
        <f>IF(G162&lt;=0,0,MAX(0,Assumptions!$B$3-K162))</f>
        <v>0</v>
      </c>
      <c r="M162" s="2" t="str">
        <f t="shared" si="5"/>
        <v>Current</v>
      </c>
      <c r="N162" s="4">
        <v>0</v>
      </c>
      <c r="O162" s="2" t="s">
        <v>78</v>
      </c>
      <c r="P162" s="2" t="s">
        <v>36</v>
      </c>
    </row>
    <row r="163" spans="1:16" x14ac:dyDescent="0.2">
      <c r="A163" s="2" t="s">
        <v>1031</v>
      </c>
      <c r="B163" s="2" t="s">
        <v>1032</v>
      </c>
      <c r="C163" s="4">
        <v>890</v>
      </c>
      <c r="D163" s="4">
        <f t="shared" si="4"/>
        <v>10680</v>
      </c>
      <c r="E163" s="2" t="s">
        <v>36</v>
      </c>
      <c r="F163" s="4">
        <v>1581.9</v>
      </c>
      <c r="G163" s="4">
        <v>0</v>
      </c>
      <c r="H163" s="3">
        <v>46063</v>
      </c>
      <c r="I163" s="4">
        <v>897.1</v>
      </c>
      <c r="J163" s="2" t="s">
        <v>4825</v>
      </c>
      <c r="K163" s="3">
        <v>46054</v>
      </c>
      <c r="L163" s="2">
        <f>IF(G163&lt;=0,0,MAX(0,Assumptions!$B$3-K163))</f>
        <v>0</v>
      </c>
      <c r="M163" s="2" t="str">
        <f t="shared" si="5"/>
        <v>Current</v>
      </c>
      <c r="N163" s="4">
        <v>0</v>
      </c>
      <c r="O163" s="2" t="s">
        <v>78</v>
      </c>
      <c r="P163" s="2" t="s">
        <v>36</v>
      </c>
    </row>
    <row r="164" spans="1:16" x14ac:dyDescent="0.2">
      <c r="A164" s="2" t="s">
        <v>1038</v>
      </c>
      <c r="B164" s="2" t="s">
        <v>1039</v>
      </c>
      <c r="C164" s="4">
        <v>890</v>
      </c>
      <c r="D164" s="4">
        <f t="shared" si="4"/>
        <v>10680</v>
      </c>
      <c r="E164" s="2" t="s">
        <v>78</v>
      </c>
      <c r="F164" s="4">
        <v>0</v>
      </c>
      <c r="G164" s="4">
        <v>0</v>
      </c>
      <c r="H164" s="3">
        <v>46046</v>
      </c>
      <c r="I164" s="4">
        <v>888.29</v>
      </c>
      <c r="J164" s="2" t="s">
        <v>4824</v>
      </c>
      <c r="K164" s="3">
        <v>46054</v>
      </c>
      <c r="L164" s="2">
        <f>IF(G164&lt;=0,0,MAX(0,Assumptions!$B$3-K164))</f>
        <v>0</v>
      </c>
      <c r="M164" s="2" t="str">
        <f t="shared" si="5"/>
        <v>Current</v>
      </c>
      <c r="N164" s="4">
        <v>0</v>
      </c>
      <c r="O164" s="2" t="s">
        <v>78</v>
      </c>
      <c r="P164" s="2" t="s">
        <v>36</v>
      </c>
    </row>
    <row r="165" spans="1:16" x14ac:dyDescent="0.2">
      <c r="A165" s="2" t="s">
        <v>1044</v>
      </c>
      <c r="B165" s="2" t="s">
        <v>1045</v>
      </c>
      <c r="C165" s="4">
        <v>890</v>
      </c>
      <c r="D165" s="4">
        <f t="shared" si="4"/>
        <v>10680</v>
      </c>
      <c r="E165" s="2" t="s">
        <v>78</v>
      </c>
      <c r="F165" s="4">
        <v>0</v>
      </c>
      <c r="G165" s="4">
        <v>0</v>
      </c>
      <c r="H165" s="3">
        <v>46073</v>
      </c>
      <c r="I165" s="4">
        <v>817.64</v>
      </c>
      <c r="J165" s="2" t="s">
        <v>4823</v>
      </c>
      <c r="K165" s="3">
        <v>46054</v>
      </c>
      <c r="L165" s="2">
        <f>IF(G165&lt;=0,0,MAX(0,Assumptions!$B$3-K165))</f>
        <v>0</v>
      </c>
      <c r="M165" s="2" t="str">
        <f t="shared" si="5"/>
        <v>Current</v>
      </c>
      <c r="N165" s="4">
        <v>0</v>
      </c>
      <c r="O165" s="2" t="s">
        <v>78</v>
      </c>
      <c r="P165" s="2" t="s">
        <v>78</v>
      </c>
    </row>
    <row r="166" spans="1:16" x14ac:dyDescent="0.2">
      <c r="A166" s="2" t="s">
        <v>1051</v>
      </c>
      <c r="B166" s="2" t="s">
        <v>1052</v>
      </c>
      <c r="C166" s="4">
        <v>890</v>
      </c>
      <c r="D166" s="4">
        <f t="shared" si="4"/>
        <v>10680</v>
      </c>
      <c r="E166" s="2" t="s">
        <v>78</v>
      </c>
      <c r="F166" s="4">
        <v>0</v>
      </c>
      <c r="G166" s="4">
        <v>0</v>
      </c>
      <c r="H166" s="3">
        <v>46040</v>
      </c>
      <c r="I166" s="4">
        <v>826.77</v>
      </c>
      <c r="J166" s="2" t="s">
        <v>4827</v>
      </c>
      <c r="K166" s="3">
        <v>46054</v>
      </c>
      <c r="L166" s="2">
        <f>IF(G166&lt;=0,0,MAX(0,Assumptions!$B$3-K166))</f>
        <v>0</v>
      </c>
      <c r="M166" s="2" t="str">
        <f t="shared" si="5"/>
        <v>Current</v>
      </c>
      <c r="N166" s="4">
        <v>0</v>
      </c>
      <c r="O166" s="2" t="s">
        <v>78</v>
      </c>
      <c r="P166" s="2" t="s">
        <v>78</v>
      </c>
    </row>
    <row r="167" spans="1:16" x14ac:dyDescent="0.2">
      <c r="A167" s="2" t="s">
        <v>1058</v>
      </c>
      <c r="B167" s="2" t="s">
        <v>1059</v>
      </c>
      <c r="C167" s="4">
        <v>1050</v>
      </c>
      <c r="D167" s="4">
        <f t="shared" si="4"/>
        <v>12600</v>
      </c>
      <c r="E167" s="2" t="s">
        <v>78</v>
      </c>
      <c r="F167" s="4">
        <v>0</v>
      </c>
      <c r="G167" s="4">
        <v>25</v>
      </c>
      <c r="H167" s="3">
        <v>46034</v>
      </c>
      <c r="I167" s="4">
        <v>1239.8399999999999</v>
      </c>
      <c r="J167" s="2" t="s">
        <v>4827</v>
      </c>
      <c r="K167" s="3">
        <v>46054</v>
      </c>
      <c r="L167" s="2">
        <f>IF(G167&lt;=0,0,MAX(0,Assumptions!$B$3-K167))</f>
        <v>0</v>
      </c>
      <c r="M167" s="2" t="str">
        <f t="shared" si="5"/>
        <v>30 days</v>
      </c>
      <c r="N167" s="4">
        <v>0</v>
      </c>
      <c r="O167" s="2" t="s">
        <v>78</v>
      </c>
      <c r="P167" s="2" t="s">
        <v>36</v>
      </c>
    </row>
    <row r="168" spans="1:16" x14ac:dyDescent="0.2">
      <c r="A168" s="2" t="s">
        <v>1066</v>
      </c>
      <c r="B168" s="2" t="s">
        <v>1067</v>
      </c>
      <c r="C168" s="4">
        <v>1050</v>
      </c>
      <c r="D168" s="4">
        <f t="shared" si="4"/>
        <v>12600</v>
      </c>
      <c r="E168" s="2" t="s">
        <v>78</v>
      </c>
      <c r="F168" s="4">
        <v>0</v>
      </c>
      <c r="G168" s="4">
        <v>-50</v>
      </c>
      <c r="H168" s="3">
        <v>46065</v>
      </c>
      <c r="I168" s="4">
        <v>908.98</v>
      </c>
      <c r="J168" s="2" t="s">
        <v>4823</v>
      </c>
      <c r="K168" s="3">
        <v>46054</v>
      </c>
      <c r="L168" s="2">
        <f>IF(G168&lt;=0,0,MAX(0,Assumptions!$B$3-K168))</f>
        <v>0</v>
      </c>
      <c r="M168" s="2" t="str">
        <f t="shared" si="5"/>
        <v>Current</v>
      </c>
      <c r="N168" s="4">
        <v>0</v>
      </c>
      <c r="O168" s="2" t="s">
        <v>78</v>
      </c>
      <c r="P168" s="2" t="s">
        <v>36</v>
      </c>
    </row>
    <row r="169" spans="1:16" x14ac:dyDescent="0.2">
      <c r="A169" s="2" t="s">
        <v>1073</v>
      </c>
      <c r="B169" s="2" t="s">
        <v>325</v>
      </c>
      <c r="C169" s="4">
        <v>1050</v>
      </c>
      <c r="D169" s="4">
        <f t="shared" si="4"/>
        <v>12600</v>
      </c>
      <c r="E169" s="2" t="s">
        <v>36</v>
      </c>
      <c r="F169" s="4">
        <v>8804.2999999999993</v>
      </c>
      <c r="G169" s="4">
        <v>2282.83</v>
      </c>
      <c r="H169" s="3">
        <v>46015</v>
      </c>
      <c r="I169" s="4">
        <v>1131.5</v>
      </c>
      <c r="J169" s="2" t="s">
        <v>4827</v>
      </c>
      <c r="K169" s="3">
        <v>45994</v>
      </c>
      <c r="L169" s="2">
        <f>IF(G169&lt;=0,0,MAX(0,Assumptions!$B$3-K169))</f>
        <v>0</v>
      </c>
      <c r="M169" s="2" t="str">
        <f t="shared" si="5"/>
        <v>30 days</v>
      </c>
      <c r="N169" s="4">
        <v>100</v>
      </c>
      <c r="O169" s="2" t="s">
        <v>78</v>
      </c>
      <c r="P169" s="2" t="s">
        <v>78</v>
      </c>
    </row>
    <row r="170" spans="1:16" x14ac:dyDescent="0.2">
      <c r="A170" s="2" t="s">
        <v>1078</v>
      </c>
      <c r="B170" s="2" t="s">
        <v>93</v>
      </c>
      <c r="C170" s="4">
        <v>1050</v>
      </c>
      <c r="D170" s="4">
        <f t="shared" si="4"/>
        <v>12600</v>
      </c>
      <c r="E170" s="2" t="s">
        <v>78</v>
      </c>
      <c r="F170" s="4">
        <v>0</v>
      </c>
      <c r="G170" s="4">
        <v>0</v>
      </c>
      <c r="H170" s="3">
        <v>46051</v>
      </c>
      <c r="I170" s="4">
        <v>1107.26</v>
      </c>
      <c r="J170" s="2" t="s">
        <v>4826</v>
      </c>
      <c r="K170" s="3">
        <v>46054</v>
      </c>
      <c r="L170" s="2">
        <f>IF(G170&lt;=0,0,MAX(0,Assumptions!$B$3-K170))</f>
        <v>0</v>
      </c>
      <c r="M170" s="2" t="str">
        <f t="shared" si="5"/>
        <v>Current</v>
      </c>
      <c r="N170" s="4">
        <v>0</v>
      </c>
      <c r="O170" s="2" t="s">
        <v>78</v>
      </c>
      <c r="P170" s="2" t="s">
        <v>78</v>
      </c>
    </row>
    <row r="171" spans="1:16" x14ac:dyDescent="0.2">
      <c r="A171" s="2" t="s">
        <v>1084</v>
      </c>
      <c r="B171" s="2" t="s">
        <v>1085</v>
      </c>
      <c r="C171" s="4">
        <v>1450</v>
      </c>
      <c r="D171" s="4">
        <f t="shared" si="4"/>
        <v>17400</v>
      </c>
      <c r="E171" s="2" t="s">
        <v>78</v>
      </c>
      <c r="F171" s="4">
        <v>0</v>
      </c>
      <c r="G171" s="4">
        <v>0</v>
      </c>
      <c r="H171" s="3">
        <v>46046</v>
      </c>
      <c r="I171" s="4">
        <v>1498.99</v>
      </c>
      <c r="J171" s="2" t="s">
        <v>4827</v>
      </c>
      <c r="K171" s="3">
        <v>46054</v>
      </c>
      <c r="L171" s="2">
        <f>IF(G171&lt;=0,0,MAX(0,Assumptions!$B$3-K171))</f>
        <v>0</v>
      </c>
      <c r="M171" s="2" t="str">
        <f t="shared" si="5"/>
        <v>Current</v>
      </c>
      <c r="N171" s="4">
        <v>0</v>
      </c>
      <c r="O171" s="2" t="s">
        <v>78</v>
      </c>
      <c r="P171" s="2" t="s">
        <v>36</v>
      </c>
    </row>
    <row r="172" spans="1:16" x14ac:dyDescent="0.2">
      <c r="A172" s="2" t="s">
        <v>1091</v>
      </c>
      <c r="B172" s="2" t="s">
        <v>1092</v>
      </c>
      <c r="C172" s="4">
        <v>727.54</v>
      </c>
      <c r="D172" s="4">
        <f t="shared" si="4"/>
        <v>8730.48</v>
      </c>
      <c r="E172" s="2" t="s">
        <v>78</v>
      </c>
      <c r="F172" s="4">
        <v>0</v>
      </c>
      <c r="G172" s="4">
        <v>15</v>
      </c>
      <c r="H172" s="3">
        <v>46039</v>
      </c>
      <c r="I172" s="4">
        <v>768.75</v>
      </c>
      <c r="J172" s="2" t="s">
        <v>4826</v>
      </c>
      <c r="K172" s="3">
        <v>46054</v>
      </c>
      <c r="L172" s="2">
        <f>IF(G172&lt;=0,0,MAX(0,Assumptions!$B$3-K172))</f>
        <v>0</v>
      </c>
      <c r="M172" s="2" t="str">
        <f t="shared" si="5"/>
        <v>30 days</v>
      </c>
      <c r="N172" s="4">
        <v>0</v>
      </c>
      <c r="O172" s="2" t="s">
        <v>78</v>
      </c>
      <c r="P172" s="2" t="s">
        <v>78</v>
      </c>
    </row>
    <row r="173" spans="1:16" x14ac:dyDescent="0.2">
      <c r="A173" s="2" t="s">
        <v>1096</v>
      </c>
      <c r="B173" s="2" t="s">
        <v>1097</v>
      </c>
      <c r="C173" s="4">
        <v>727.54</v>
      </c>
      <c r="D173" s="4">
        <f t="shared" si="4"/>
        <v>8730.48</v>
      </c>
      <c r="E173" s="2" t="s">
        <v>78</v>
      </c>
      <c r="F173" s="4">
        <v>0</v>
      </c>
      <c r="G173" s="4">
        <v>1606.9</v>
      </c>
      <c r="H173" s="3">
        <v>46024</v>
      </c>
      <c r="I173" s="4">
        <v>813.94</v>
      </c>
      <c r="J173" s="2" t="s">
        <v>4827</v>
      </c>
      <c r="K173" s="3">
        <v>45994</v>
      </c>
      <c r="L173" s="2">
        <f>IF(G173&lt;=0,0,MAX(0,Assumptions!$B$3-K173))</f>
        <v>0</v>
      </c>
      <c r="M173" s="2" t="str">
        <f t="shared" si="5"/>
        <v>30 days</v>
      </c>
      <c r="N173" s="4">
        <v>75</v>
      </c>
      <c r="O173" s="2" t="s">
        <v>78</v>
      </c>
      <c r="P173" s="2" t="s">
        <v>78</v>
      </c>
    </row>
    <row r="174" spans="1:16" x14ac:dyDescent="0.2">
      <c r="A174" s="2" t="s">
        <v>1104</v>
      </c>
      <c r="B174" s="2" t="s">
        <v>1105</v>
      </c>
      <c r="C174" s="4">
        <v>727.54</v>
      </c>
      <c r="D174" s="4">
        <f t="shared" si="4"/>
        <v>8730.48</v>
      </c>
      <c r="E174" s="2" t="s">
        <v>78</v>
      </c>
      <c r="F174" s="4">
        <v>0</v>
      </c>
      <c r="G174" s="4">
        <v>0</v>
      </c>
      <c r="H174" s="3">
        <v>46060</v>
      </c>
      <c r="I174" s="4">
        <v>630.95000000000005</v>
      </c>
      <c r="J174" s="2" t="s">
        <v>4826</v>
      </c>
      <c r="K174" s="3">
        <v>46054</v>
      </c>
      <c r="L174" s="2">
        <f>IF(G174&lt;=0,0,MAX(0,Assumptions!$B$3-K174))</f>
        <v>0</v>
      </c>
      <c r="M174" s="2" t="str">
        <f t="shared" si="5"/>
        <v>Current</v>
      </c>
      <c r="N174" s="4">
        <v>0</v>
      </c>
      <c r="O174" s="2" t="s">
        <v>78</v>
      </c>
      <c r="P174" s="2" t="s">
        <v>78</v>
      </c>
    </row>
    <row r="175" spans="1:16" x14ac:dyDescent="0.2">
      <c r="A175" s="2" t="s">
        <v>1110</v>
      </c>
      <c r="B175" s="2" t="s">
        <v>46</v>
      </c>
      <c r="C175" s="4">
        <v>727.54</v>
      </c>
      <c r="D175" s="4">
        <f t="shared" si="4"/>
        <v>8730.48</v>
      </c>
      <c r="E175" s="2" t="s">
        <v>78</v>
      </c>
      <c r="F175" s="4">
        <v>0</v>
      </c>
      <c r="G175" s="4">
        <v>0</v>
      </c>
      <c r="H175" s="3">
        <v>46064</v>
      </c>
      <c r="I175" s="4">
        <v>630</v>
      </c>
      <c r="J175" s="2" t="s">
        <v>4825</v>
      </c>
      <c r="K175" s="3">
        <v>46054</v>
      </c>
      <c r="L175" s="2">
        <f>IF(G175&lt;=0,0,MAX(0,Assumptions!$B$3-K175))</f>
        <v>0</v>
      </c>
      <c r="M175" s="2" t="str">
        <f t="shared" si="5"/>
        <v>Current</v>
      </c>
      <c r="N175" s="4">
        <v>0</v>
      </c>
      <c r="O175" s="2" t="s">
        <v>78</v>
      </c>
      <c r="P175" s="2" t="s">
        <v>36</v>
      </c>
    </row>
    <row r="176" spans="1:16" x14ac:dyDescent="0.2">
      <c r="A176" s="2" t="s">
        <v>1115</v>
      </c>
      <c r="B176" s="2" t="s">
        <v>1116</v>
      </c>
      <c r="C176" s="4">
        <v>727.54</v>
      </c>
      <c r="D176" s="4">
        <f t="shared" si="4"/>
        <v>8730.48</v>
      </c>
      <c r="E176" s="2" t="s">
        <v>36</v>
      </c>
      <c r="F176" s="4">
        <v>4849.49</v>
      </c>
      <c r="G176" s="4">
        <v>0</v>
      </c>
      <c r="H176" s="3">
        <v>46046</v>
      </c>
      <c r="I176" s="4">
        <v>775.51</v>
      </c>
      <c r="J176" s="2" t="s">
        <v>4827</v>
      </c>
      <c r="K176" s="3">
        <v>46054</v>
      </c>
      <c r="L176" s="2">
        <f>IF(G176&lt;=0,0,MAX(0,Assumptions!$B$3-K176))</f>
        <v>0</v>
      </c>
      <c r="M176" s="2" t="str">
        <f t="shared" si="5"/>
        <v>Current</v>
      </c>
      <c r="N176" s="4">
        <v>0</v>
      </c>
      <c r="O176" s="2" t="s">
        <v>78</v>
      </c>
      <c r="P176" s="2" t="s">
        <v>78</v>
      </c>
    </row>
    <row r="177" spans="1:16" x14ac:dyDescent="0.2">
      <c r="A177" s="2" t="s">
        <v>1121</v>
      </c>
      <c r="B177" s="2" t="s">
        <v>1122</v>
      </c>
      <c r="C177" s="4">
        <v>727.54</v>
      </c>
      <c r="D177" s="4">
        <f t="shared" si="4"/>
        <v>8730.48</v>
      </c>
      <c r="E177" s="2" t="s">
        <v>78</v>
      </c>
      <c r="F177" s="4">
        <v>0</v>
      </c>
      <c r="G177" s="4">
        <v>0</v>
      </c>
      <c r="H177" s="3">
        <v>46049</v>
      </c>
      <c r="I177" s="4">
        <v>807.25</v>
      </c>
      <c r="J177" s="2" t="s">
        <v>4823</v>
      </c>
      <c r="K177" s="3">
        <v>46054</v>
      </c>
      <c r="L177" s="2">
        <f>IF(G177&lt;=0,0,MAX(0,Assumptions!$B$3-K177))</f>
        <v>0</v>
      </c>
      <c r="M177" s="2" t="str">
        <f t="shared" si="5"/>
        <v>Current</v>
      </c>
      <c r="N177" s="4">
        <v>0</v>
      </c>
      <c r="O177" s="2" t="s">
        <v>78</v>
      </c>
      <c r="P177" s="2" t="s">
        <v>78</v>
      </c>
    </row>
    <row r="178" spans="1:16" x14ac:dyDescent="0.2">
      <c r="A178" s="2" t="s">
        <v>1126</v>
      </c>
      <c r="B178" s="2" t="s">
        <v>1127</v>
      </c>
      <c r="C178" s="4">
        <v>893.12</v>
      </c>
      <c r="D178" s="4">
        <f t="shared" si="4"/>
        <v>10717.44</v>
      </c>
      <c r="E178" s="2" t="s">
        <v>78</v>
      </c>
      <c r="F178" s="4">
        <v>0</v>
      </c>
      <c r="G178" s="4">
        <v>0</v>
      </c>
      <c r="H178" s="3">
        <v>46035</v>
      </c>
      <c r="I178" s="4">
        <v>1015.37</v>
      </c>
      <c r="J178" s="2" t="s">
        <v>4826</v>
      </c>
      <c r="K178" s="3">
        <v>46054</v>
      </c>
      <c r="L178" s="2">
        <f>IF(G178&lt;=0,0,MAX(0,Assumptions!$B$3-K178))</f>
        <v>0</v>
      </c>
      <c r="M178" s="2" t="str">
        <f t="shared" si="5"/>
        <v>Current</v>
      </c>
      <c r="N178" s="4">
        <v>0</v>
      </c>
      <c r="O178" s="2" t="s">
        <v>78</v>
      </c>
      <c r="P178" s="2" t="s">
        <v>78</v>
      </c>
    </row>
    <row r="179" spans="1:16" x14ac:dyDescent="0.2">
      <c r="A179" s="2" t="s">
        <v>1133</v>
      </c>
      <c r="B179" s="2" t="s">
        <v>1134</v>
      </c>
      <c r="C179" s="4">
        <v>893.12</v>
      </c>
      <c r="D179" s="4">
        <f t="shared" si="4"/>
        <v>10717.44</v>
      </c>
      <c r="E179" s="2" t="s">
        <v>78</v>
      </c>
      <c r="F179" s="4">
        <v>0</v>
      </c>
      <c r="G179" s="4">
        <v>0</v>
      </c>
      <c r="H179" s="3">
        <v>46038</v>
      </c>
      <c r="I179" s="4">
        <v>872.27</v>
      </c>
      <c r="J179" s="2" t="s">
        <v>4827</v>
      </c>
      <c r="K179" s="3">
        <v>46054</v>
      </c>
      <c r="L179" s="2">
        <f>IF(G179&lt;=0,0,MAX(0,Assumptions!$B$3-K179))</f>
        <v>0</v>
      </c>
      <c r="M179" s="2" t="str">
        <f t="shared" si="5"/>
        <v>Current</v>
      </c>
      <c r="N179" s="4">
        <v>0</v>
      </c>
      <c r="O179" s="2" t="s">
        <v>78</v>
      </c>
      <c r="P179" s="2" t="s">
        <v>78</v>
      </c>
    </row>
    <row r="180" spans="1:16" x14ac:dyDescent="0.2">
      <c r="A180" s="2" t="s">
        <v>1139</v>
      </c>
      <c r="B180" s="2" t="s">
        <v>518</v>
      </c>
      <c r="C180" s="4">
        <v>893.12</v>
      </c>
      <c r="D180" s="4">
        <f t="shared" si="4"/>
        <v>10717.44</v>
      </c>
      <c r="E180" s="2" t="s">
        <v>78</v>
      </c>
      <c r="F180" s="4">
        <v>0</v>
      </c>
      <c r="G180" s="4">
        <v>-50</v>
      </c>
      <c r="H180" s="3">
        <v>46062</v>
      </c>
      <c r="I180" s="4">
        <v>723.53</v>
      </c>
      <c r="J180" s="2" t="s">
        <v>4827</v>
      </c>
      <c r="K180" s="3">
        <v>46054</v>
      </c>
      <c r="L180" s="2">
        <f>IF(G180&lt;=0,0,MAX(0,Assumptions!$B$3-K180))</f>
        <v>0</v>
      </c>
      <c r="M180" s="2" t="str">
        <f t="shared" si="5"/>
        <v>Current</v>
      </c>
      <c r="N180" s="4">
        <v>0</v>
      </c>
      <c r="O180" s="2" t="s">
        <v>78</v>
      </c>
      <c r="P180" s="2" t="s">
        <v>78</v>
      </c>
    </row>
    <row r="181" spans="1:16" x14ac:dyDescent="0.2">
      <c r="A181" s="2" t="s">
        <v>1145</v>
      </c>
      <c r="B181" s="2" t="s">
        <v>1039</v>
      </c>
      <c r="C181" s="4">
        <v>893.12</v>
      </c>
      <c r="D181" s="4">
        <f t="shared" si="4"/>
        <v>10717.44</v>
      </c>
      <c r="E181" s="2" t="s">
        <v>78</v>
      </c>
      <c r="F181" s="4">
        <v>0</v>
      </c>
      <c r="G181" s="4">
        <v>0</v>
      </c>
      <c r="H181" s="3">
        <v>46060</v>
      </c>
      <c r="I181" s="4">
        <v>934.91</v>
      </c>
      <c r="J181" s="2" t="s">
        <v>4826</v>
      </c>
      <c r="K181" s="3">
        <v>46054</v>
      </c>
      <c r="L181" s="2">
        <f>IF(G181&lt;=0,0,MAX(0,Assumptions!$B$3-K181))</f>
        <v>0</v>
      </c>
      <c r="M181" s="2" t="str">
        <f t="shared" si="5"/>
        <v>Current</v>
      </c>
      <c r="N181" s="4">
        <v>0</v>
      </c>
      <c r="O181" s="2" t="s">
        <v>78</v>
      </c>
      <c r="P181" s="2" t="s">
        <v>78</v>
      </c>
    </row>
    <row r="182" spans="1:16" x14ac:dyDescent="0.2">
      <c r="A182" s="2" t="s">
        <v>1152</v>
      </c>
      <c r="B182" s="2" t="s">
        <v>1153</v>
      </c>
      <c r="C182" s="4">
        <v>893.12</v>
      </c>
      <c r="D182" s="4">
        <f t="shared" si="4"/>
        <v>10717.44</v>
      </c>
      <c r="E182" s="2" t="s">
        <v>78</v>
      </c>
      <c r="F182" s="4">
        <v>0</v>
      </c>
      <c r="G182" s="4">
        <v>0</v>
      </c>
      <c r="H182" s="3">
        <v>46061</v>
      </c>
      <c r="I182" s="4">
        <v>872.43</v>
      </c>
      <c r="J182" s="2" t="s">
        <v>4824</v>
      </c>
      <c r="K182" s="3">
        <v>46054</v>
      </c>
      <c r="L182" s="2">
        <f>IF(G182&lt;=0,0,MAX(0,Assumptions!$B$3-K182))</f>
        <v>0</v>
      </c>
      <c r="M182" s="2" t="str">
        <f t="shared" si="5"/>
        <v>Current</v>
      </c>
      <c r="N182" s="4">
        <v>0</v>
      </c>
      <c r="O182" s="2" t="s">
        <v>78</v>
      </c>
      <c r="P182" s="2" t="s">
        <v>36</v>
      </c>
    </row>
    <row r="183" spans="1:16" x14ac:dyDescent="0.2">
      <c r="A183" s="2" t="s">
        <v>1158</v>
      </c>
      <c r="B183" s="2" t="s">
        <v>1159</v>
      </c>
      <c r="C183" s="4">
        <v>893.12</v>
      </c>
      <c r="D183" s="4">
        <f t="shared" si="4"/>
        <v>10717.44</v>
      </c>
      <c r="E183" s="2" t="s">
        <v>78</v>
      </c>
      <c r="F183" s="4">
        <v>0</v>
      </c>
      <c r="G183" s="4">
        <v>-50</v>
      </c>
      <c r="H183" s="3">
        <v>46057</v>
      </c>
      <c r="I183" s="4">
        <v>894.12</v>
      </c>
      <c r="J183" s="2" t="s">
        <v>4825</v>
      </c>
      <c r="K183" s="3">
        <v>46054</v>
      </c>
      <c r="L183" s="2">
        <f>IF(G183&lt;=0,0,MAX(0,Assumptions!$B$3-K183))</f>
        <v>0</v>
      </c>
      <c r="M183" s="2" t="str">
        <f t="shared" si="5"/>
        <v>Current</v>
      </c>
      <c r="N183" s="4">
        <v>0</v>
      </c>
      <c r="O183" s="2" t="s">
        <v>78</v>
      </c>
      <c r="P183" s="2" t="s">
        <v>78</v>
      </c>
    </row>
    <row r="184" spans="1:16" x14ac:dyDescent="0.2">
      <c r="A184" s="2" t="s">
        <v>1164</v>
      </c>
      <c r="B184" s="2" t="s">
        <v>1165</v>
      </c>
      <c r="C184" s="4">
        <v>1053.67</v>
      </c>
      <c r="D184" s="4">
        <f t="shared" si="4"/>
        <v>12644.04</v>
      </c>
      <c r="E184" s="2" t="s">
        <v>78</v>
      </c>
      <c r="F184" s="4">
        <v>0</v>
      </c>
      <c r="G184" s="4">
        <v>0</v>
      </c>
      <c r="H184" s="3">
        <v>46048</v>
      </c>
      <c r="I184" s="4">
        <v>861.45</v>
      </c>
      <c r="J184" s="2" t="s">
        <v>4827</v>
      </c>
      <c r="K184" s="3">
        <v>46054</v>
      </c>
      <c r="L184" s="2">
        <f>IF(G184&lt;=0,0,MAX(0,Assumptions!$B$3-K184))</f>
        <v>0</v>
      </c>
      <c r="M184" s="2" t="str">
        <f t="shared" si="5"/>
        <v>Current</v>
      </c>
      <c r="N184" s="4">
        <v>0</v>
      </c>
      <c r="O184" s="2" t="s">
        <v>78</v>
      </c>
      <c r="P184" s="2" t="s">
        <v>36</v>
      </c>
    </row>
    <row r="185" spans="1:16" x14ac:dyDescent="0.2">
      <c r="A185" s="2" t="s">
        <v>1170</v>
      </c>
      <c r="B185" s="2" t="s">
        <v>1171</v>
      </c>
      <c r="C185" s="4">
        <v>1053.67</v>
      </c>
      <c r="D185" s="4">
        <f t="shared" si="4"/>
        <v>12644.04</v>
      </c>
      <c r="E185" s="2" t="s">
        <v>78</v>
      </c>
      <c r="F185" s="4">
        <v>0</v>
      </c>
      <c r="G185" s="4">
        <v>0</v>
      </c>
      <c r="H185" s="3">
        <v>46043</v>
      </c>
      <c r="I185" s="4">
        <v>1263.24</v>
      </c>
      <c r="J185" s="2" t="s">
        <v>4823</v>
      </c>
      <c r="K185" s="3">
        <v>46054</v>
      </c>
      <c r="L185" s="2">
        <f>IF(G185&lt;=0,0,MAX(0,Assumptions!$B$3-K185))</f>
        <v>0</v>
      </c>
      <c r="M185" s="2" t="str">
        <f t="shared" si="5"/>
        <v>Current</v>
      </c>
      <c r="N185" s="4">
        <v>0</v>
      </c>
      <c r="O185" s="2" t="s">
        <v>78</v>
      </c>
      <c r="P185" s="2" t="s">
        <v>36</v>
      </c>
    </row>
    <row r="186" spans="1:16" x14ac:dyDescent="0.2">
      <c r="A186" s="2" t="s">
        <v>1175</v>
      </c>
      <c r="B186" s="2" t="s">
        <v>1176</v>
      </c>
      <c r="C186" s="4">
        <v>1053.67</v>
      </c>
      <c r="D186" s="4">
        <f t="shared" si="4"/>
        <v>12644.04</v>
      </c>
      <c r="E186" s="2" t="s">
        <v>78</v>
      </c>
      <c r="F186" s="4">
        <v>0</v>
      </c>
      <c r="G186" s="4">
        <v>15</v>
      </c>
      <c r="H186" s="3">
        <v>46067</v>
      </c>
      <c r="I186" s="4">
        <v>859.03</v>
      </c>
      <c r="J186" s="2" t="s">
        <v>4825</v>
      </c>
      <c r="K186" s="3">
        <v>46054</v>
      </c>
      <c r="L186" s="2">
        <f>IF(G186&lt;=0,0,MAX(0,Assumptions!$B$3-K186))</f>
        <v>0</v>
      </c>
      <c r="M186" s="2" t="str">
        <f t="shared" si="5"/>
        <v>30 days</v>
      </c>
      <c r="N186" s="4">
        <v>0</v>
      </c>
      <c r="O186" s="2" t="s">
        <v>78</v>
      </c>
      <c r="P186" s="2" t="s">
        <v>78</v>
      </c>
    </row>
    <row r="187" spans="1:16" x14ac:dyDescent="0.2">
      <c r="A187" s="2" t="s">
        <v>1182</v>
      </c>
      <c r="B187" s="2" t="s">
        <v>1183</v>
      </c>
      <c r="C187" s="4">
        <v>1053.67</v>
      </c>
      <c r="D187" s="4">
        <f t="shared" si="4"/>
        <v>12644.04</v>
      </c>
      <c r="E187" s="2" t="s">
        <v>78</v>
      </c>
      <c r="F187" s="4">
        <v>0</v>
      </c>
      <c r="G187" s="4">
        <v>0</v>
      </c>
      <c r="H187" s="3">
        <v>46065</v>
      </c>
      <c r="I187" s="4">
        <v>877.84</v>
      </c>
      <c r="J187" s="2" t="s">
        <v>4825</v>
      </c>
      <c r="K187" s="3">
        <v>46054</v>
      </c>
      <c r="L187" s="2">
        <f>IF(G187&lt;=0,0,MAX(0,Assumptions!$B$3-K187))</f>
        <v>0</v>
      </c>
      <c r="M187" s="2" t="str">
        <f t="shared" si="5"/>
        <v>Current</v>
      </c>
      <c r="N187" s="4">
        <v>0</v>
      </c>
      <c r="O187" s="2" t="s">
        <v>78</v>
      </c>
      <c r="P187" s="2" t="s">
        <v>78</v>
      </c>
    </row>
    <row r="188" spans="1:16" x14ac:dyDescent="0.2">
      <c r="A188" s="2" t="s">
        <v>1188</v>
      </c>
      <c r="B188" s="2" t="s">
        <v>988</v>
      </c>
      <c r="C188" s="4">
        <v>1455.08</v>
      </c>
      <c r="D188" s="4">
        <f t="shared" si="4"/>
        <v>17460.96</v>
      </c>
      <c r="E188" s="2" t="s">
        <v>36</v>
      </c>
      <c r="F188" s="4">
        <v>5124.71</v>
      </c>
      <c r="G188" s="4">
        <v>3082.56</v>
      </c>
      <c r="H188" s="3">
        <v>45946</v>
      </c>
      <c r="I188" s="4">
        <v>122.6</v>
      </c>
      <c r="J188" s="2" t="s">
        <v>4826</v>
      </c>
      <c r="K188" s="3">
        <v>45994</v>
      </c>
      <c r="L188" s="2">
        <f>IF(G188&lt;=0,0,MAX(0,Assumptions!$B$3-K188))</f>
        <v>0</v>
      </c>
      <c r="M188" s="2" t="str">
        <f t="shared" si="5"/>
        <v>30 days</v>
      </c>
      <c r="N188" s="4">
        <v>50</v>
      </c>
      <c r="O188" s="2" t="s">
        <v>36</v>
      </c>
      <c r="P188" s="2" t="s">
        <v>78</v>
      </c>
    </row>
    <row r="189" spans="1:16" x14ac:dyDescent="0.2">
      <c r="A189" s="2" t="s">
        <v>1194</v>
      </c>
      <c r="B189" s="2" t="s">
        <v>518</v>
      </c>
      <c r="C189" s="4">
        <v>730.07</v>
      </c>
      <c r="D189" s="4">
        <f t="shared" si="4"/>
        <v>8760.84</v>
      </c>
      <c r="E189" s="2" t="s">
        <v>78</v>
      </c>
      <c r="F189" s="4">
        <v>0</v>
      </c>
      <c r="G189" s="4">
        <v>15</v>
      </c>
      <c r="H189" s="3">
        <v>46073</v>
      </c>
      <c r="I189" s="4">
        <v>858.72</v>
      </c>
      <c r="J189" s="2" t="s">
        <v>4823</v>
      </c>
      <c r="K189" s="3">
        <v>46054</v>
      </c>
      <c r="L189" s="2">
        <f>IF(G189&lt;=0,0,MAX(0,Assumptions!$B$3-K189))</f>
        <v>0</v>
      </c>
      <c r="M189" s="2" t="str">
        <f t="shared" si="5"/>
        <v>30 days</v>
      </c>
      <c r="N189" s="4">
        <v>0</v>
      </c>
      <c r="O189" s="2" t="s">
        <v>78</v>
      </c>
      <c r="P189" s="2" t="s">
        <v>78</v>
      </c>
    </row>
    <row r="190" spans="1:16" x14ac:dyDescent="0.2">
      <c r="A190" s="2" t="s">
        <v>1198</v>
      </c>
      <c r="B190" s="2" t="s">
        <v>263</v>
      </c>
      <c r="C190" s="4">
        <v>730.07</v>
      </c>
      <c r="D190" s="4">
        <f t="shared" si="4"/>
        <v>8760.84</v>
      </c>
      <c r="E190" s="2" t="s">
        <v>36</v>
      </c>
      <c r="F190" s="4">
        <v>2139.9899999999998</v>
      </c>
      <c r="G190" s="4">
        <v>15</v>
      </c>
      <c r="H190" s="3">
        <v>46064</v>
      </c>
      <c r="I190" s="4">
        <v>796.93</v>
      </c>
      <c r="J190" s="2" t="s">
        <v>4825</v>
      </c>
      <c r="K190" s="3">
        <v>46054</v>
      </c>
      <c r="L190" s="2">
        <f>IF(G190&lt;=0,0,MAX(0,Assumptions!$B$3-K190))</f>
        <v>0</v>
      </c>
      <c r="M190" s="2" t="str">
        <f t="shared" si="5"/>
        <v>30 days</v>
      </c>
      <c r="N190" s="4">
        <v>0</v>
      </c>
      <c r="O190" s="2" t="s">
        <v>78</v>
      </c>
      <c r="P190" s="2" t="s">
        <v>78</v>
      </c>
    </row>
    <row r="191" spans="1:16" x14ac:dyDescent="0.2">
      <c r="A191" s="2" t="s">
        <v>1203</v>
      </c>
      <c r="B191" s="2" t="s">
        <v>1204</v>
      </c>
      <c r="C191" s="4">
        <v>730.07</v>
      </c>
      <c r="D191" s="4">
        <f t="shared" si="4"/>
        <v>8760.84</v>
      </c>
      <c r="E191" s="2" t="s">
        <v>78</v>
      </c>
      <c r="F191" s="4">
        <v>0</v>
      </c>
      <c r="G191" s="4">
        <v>15</v>
      </c>
      <c r="H191" s="3">
        <v>46047</v>
      </c>
      <c r="I191" s="4">
        <v>634.57000000000005</v>
      </c>
      <c r="J191" s="2" t="s">
        <v>4825</v>
      </c>
      <c r="K191" s="3">
        <v>46054</v>
      </c>
      <c r="L191" s="2">
        <f>IF(G191&lt;=0,0,MAX(0,Assumptions!$B$3-K191))</f>
        <v>0</v>
      </c>
      <c r="M191" s="2" t="str">
        <f t="shared" si="5"/>
        <v>30 days</v>
      </c>
      <c r="N191" s="4">
        <v>0</v>
      </c>
      <c r="O191" s="2" t="s">
        <v>78</v>
      </c>
      <c r="P191" s="2" t="s">
        <v>36</v>
      </c>
    </row>
    <row r="192" spans="1:16" x14ac:dyDescent="0.2">
      <c r="A192" s="2" t="s">
        <v>1208</v>
      </c>
      <c r="B192" s="2" t="s">
        <v>1209</v>
      </c>
      <c r="C192" s="4">
        <v>730.07</v>
      </c>
      <c r="D192" s="4">
        <f t="shared" si="4"/>
        <v>8760.84</v>
      </c>
      <c r="E192" s="2" t="s">
        <v>36</v>
      </c>
      <c r="F192" s="4">
        <v>4463.1400000000003</v>
      </c>
      <c r="G192" s="4">
        <v>0</v>
      </c>
      <c r="H192" s="3">
        <v>46037</v>
      </c>
      <c r="I192" s="4">
        <v>855.72</v>
      </c>
      <c r="J192" s="2" t="s">
        <v>4825</v>
      </c>
      <c r="K192" s="3">
        <v>46054</v>
      </c>
      <c r="L192" s="2">
        <f>IF(G192&lt;=0,0,MAX(0,Assumptions!$B$3-K192))</f>
        <v>0</v>
      </c>
      <c r="M192" s="2" t="str">
        <f t="shared" si="5"/>
        <v>Current</v>
      </c>
      <c r="N192" s="4">
        <v>0</v>
      </c>
      <c r="O192" s="2" t="s">
        <v>78</v>
      </c>
      <c r="P192" s="2" t="s">
        <v>78</v>
      </c>
    </row>
    <row r="193" spans="1:16" x14ac:dyDescent="0.2">
      <c r="A193" s="2" t="s">
        <v>1214</v>
      </c>
      <c r="B193" s="2" t="s">
        <v>1215</v>
      </c>
      <c r="C193" s="4">
        <v>730.07</v>
      </c>
      <c r="D193" s="4">
        <f t="shared" si="4"/>
        <v>8760.84</v>
      </c>
      <c r="E193" s="2" t="s">
        <v>78</v>
      </c>
      <c r="F193" s="4">
        <v>0</v>
      </c>
      <c r="G193" s="4">
        <v>0</v>
      </c>
      <c r="H193" s="3">
        <v>46053</v>
      </c>
      <c r="I193" s="4">
        <v>756.69</v>
      </c>
      <c r="J193" s="2" t="s">
        <v>4825</v>
      </c>
      <c r="K193" s="3">
        <v>46054</v>
      </c>
      <c r="L193" s="2">
        <f>IF(G193&lt;=0,0,MAX(0,Assumptions!$B$3-K193))</f>
        <v>0</v>
      </c>
      <c r="M193" s="2" t="str">
        <f t="shared" si="5"/>
        <v>Current</v>
      </c>
      <c r="N193" s="4">
        <v>0</v>
      </c>
      <c r="O193" s="2" t="s">
        <v>78</v>
      </c>
      <c r="P193" s="2" t="s">
        <v>36</v>
      </c>
    </row>
    <row r="194" spans="1:16" x14ac:dyDescent="0.2">
      <c r="A194" s="2" t="s">
        <v>1220</v>
      </c>
      <c r="B194" s="2" t="s">
        <v>1221</v>
      </c>
      <c r="C194" s="4">
        <v>730.07</v>
      </c>
      <c r="D194" s="4">
        <f t="shared" ref="D194:D257" si="6">C194*12</f>
        <v>8760.84</v>
      </c>
      <c r="E194" s="2" t="s">
        <v>78</v>
      </c>
      <c r="F194" s="4">
        <v>0</v>
      </c>
      <c r="G194" s="4">
        <v>-50</v>
      </c>
      <c r="H194" s="3">
        <v>46044</v>
      </c>
      <c r="I194" s="4">
        <v>607.79</v>
      </c>
      <c r="J194" s="2" t="s">
        <v>4826</v>
      </c>
      <c r="K194" s="3">
        <v>46054</v>
      </c>
      <c r="L194" s="2">
        <f>IF(G194&lt;=0,0,MAX(0,Assumptions!$B$3-K194))</f>
        <v>0</v>
      </c>
      <c r="M194" s="2" t="str">
        <f t="shared" ref="M194:M257" si="7">IF(G194&lt;=0,"Current",IF(L194&lt;=30,"30 days",IF(L194&lt;=60,"60 days",IF(L194&lt;=90,"90 days","90+ days"))))</f>
        <v>Current</v>
      </c>
      <c r="N194" s="4">
        <v>0</v>
      </c>
      <c r="O194" s="2" t="s">
        <v>78</v>
      </c>
      <c r="P194" s="2" t="s">
        <v>78</v>
      </c>
    </row>
    <row r="195" spans="1:16" x14ac:dyDescent="0.2">
      <c r="A195" s="2" t="s">
        <v>1225</v>
      </c>
      <c r="B195" s="2" t="s">
        <v>1226</v>
      </c>
      <c r="C195" s="4">
        <v>896.23</v>
      </c>
      <c r="D195" s="4">
        <f t="shared" si="6"/>
        <v>10754.76</v>
      </c>
      <c r="E195" s="2" t="s">
        <v>78</v>
      </c>
      <c r="F195" s="4">
        <v>0</v>
      </c>
      <c r="G195" s="4">
        <v>25</v>
      </c>
      <c r="H195" s="3">
        <v>46065</v>
      </c>
      <c r="I195" s="4">
        <v>828.29</v>
      </c>
      <c r="J195" s="2" t="s">
        <v>4823</v>
      </c>
      <c r="K195" s="3">
        <v>46054</v>
      </c>
      <c r="L195" s="2">
        <f>IF(G195&lt;=0,0,MAX(0,Assumptions!$B$3-K195))</f>
        <v>0</v>
      </c>
      <c r="M195" s="2" t="str">
        <f t="shared" si="7"/>
        <v>30 days</v>
      </c>
      <c r="N195" s="4">
        <v>0</v>
      </c>
      <c r="O195" s="2" t="s">
        <v>78</v>
      </c>
      <c r="P195" s="2" t="s">
        <v>78</v>
      </c>
    </row>
    <row r="196" spans="1:16" x14ac:dyDescent="0.2">
      <c r="A196" s="2" t="s">
        <v>1230</v>
      </c>
      <c r="B196" s="2" t="s">
        <v>305</v>
      </c>
      <c r="C196" s="4">
        <v>896.23</v>
      </c>
      <c r="D196" s="4">
        <f t="shared" si="6"/>
        <v>10754.76</v>
      </c>
      <c r="E196" s="2" t="s">
        <v>36</v>
      </c>
      <c r="F196" s="4">
        <v>3182.1</v>
      </c>
      <c r="G196" s="4">
        <v>25</v>
      </c>
      <c r="H196" s="3">
        <v>46061</v>
      </c>
      <c r="I196" s="4">
        <v>814.78</v>
      </c>
      <c r="J196" s="2" t="s">
        <v>4826</v>
      </c>
      <c r="K196" s="3">
        <v>46054</v>
      </c>
      <c r="L196" s="2">
        <f>IF(G196&lt;=0,0,MAX(0,Assumptions!$B$3-K196))</f>
        <v>0</v>
      </c>
      <c r="M196" s="2" t="str">
        <f t="shared" si="7"/>
        <v>30 days</v>
      </c>
      <c r="N196" s="4">
        <v>0</v>
      </c>
      <c r="O196" s="2" t="s">
        <v>78</v>
      </c>
      <c r="P196" s="2" t="s">
        <v>36</v>
      </c>
    </row>
    <row r="197" spans="1:16" x14ac:dyDescent="0.2">
      <c r="A197" s="2" t="s">
        <v>1236</v>
      </c>
      <c r="B197" s="2" t="s">
        <v>1237</v>
      </c>
      <c r="C197" s="4">
        <v>896.23</v>
      </c>
      <c r="D197" s="4">
        <f t="shared" si="6"/>
        <v>10754.76</v>
      </c>
      <c r="E197" s="2" t="s">
        <v>78</v>
      </c>
      <c r="F197" s="4">
        <v>0</v>
      </c>
      <c r="G197" s="4">
        <v>0</v>
      </c>
      <c r="H197" s="3">
        <v>46068</v>
      </c>
      <c r="I197" s="4">
        <v>892.6</v>
      </c>
      <c r="J197" s="2" t="s">
        <v>4824</v>
      </c>
      <c r="K197" s="3">
        <v>46054</v>
      </c>
      <c r="L197" s="2">
        <f>IF(G197&lt;=0,0,MAX(0,Assumptions!$B$3-K197))</f>
        <v>0</v>
      </c>
      <c r="M197" s="2" t="str">
        <f t="shared" si="7"/>
        <v>Current</v>
      </c>
      <c r="N197" s="4">
        <v>0</v>
      </c>
      <c r="O197" s="2" t="s">
        <v>78</v>
      </c>
      <c r="P197" s="2" t="s">
        <v>36</v>
      </c>
    </row>
    <row r="198" spans="1:16" x14ac:dyDescent="0.2">
      <c r="A198" s="2" t="s">
        <v>1242</v>
      </c>
      <c r="B198" s="2" t="s">
        <v>1243</v>
      </c>
      <c r="C198" s="4">
        <v>896.23</v>
      </c>
      <c r="D198" s="4">
        <f t="shared" si="6"/>
        <v>10754.76</v>
      </c>
      <c r="E198" s="2" t="s">
        <v>78</v>
      </c>
      <c r="F198" s="4">
        <v>0</v>
      </c>
      <c r="G198" s="4">
        <v>0</v>
      </c>
      <c r="H198" s="3">
        <v>46071</v>
      </c>
      <c r="I198" s="4">
        <v>1057.43</v>
      </c>
      <c r="J198" s="2" t="s">
        <v>4824</v>
      </c>
      <c r="K198" s="3">
        <v>46054</v>
      </c>
      <c r="L198" s="2">
        <f>IF(G198&lt;=0,0,MAX(0,Assumptions!$B$3-K198))</f>
        <v>0</v>
      </c>
      <c r="M198" s="2" t="str">
        <f t="shared" si="7"/>
        <v>Current</v>
      </c>
      <c r="N198" s="4">
        <v>0</v>
      </c>
      <c r="O198" s="2" t="s">
        <v>78</v>
      </c>
      <c r="P198" s="2" t="s">
        <v>78</v>
      </c>
    </row>
    <row r="199" spans="1:16" x14ac:dyDescent="0.2">
      <c r="A199" s="2" t="s">
        <v>1250</v>
      </c>
      <c r="B199" s="2" t="s">
        <v>1251</v>
      </c>
      <c r="C199" s="4">
        <v>896.23</v>
      </c>
      <c r="D199" s="4">
        <f t="shared" si="6"/>
        <v>10754.76</v>
      </c>
      <c r="E199" s="2" t="s">
        <v>78</v>
      </c>
      <c r="F199" s="4">
        <v>0</v>
      </c>
      <c r="G199" s="4">
        <v>0</v>
      </c>
      <c r="H199" s="3">
        <v>46051</v>
      </c>
      <c r="I199" s="4">
        <v>948.57</v>
      </c>
      <c r="J199" s="2" t="s">
        <v>4827</v>
      </c>
      <c r="K199" s="3">
        <v>46054</v>
      </c>
      <c r="L199" s="2">
        <f>IF(G199&lt;=0,0,MAX(0,Assumptions!$B$3-K199))</f>
        <v>0</v>
      </c>
      <c r="M199" s="2" t="str">
        <f t="shared" si="7"/>
        <v>Current</v>
      </c>
      <c r="N199" s="4">
        <v>0</v>
      </c>
      <c r="O199" s="2" t="s">
        <v>78</v>
      </c>
      <c r="P199" s="2" t="s">
        <v>78</v>
      </c>
    </row>
    <row r="200" spans="1:16" x14ac:dyDescent="0.2">
      <c r="A200" s="2" t="s">
        <v>1256</v>
      </c>
      <c r="B200" s="2" t="s">
        <v>1257</v>
      </c>
      <c r="C200" s="4">
        <v>896.23</v>
      </c>
      <c r="D200" s="4">
        <f t="shared" si="6"/>
        <v>10754.76</v>
      </c>
      <c r="E200" s="2" t="s">
        <v>78</v>
      </c>
      <c r="F200" s="4">
        <v>0</v>
      </c>
      <c r="G200" s="4">
        <v>0</v>
      </c>
      <c r="H200" s="3">
        <v>46068</v>
      </c>
      <c r="I200" s="4">
        <v>900.99</v>
      </c>
      <c r="J200" s="2" t="s">
        <v>4826</v>
      </c>
      <c r="K200" s="3">
        <v>46054</v>
      </c>
      <c r="L200" s="2">
        <f>IF(G200&lt;=0,0,MAX(0,Assumptions!$B$3-K200))</f>
        <v>0</v>
      </c>
      <c r="M200" s="2" t="str">
        <f t="shared" si="7"/>
        <v>Current</v>
      </c>
      <c r="N200" s="4">
        <v>0</v>
      </c>
      <c r="O200" s="2" t="s">
        <v>78</v>
      </c>
      <c r="P200" s="2" t="s">
        <v>78</v>
      </c>
    </row>
    <row r="201" spans="1:16" x14ac:dyDescent="0.2">
      <c r="A201" s="2" t="s">
        <v>1262</v>
      </c>
      <c r="B201" s="2" t="s">
        <v>907</v>
      </c>
      <c r="C201" s="4">
        <v>1057.3499999999999</v>
      </c>
      <c r="D201" s="4">
        <f t="shared" si="6"/>
        <v>12688.199999999999</v>
      </c>
      <c r="E201" s="2" t="s">
        <v>36</v>
      </c>
      <c r="F201" s="4">
        <v>1480.03</v>
      </c>
      <c r="G201" s="4">
        <v>0</v>
      </c>
      <c r="H201" s="3">
        <v>46043</v>
      </c>
      <c r="I201" s="4">
        <v>905.01</v>
      </c>
      <c r="J201" s="2" t="s">
        <v>4824</v>
      </c>
      <c r="K201" s="3">
        <v>46054</v>
      </c>
      <c r="L201" s="2">
        <f>IF(G201&lt;=0,0,MAX(0,Assumptions!$B$3-K201))</f>
        <v>0</v>
      </c>
      <c r="M201" s="2" t="str">
        <f t="shared" si="7"/>
        <v>Current</v>
      </c>
      <c r="N201" s="4">
        <v>0</v>
      </c>
      <c r="O201" s="2" t="s">
        <v>78</v>
      </c>
      <c r="P201" s="2" t="s">
        <v>78</v>
      </c>
    </row>
    <row r="202" spans="1:16" x14ac:dyDescent="0.2">
      <c r="A202" s="2" t="s">
        <v>1267</v>
      </c>
      <c r="B202" s="2" t="s">
        <v>318</v>
      </c>
      <c r="C202" s="4">
        <v>1057.3499999999999</v>
      </c>
      <c r="D202" s="4">
        <f t="shared" si="6"/>
        <v>12688.199999999999</v>
      </c>
      <c r="E202" s="2" t="s">
        <v>78</v>
      </c>
      <c r="F202" s="4">
        <v>0</v>
      </c>
      <c r="G202" s="4">
        <v>0</v>
      </c>
      <c r="H202" s="3">
        <v>46053</v>
      </c>
      <c r="I202" s="4">
        <v>1142.48</v>
      </c>
      <c r="J202" s="2" t="s">
        <v>4827</v>
      </c>
      <c r="K202" s="3">
        <v>46054</v>
      </c>
      <c r="L202" s="2">
        <f>IF(G202&lt;=0,0,MAX(0,Assumptions!$B$3-K202))</f>
        <v>0</v>
      </c>
      <c r="M202" s="2" t="str">
        <f t="shared" si="7"/>
        <v>Current</v>
      </c>
      <c r="N202" s="4">
        <v>0</v>
      </c>
      <c r="O202" s="2" t="s">
        <v>78</v>
      </c>
      <c r="P202" s="2" t="s">
        <v>78</v>
      </c>
    </row>
    <row r="203" spans="1:16" x14ac:dyDescent="0.2">
      <c r="A203" s="2" t="s">
        <v>1272</v>
      </c>
      <c r="B203" s="2" t="s">
        <v>1273</v>
      </c>
      <c r="C203" s="4">
        <v>1057.3499999999999</v>
      </c>
      <c r="D203" s="4">
        <f t="shared" si="6"/>
        <v>12688.199999999999</v>
      </c>
      <c r="E203" s="2" t="s">
        <v>78</v>
      </c>
      <c r="F203" s="4">
        <v>0</v>
      </c>
      <c r="G203" s="4">
        <v>-50</v>
      </c>
      <c r="H203" s="3">
        <v>46052</v>
      </c>
      <c r="I203" s="4">
        <v>1119.8900000000001</v>
      </c>
      <c r="J203" s="2" t="s">
        <v>4825</v>
      </c>
      <c r="K203" s="3">
        <v>46054</v>
      </c>
      <c r="L203" s="2">
        <f>IF(G203&lt;=0,0,MAX(0,Assumptions!$B$3-K203))</f>
        <v>0</v>
      </c>
      <c r="M203" s="2" t="str">
        <f t="shared" si="7"/>
        <v>Current</v>
      </c>
      <c r="N203" s="4">
        <v>0</v>
      </c>
      <c r="O203" s="2" t="s">
        <v>78</v>
      </c>
      <c r="P203" s="2" t="s">
        <v>36</v>
      </c>
    </row>
    <row r="204" spans="1:16" x14ac:dyDescent="0.2">
      <c r="A204" s="2" t="s">
        <v>1278</v>
      </c>
      <c r="B204" s="2" t="s">
        <v>875</v>
      </c>
      <c r="C204" s="4">
        <v>1057.3499999999999</v>
      </c>
      <c r="D204" s="4">
        <f t="shared" si="6"/>
        <v>12688.199999999999</v>
      </c>
      <c r="E204" s="2" t="s">
        <v>78</v>
      </c>
      <c r="F204" s="4">
        <v>0</v>
      </c>
      <c r="G204" s="4">
        <v>15</v>
      </c>
      <c r="H204" s="3">
        <v>46062</v>
      </c>
      <c r="I204" s="4">
        <v>1163.95</v>
      </c>
      <c r="J204" s="2" t="s">
        <v>4823</v>
      </c>
      <c r="K204" s="3">
        <v>46054</v>
      </c>
      <c r="L204" s="2">
        <f>IF(G204&lt;=0,0,MAX(0,Assumptions!$B$3-K204))</f>
        <v>0</v>
      </c>
      <c r="M204" s="2" t="str">
        <f t="shared" si="7"/>
        <v>30 days</v>
      </c>
      <c r="N204" s="4">
        <v>0</v>
      </c>
      <c r="O204" s="2" t="s">
        <v>78</v>
      </c>
      <c r="P204" s="2" t="s">
        <v>36</v>
      </c>
    </row>
    <row r="205" spans="1:16" x14ac:dyDescent="0.2">
      <c r="A205" s="2" t="s">
        <v>1283</v>
      </c>
      <c r="B205" s="2" t="s">
        <v>1284</v>
      </c>
      <c r="C205" s="4">
        <v>1460.15</v>
      </c>
      <c r="D205" s="4">
        <f t="shared" si="6"/>
        <v>17521.800000000003</v>
      </c>
      <c r="E205" s="2" t="s">
        <v>78</v>
      </c>
      <c r="F205" s="4">
        <v>0</v>
      </c>
      <c r="G205" s="4">
        <v>0</v>
      </c>
      <c r="H205" s="3">
        <v>46048</v>
      </c>
      <c r="I205" s="4">
        <v>1444.71</v>
      </c>
      <c r="J205" s="2" t="s">
        <v>4826</v>
      </c>
      <c r="K205" s="3">
        <v>46054</v>
      </c>
      <c r="L205" s="2">
        <f>IF(G205&lt;=0,0,MAX(0,Assumptions!$B$3-K205))</f>
        <v>0</v>
      </c>
      <c r="M205" s="2" t="str">
        <f t="shared" si="7"/>
        <v>Current</v>
      </c>
      <c r="N205" s="4">
        <v>0</v>
      </c>
      <c r="O205" s="2" t="s">
        <v>78</v>
      </c>
      <c r="P205" s="2" t="s">
        <v>36</v>
      </c>
    </row>
    <row r="206" spans="1:16" x14ac:dyDescent="0.2">
      <c r="A206" s="2" t="s">
        <v>1290</v>
      </c>
      <c r="B206" s="2" t="s">
        <v>321</v>
      </c>
      <c r="C206" s="4">
        <v>732.61</v>
      </c>
      <c r="D206" s="4">
        <f t="shared" si="6"/>
        <v>8791.32</v>
      </c>
      <c r="E206" s="2" t="s">
        <v>78</v>
      </c>
      <c r="F206" s="4">
        <v>0</v>
      </c>
      <c r="G206" s="4">
        <v>0</v>
      </c>
      <c r="H206" s="3">
        <v>46054</v>
      </c>
      <c r="I206" s="4">
        <v>597.85</v>
      </c>
      <c r="J206" s="2" t="s">
        <v>4826</v>
      </c>
      <c r="K206" s="3">
        <v>46054</v>
      </c>
      <c r="L206" s="2">
        <f>IF(G206&lt;=0,0,MAX(0,Assumptions!$B$3-K206))</f>
        <v>0</v>
      </c>
      <c r="M206" s="2" t="str">
        <f t="shared" si="7"/>
        <v>Current</v>
      </c>
      <c r="N206" s="4">
        <v>0</v>
      </c>
      <c r="O206" s="2" t="s">
        <v>78</v>
      </c>
      <c r="P206" s="2" t="s">
        <v>36</v>
      </c>
    </row>
    <row r="207" spans="1:16" x14ac:dyDescent="0.2">
      <c r="A207" s="2" t="s">
        <v>1295</v>
      </c>
      <c r="B207" s="2" t="s">
        <v>1296</v>
      </c>
      <c r="C207" s="4">
        <v>732.61</v>
      </c>
      <c r="D207" s="4">
        <f t="shared" si="6"/>
        <v>8791.32</v>
      </c>
      <c r="E207" s="2" t="s">
        <v>78</v>
      </c>
      <c r="F207" s="4">
        <v>0</v>
      </c>
      <c r="G207" s="4">
        <v>0</v>
      </c>
      <c r="H207" s="3">
        <v>46046</v>
      </c>
      <c r="I207" s="4">
        <v>812.93</v>
      </c>
      <c r="J207" s="2" t="s">
        <v>4824</v>
      </c>
      <c r="K207" s="3">
        <v>46054</v>
      </c>
      <c r="L207" s="2">
        <f>IF(G207&lt;=0,0,MAX(0,Assumptions!$B$3-K207))</f>
        <v>0</v>
      </c>
      <c r="M207" s="2" t="str">
        <f t="shared" si="7"/>
        <v>Current</v>
      </c>
      <c r="N207" s="4">
        <v>0</v>
      </c>
      <c r="O207" s="2" t="s">
        <v>78</v>
      </c>
      <c r="P207" s="2" t="s">
        <v>78</v>
      </c>
    </row>
    <row r="208" spans="1:16" x14ac:dyDescent="0.2">
      <c r="A208" s="2" t="s">
        <v>1300</v>
      </c>
      <c r="B208" s="2" t="s">
        <v>1301</v>
      </c>
      <c r="C208" s="4">
        <v>732.61</v>
      </c>
      <c r="D208" s="4">
        <f t="shared" si="6"/>
        <v>8791.32</v>
      </c>
      <c r="E208" s="2" t="s">
        <v>78</v>
      </c>
      <c r="F208" s="4">
        <v>0</v>
      </c>
      <c r="G208" s="4">
        <v>0</v>
      </c>
      <c r="H208" s="3">
        <v>46035</v>
      </c>
      <c r="I208" s="4">
        <v>868.94</v>
      </c>
      <c r="J208" s="2" t="s">
        <v>4824</v>
      </c>
      <c r="K208" s="3">
        <v>46054</v>
      </c>
      <c r="L208" s="2">
        <f>IF(G208&lt;=0,0,MAX(0,Assumptions!$B$3-K208))</f>
        <v>0</v>
      </c>
      <c r="M208" s="2" t="str">
        <f t="shared" si="7"/>
        <v>Current</v>
      </c>
      <c r="N208" s="4">
        <v>0</v>
      </c>
      <c r="O208" s="2" t="s">
        <v>78</v>
      </c>
      <c r="P208" s="2" t="s">
        <v>36</v>
      </c>
    </row>
    <row r="209" spans="1:16" x14ac:dyDescent="0.2">
      <c r="A209" s="2" t="s">
        <v>1306</v>
      </c>
      <c r="B209" s="2" t="s">
        <v>1307</v>
      </c>
      <c r="C209" s="4">
        <v>732.61</v>
      </c>
      <c r="D209" s="4">
        <f t="shared" si="6"/>
        <v>8791.32</v>
      </c>
      <c r="E209" s="2" t="s">
        <v>78</v>
      </c>
      <c r="F209" s="4">
        <v>0</v>
      </c>
      <c r="G209" s="4">
        <v>0</v>
      </c>
      <c r="H209" s="3">
        <v>46031</v>
      </c>
      <c r="I209" s="4">
        <v>683.71</v>
      </c>
      <c r="J209" s="2" t="s">
        <v>4825</v>
      </c>
      <c r="K209" s="3">
        <v>46054</v>
      </c>
      <c r="L209" s="2">
        <f>IF(G209&lt;=0,0,MAX(0,Assumptions!$B$3-K209))</f>
        <v>0</v>
      </c>
      <c r="M209" s="2" t="str">
        <f t="shared" si="7"/>
        <v>Current</v>
      </c>
      <c r="N209" s="4">
        <v>0</v>
      </c>
      <c r="O209" s="2" t="s">
        <v>78</v>
      </c>
      <c r="P209" s="2" t="s">
        <v>78</v>
      </c>
    </row>
    <row r="210" spans="1:16" x14ac:dyDescent="0.2">
      <c r="A210" s="2" t="s">
        <v>1312</v>
      </c>
      <c r="B210" s="2" t="s">
        <v>203</v>
      </c>
      <c r="C210" s="4">
        <v>732.61</v>
      </c>
      <c r="D210" s="4">
        <f t="shared" si="6"/>
        <v>8791.32</v>
      </c>
      <c r="E210" s="2" t="s">
        <v>78</v>
      </c>
      <c r="F210" s="4">
        <v>0</v>
      </c>
      <c r="G210" s="4">
        <v>-50</v>
      </c>
      <c r="H210" s="3">
        <v>46044</v>
      </c>
      <c r="I210" s="4">
        <v>702.13</v>
      </c>
      <c r="J210" s="2" t="s">
        <v>4823</v>
      </c>
      <c r="K210" s="3">
        <v>46054</v>
      </c>
      <c r="L210" s="2">
        <f>IF(G210&lt;=0,0,MAX(0,Assumptions!$B$3-K210))</f>
        <v>0</v>
      </c>
      <c r="M210" s="2" t="str">
        <f t="shared" si="7"/>
        <v>Current</v>
      </c>
      <c r="N210" s="4">
        <v>0</v>
      </c>
      <c r="O210" s="2" t="s">
        <v>78</v>
      </c>
      <c r="P210" s="2" t="s">
        <v>36</v>
      </c>
    </row>
    <row r="211" spans="1:16" x14ac:dyDescent="0.2">
      <c r="A211" s="2" t="s">
        <v>1319</v>
      </c>
      <c r="B211" s="2" t="s">
        <v>1320</v>
      </c>
      <c r="C211" s="4">
        <v>732.61</v>
      </c>
      <c r="D211" s="4">
        <f t="shared" si="6"/>
        <v>8791.32</v>
      </c>
      <c r="E211" s="2" t="s">
        <v>78</v>
      </c>
      <c r="F211" s="4">
        <v>0</v>
      </c>
      <c r="G211" s="4">
        <v>799.14</v>
      </c>
      <c r="H211" s="3">
        <v>45931</v>
      </c>
      <c r="I211" s="4">
        <v>228.62</v>
      </c>
      <c r="J211" s="2" t="s">
        <v>4826</v>
      </c>
      <c r="K211" s="3">
        <v>46024</v>
      </c>
      <c r="L211" s="2">
        <f>IF(G211&lt;=0,0,MAX(0,Assumptions!$B$3-K211))</f>
        <v>0</v>
      </c>
      <c r="M211" s="2" t="str">
        <f t="shared" si="7"/>
        <v>30 days</v>
      </c>
      <c r="N211" s="4">
        <v>0</v>
      </c>
      <c r="O211" s="2" t="s">
        <v>78</v>
      </c>
      <c r="P211" s="2" t="s">
        <v>78</v>
      </c>
    </row>
    <row r="212" spans="1:16" x14ac:dyDescent="0.2">
      <c r="A212" s="2" t="s">
        <v>1325</v>
      </c>
      <c r="B212" s="2" t="s">
        <v>1326</v>
      </c>
      <c r="C212" s="4">
        <v>899.34</v>
      </c>
      <c r="D212" s="4">
        <f t="shared" si="6"/>
        <v>10792.08</v>
      </c>
      <c r="E212" s="2" t="s">
        <v>78</v>
      </c>
      <c r="F212" s="4">
        <v>0</v>
      </c>
      <c r="G212" s="4">
        <v>0</v>
      </c>
      <c r="H212" s="3">
        <v>46043</v>
      </c>
      <c r="I212" s="4">
        <v>776.79</v>
      </c>
      <c r="J212" s="2" t="s">
        <v>4825</v>
      </c>
      <c r="K212" s="3">
        <v>46054</v>
      </c>
      <c r="L212" s="2">
        <f>IF(G212&lt;=0,0,MAX(0,Assumptions!$B$3-K212))</f>
        <v>0</v>
      </c>
      <c r="M212" s="2" t="str">
        <f t="shared" si="7"/>
        <v>Current</v>
      </c>
      <c r="N212" s="4">
        <v>0</v>
      </c>
      <c r="O212" s="2" t="s">
        <v>78</v>
      </c>
      <c r="P212" s="2" t="s">
        <v>78</v>
      </c>
    </row>
    <row r="213" spans="1:16" x14ac:dyDescent="0.2">
      <c r="A213" s="2" t="s">
        <v>1331</v>
      </c>
      <c r="B213" s="2" t="s">
        <v>1332</v>
      </c>
      <c r="C213" s="4">
        <v>899.34</v>
      </c>
      <c r="D213" s="4">
        <f t="shared" si="6"/>
        <v>10792.08</v>
      </c>
      <c r="E213" s="2" t="s">
        <v>78</v>
      </c>
      <c r="F213" s="4">
        <v>0</v>
      </c>
      <c r="G213" s="4">
        <v>0</v>
      </c>
      <c r="H213" s="3">
        <v>46031</v>
      </c>
      <c r="I213" s="4">
        <v>854.84</v>
      </c>
      <c r="J213" s="2" t="s">
        <v>4823</v>
      </c>
      <c r="K213" s="3">
        <v>46054</v>
      </c>
      <c r="L213" s="2">
        <f>IF(G213&lt;=0,0,MAX(0,Assumptions!$B$3-K213))</f>
        <v>0</v>
      </c>
      <c r="M213" s="2" t="str">
        <f t="shared" si="7"/>
        <v>Current</v>
      </c>
      <c r="N213" s="4">
        <v>0</v>
      </c>
      <c r="O213" s="2" t="s">
        <v>78</v>
      </c>
      <c r="P213" s="2" t="s">
        <v>78</v>
      </c>
    </row>
    <row r="214" spans="1:16" x14ac:dyDescent="0.2">
      <c r="A214" s="2" t="s">
        <v>1338</v>
      </c>
      <c r="B214" s="2" t="s">
        <v>1339</v>
      </c>
      <c r="C214" s="4">
        <v>899.34</v>
      </c>
      <c r="D214" s="4">
        <f t="shared" si="6"/>
        <v>10792.08</v>
      </c>
      <c r="E214" s="2" t="s">
        <v>36</v>
      </c>
      <c r="F214" s="4">
        <v>1592.27</v>
      </c>
      <c r="G214" s="4">
        <v>0</v>
      </c>
      <c r="H214" s="3">
        <v>46048</v>
      </c>
      <c r="I214" s="4">
        <v>997.64</v>
      </c>
      <c r="J214" s="2" t="s">
        <v>4827</v>
      </c>
      <c r="K214" s="3">
        <v>46054</v>
      </c>
      <c r="L214" s="2">
        <f>IF(G214&lt;=0,0,MAX(0,Assumptions!$B$3-K214))</f>
        <v>0</v>
      </c>
      <c r="M214" s="2" t="str">
        <f t="shared" si="7"/>
        <v>Current</v>
      </c>
      <c r="N214" s="4">
        <v>0</v>
      </c>
      <c r="O214" s="2" t="s">
        <v>78</v>
      </c>
      <c r="P214" s="2" t="s">
        <v>78</v>
      </c>
    </row>
    <row r="215" spans="1:16" x14ac:dyDescent="0.2">
      <c r="A215" s="2" t="s">
        <v>1344</v>
      </c>
      <c r="B215" s="2" t="s">
        <v>1345</v>
      </c>
      <c r="C215" s="4">
        <v>899.34</v>
      </c>
      <c r="D215" s="4">
        <f t="shared" si="6"/>
        <v>10792.08</v>
      </c>
      <c r="E215" s="2" t="s">
        <v>78</v>
      </c>
      <c r="F215" s="4">
        <v>0</v>
      </c>
      <c r="G215" s="4">
        <v>0</v>
      </c>
      <c r="H215" s="3">
        <v>46039</v>
      </c>
      <c r="I215" s="4">
        <v>745.25</v>
      </c>
      <c r="J215" s="2" t="s">
        <v>4823</v>
      </c>
      <c r="K215" s="3">
        <v>46054</v>
      </c>
      <c r="L215" s="2">
        <f>IF(G215&lt;=0,0,MAX(0,Assumptions!$B$3-K215))</f>
        <v>0</v>
      </c>
      <c r="M215" s="2" t="str">
        <f t="shared" si="7"/>
        <v>Current</v>
      </c>
      <c r="N215" s="4">
        <v>0</v>
      </c>
      <c r="O215" s="2" t="s">
        <v>78</v>
      </c>
      <c r="P215" s="2" t="s">
        <v>78</v>
      </c>
    </row>
    <row r="216" spans="1:16" x14ac:dyDescent="0.2">
      <c r="A216" s="2" t="s">
        <v>1351</v>
      </c>
      <c r="B216" s="2" t="s">
        <v>1352</v>
      </c>
      <c r="C216" s="4">
        <v>899.34</v>
      </c>
      <c r="D216" s="4">
        <f t="shared" si="6"/>
        <v>10792.08</v>
      </c>
      <c r="E216" s="2" t="s">
        <v>36</v>
      </c>
      <c r="F216" s="4">
        <v>8027.5</v>
      </c>
      <c r="G216" s="4">
        <v>0</v>
      </c>
      <c r="H216" s="3">
        <v>46058</v>
      </c>
      <c r="I216" s="4">
        <v>852.26</v>
      </c>
      <c r="J216" s="2" t="s">
        <v>4827</v>
      </c>
      <c r="K216" s="3">
        <v>46054</v>
      </c>
      <c r="L216" s="2">
        <f>IF(G216&lt;=0,0,MAX(0,Assumptions!$B$3-K216))</f>
        <v>0</v>
      </c>
      <c r="M216" s="2" t="str">
        <f t="shared" si="7"/>
        <v>Current</v>
      </c>
      <c r="N216" s="4">
        <v>0</v>
      </c>
      <c r="O216" s="2" t="s">
        <v>78</v>
      </c>
      <c r="P216" s="2" t="s">
        <v>78</v>
      </c>
    </row>
    <row r="217" spans="1:16" x14ac:dyDescent="0.2">
      <c r="A217" s="2" t="s">
        <v>1357</v>
      </c>
      <c r="B217" s="2" t="s">
        <v>1358</v>
      </c>
      <c r="C217" s="4">
        <v>899.34</v>
      </c>
      <c r="D217" s="4">
        <f t="shared" si="6"/>
        <v>10792.08</v>
      </c>
      <c r="E217" s="2" t="s">
        <v>78</v>
      </c>
      <c r="F217" s="4">
        <v>0</v>
      </c>
      <c r="G217" s="4">
        <v>0</v>
      </c>
      <c r="H217" s="3">
        <v>46069</v>
      </c>
      <c r="I217" s="4">
        <v>951.71</v>
      </c>
      <c r="J217" s="2" t="s">
        <v>4826</v>
      </c>
      <c r="K217" s="3">
        <v>46054</v>
      </c>
      <c r="L217" s="2">
        <f>IF(G217&lt;=0,0,MAX(0,Assumptions!$B$3-K217))</f>
        <v>0</v>
      </c>
      <c r="M217" s="2" t="str">
        <f t="shared" si="7"/>
        <v>Current</v>
      </c>
      <c r="N217" s="4">
        <v>0</v>
      </c>
      <c r="O217" s="2" t="s">
        <v>78</v>
      </c>
      <c r="P217" s="2" t="s">
        <v>36</v>
      </c>
    </row>
    <row r="218" spans="1:16" x14ac:dyDescent="0.2">
      <c r="A218" s="2" t="s">
        <v>1362</v>
      </c>
      <c r="B218" s="2" t="s">
        <v>988</v>
      </c>
      <c r="C218" s="4">
        <v>1061.02</v>
      </c>
      <c r="D218" s="4">
        <f t="shared" si="6"/>
        <v>12732.24</v>
      </c>
      <c r="E218" s="2" t="s">
        <v>78</v>
      </c>
      <c r="F218" s="4">
        <v>0</v>
      </c>
      <c r="G218" s="4">
        <v>0</v>
      </c>
      <c r="H218" s="3">
        <v>46052</v>
      </c>
      <c r="I218" s="4">
        <v>1011.82</v>
      </c>
      <c r="J218" s="2" t="s">
        <v>4826</v>
      </c>
      <c r="K218" s="3">
        <v>46054</v>
      </c>
      <c r="L218" s="2">
        <f>IF(G218&lt;=0,0,MAX(0,Assumptions!$B$3-K218))</f>
        <v>0</v>
      </c>
      <c r="M218" s="2" t="str">
        <f t="shared" si="7"/>
        <v>Current</v>
      </c>
      <c r="N218" s="4">
        <v>0</v>
      </c>
      <c r="O218" s="2" t="s">
        <v>78</v>
      </c>
      <c r="P218" s="2" t="s">
        <v>36</v>
      </c>
    </row>
    <row r="219" spans="1:16" x14ac:dyDescent="0.2">
      <c r="A219" s="2" t="s">
        <v>1368</v>
      </c>
      <c r="B219" s="2" t="s">
        <v>1369</v>
      </c>
      <c r="C219" s="4">
        <v>1061.02</v>
      </c>
      <c r="D219" s="4">
        <f t="shared" si="6"/>
        <v>12732.24</v>
      </c>
      <c r="E219" s="2" t="s">
        <v>78</v>
      </c>
      <c r="F219" s="4">
        <v>0</v>
      </c>
      <c r="G219" s="4">
        <v>0</v>
      </c>
      <c r="H219" s="3">
        <v>46071</v>
      </c>
      <c r="I219" s="4">
        <v>959.59</v>
      </c>
      <c r="J219" s="2" t="s">
        <v>4823</v>
      </c>
      <c r="K219" s="3">
        <v>46054</v>
      </c>
      <c r="L219" s="2">
        <f>IF(G219&lt;=0,0,MAX(0,Assumptions!$B$3-K219))</f>
        <v>0</v>
      </c>
      <c r="M219" s="2" t="str">
        <f t="shared" si="7"/>
        <v>Current</v>
      </c>
      <c r="N219" s="4">
        <v>0</v>
      </c>
      <c r="O219" s="2" t="s">
        <v>78</v>
      </c>
      <c r="P219" s="2" t="s">
        <v>36</v>
      </c>
    </row>
    <row r="220" spans="1:16" x14ac:dyDescent="0.2">
      <c r="A220" s="2" t="s">
        <v>1374</v>
      </c>
      <c r="B220" s="2" t="s">
        <v>1375</v>
      </c>
      <c r="C220" s="4">
        <v>1061.02</v>
      </c>
      <c r="D220" s="4">
        <f t="shared" si="6"/>
        <v>12732.24</v>
      </c>
      <c r="E220" s="2" t="s">
        <v>78</v>
      </c>
      <c r="F220" s="4">
        <v>0</v>
      </c>
      <c r="G220" s="4">
        <v>0</v>
      </c>
      <c r="H220" s="3">
        <v>46044</v>
      </c>
      <c r="I220" s="4">
        <v>1190.99</v>
      </c>
      <c r="J220" s="2" t="s">
        <v>4827</v>
      </c>
      <c r="K220" s="3">
        <v>46054</v>
      </c>
      <c r="L220" s="2">
        <f>IF(G220&lt;=0,0,MAX(0,Assumptions!$B$3-K220))</f>
        <v>0</v>
      </c>
      <c r="M220" s="2" t="str">
        <f t="shared" si="7"/>
        <v>Current</v>
      </c>
      <c r="N220" s="4">
        <v>0</v>
      </c>
      <c r="O220" s="2" t="s">
        <v>78</v>
      </c>
      <c r="P220" s="2" t="s">
        <v>36</v>
      </c>
    </row>
    <row r="221" spans="1:16" x14ac:dyDescent="0.2">
      <c r="A221" s="2" t="s">
        <v>1379</v>
      </c>
      <c r="B221" s="2" t="s">
        <v>1380</v>
      </c>
      <c r="C221" s="4">
        <v>1061.02</v>
      </c>
      <c r="D221" s="4">
        <f t="shared" si="6"/>
        <v>12732.24</v>
      </c>
      <c r="E221" s="2" t="s">
        <v>78</v>
      </c>
      <c r="F221" s="4">
        <v>0</v>
      </c>
      <c r="G221" s="4">
        <v>0</v>
      </c>
      <c r="H221" s="3">
        <v>46063</v>
      </c>
      <c r="I221" s="4">
        <v>984.21</v>
      </c>
      <c r="J221" s="2" t="s">
        <v>4824</v>
      </c>
      <c r="K221" s="3">
        <v>46054</v>
      </c>
      <c r="L221" s="2">
        <f>IF(G221&lt;=0,0,MAX(0,Assumptions!$B$3-K221))</f>
        <v>0</v>
      </c>
      <c r="M221" s="2" t="str">
        <f t="shared" si="7"/>
        <v>Current</v>
      </c>
      <c r="N221" s="4">
        <v>0</v>
      </c>
      <c r="O221" s="2" t="s">
        <v>78</v>
      </c>
      <c r="P221" s="2" t="s">
        <v>36</v>
      </c>
    </row>
    <row r="222" spans="1:16" x14ac:dyDescent="0.2">
      <c r="A222" s="2" t="s">
        <v>1386</v>
      </c>
      <c r="B222" s="2" t="s">
        <v>1387</v>
      </c>
      <c r="C222" s="4">
        <v>1465.22</v>
      </c>
      <c r="D222" s="4">
        <f t="shared" si="6"/>
        <v>17582.64</v>
      </c>
      <c r="E222" s="2" t="s">
        <v>36</v>
      </c>
      <c r="F222" s="4">
        <v>6057.45</v>
      </c>
      <c r="G222" s="4">
        <v>0</v>
      </c>
      <c r="H222" s="3">
        <v>46046</v>
      </c>
      <c r="I222" s="4">
        <v>1624.26</v>
      </c>
      <c r="J222" s="2" t="s">
        <v>4827</v>
      </c>
      <c r="K222" s="3">
        <v>46054</v>
      </c>
      <c r="L222" s="2">
        <f>IF(G222&lt;=0,0,MAX(0,Assumptions!$B$3-K222))</f>
        <v>0</v>
      </c>
      <c r="M222" s="2" t="str">
        <f t="shared" si="7"/>
        <v>Current</v>
      </c>
      <c r="N222" s="4">
        <v>0</v>
      </c>
      <c r="O222" s="2" t="s">
        <v>78</v>
      </c>
      <c r="P222" s="2" t="s">
        <v>78</v>
      </c>
    </row>
    <row r="223" spans="1:16" x14ac:dyDescent="0.2">
      <c r="A223" s="2" t="s">
        <v>1393</v>
      </c>
      <c r="B223" s="2" t="s">
        <v>1394</v>
      </c>
      <c r="C223" s="4">
        <v>735.15</v>
      </c>
      <c r="D223" s="4">
        <f t="shared" si="6"/>
        <v>8821.7999999999993</v>
      </c>
      <c r="E223" s="2" t="s">
        <v>36</v>
      </c>
      <c r="F223" s="4">
        <v>7360.56</v>
      </c>
      <c r="G223" s="4">
        <v>0</v>
      </c>
      <c r="H223" s="3">
        <v>46041</v>
      </c>
      <c r="I223" s="4">
        <v>697.75</v>
      </c>
      <c r="J223" s="2" t="s">
        <v>4823</v>
      </c>
      <c r="K223" s="3">
        <v>46054</v>
      </c>
      <c r="L223" s="2">
        <f>IF(G223&lt;=0,0,MAX(0,Assumptions!$B$3-K223))</f>
        <v>0</v>
      </c>
      <c r="M223" s="2" t="str">
        <f t="shared" si="7"/>
        <v>Current</v>
      </c>
      <c r="N223" s="4">
        <v>0</v>
      </c>
      <c r="O223" s="2" t="s">
        <v>78</v>
      </c>
      <c r="P223" s="2" t="s">
        <v>78</v>
      </c>
    </row>
    <row r="224" spans="1:16" x14ac:dyDescent="0.2">
      <c r="A224" s="2" t="s">
        <v>1398</v>
      </c>
      <c r="B224" s="2" t="s">
        <v>1399</v>
      </c>
      <c r="C224" s="4">
        <v>735.15</v>
      </c>
      <c r="D224" s="4">
        <f t="shared" si="6"/>
        <v>8821.7999999999993</v>
      </c>
      <c r="E224" s="2" t="s">
        <v>78</v>
      </c>
      <c r="F224" s="4">
        <v>0</v>
      </c>
      <c r="G224" s="4">
        <v>0</v>
      </c>
      <c r="H224" s="3">
        <v>46062</v>
      </c>
      <c r="I224" s="4">
        <v>876.51</v>
      </c>
      <c r="J224" s="2" t="s">
        <v>4824</v>
      </c>
      <c r="K224" s="3">
        <v>46054</v>
      </c>
      <c r="L224" s="2">
        <f>IF(G224&lt;=0,0,MAX(0,Assumptions!$B$3-K224))</f>
        <v>0</v>
      </c>
      <c r="M224" s="2" t="str">
        <f t="shared" si="7"/>
        <v>Current</v>
      </c>
      <c r="N224" s="4">
        <v>0</v>
      </c>
      <c r="O224" s="2" t="s">
        <v>78</v>
      </c>
      <c r="P224" s="2" t="s">
        <v>78</v>
      </c>
    </row>
    <row r="225" spans="1:16" x14ac:dyDescent="0.2">
      <c r="A225" s="2" t="s">
        <v>1405</v>
      </c>
      <c r="B225" s="2" t="s">
        <v>683</v>
      </c>
      <c r="C225" s="4">
        <v>735.15</v>
      </c>
      <c r="D225" s="4">
        <f t="shared" si="6"/>
        <v>8821.7999999999993</v>
      </c>
      <c r="E225" s="2" t="s">
        <v>36</v>
      </c>
      <c r="F225" s="4">
        <v>559.13</v>
      </c>
      <c r="G225" s="4">
        <v>0</v>
      </c>
      <c r="H225" s="3">
        <v>46061</v>
      </c>
      <c r="I225" s="4">
        <v>739.53</v>
      </c>
      <c r="J225" s="2" t="s">
        <v>4824</v>
      </c>
      <c r="K225" s="3">
        <v>46054</v>
      </c>
      <c r="L225" s="2">
        <f>IF(G225&lt;=0,0,MAX(0,Assumptions!$B$3-K225))</f>
        <v>0</v>
      </c>
      <c r="M225" s="2" t="str">
        <f t="shared" si="7"/>
        <v>Current</v>
      </c>
      <c r="N225" s="4">
        <v>0</v>
      </c>
      <c r="O225" s="2" t="s">
        <v>78</v>
      </c>
      <c r="P225" s="2" t="s">
        <v>78</v>
      </c>
    </row>
    <row r="226" spans="1:16" x14ac:dyDescent="0.2">
      <c r="A226" s="2" t="s">
        <v>1410</v>
      </c>
      <c r="B226" s="2" t="s">
        <v>1411</v>
      </c>
      <c r="C226" s="4">
        <v>735.15</v>
      </c>
      <c r="D226" s="4">
        <f t="shared" si="6"/>
        <v>8821.7999999999993</v>
      </c>
      <c r="E226" s="2" t="s">
        <v>36</v>
      </c>
      <c r="F226" s="4">
        <v>2894.57</v>
      </c>
      <c r="G226" s="4">
        <v>0</v>
      </c>
      <c r="H226" s="3">
        <v>46042</v>
      </c>
      <c r="I226" s="4">
        <v>723.46</v>
      </c>
      <c r="J226" s="2" t="s">
        <v>4825</v>
      </c>
      <c r="K226" s="3">
        <v>46054</v>
      </c>
      <c r="L226" s="2">
        <f>IF(G226&lt;=0,0,MAX(0,Assumptions!$B$3-K226))</f>
        <v>0</v>
      </c>
      <c r="M226" s="2" t="str">
        <f t="shared" si="7"/>
        <v>Current</v>
      </c>
      <c r="N226" s="4">
        <v>0</v>
      </c>
      <c r="O226" s="2" t="s">
        <v>78</v>
      </c>
      <c r="P226" s="2" t="s">
        <v>36</v>
      </c>
    </row>
    <row r="227" spans="1:16" x14ac:dyDescent="0.2">
      <c r="A227" s="2" t="s">
        <v>1415</v>
      </c>
      <c r="B227" s="2" t="s">
        <v>1304</v>
      </c>
      <c r="C227" s="4">
        <v>735.15</v>
      </c>
      <c r="D227" s="4">
        <f t="shared" si="6"/>
        <v>8821.7999999999993</v>
      </c>
      <c r="E227" s="2" t="s">
        <v>78</v>
      </c>
      <c r="F227" s="4">
        <v>0</v>
      </c>
      <c r="G227" s="4">
        <v>-50</v>
      </c>
      <c r="H227" s="3">
        <v>46030</v>
      </c>
      <c r="I227" s="4">
        <v>675.2</v>
      </c>
      <c r="J227" s="2" t="s">
        <v>4825</v>
      </c>
      <c r="K227" s="3">
        <v>46054</v>
      </c>
      <c r="L227" s="2">
        <f>IF(G227&lt;=0,0,MAX(0,Assumptions!$B$3-K227))</f>
        <v>0</v>
      </c>
      <c r="M227" s="2" t="str">
        <f t="shared" si="7"/>
        <v>Current</v>
      </c>
      <c r="N227" s="4">
        <v>0</v>
      </c>
      <c r="O227" s="2" t="s">
        <v>78</v>
      </c>
      <c r="P227" s="2" t="s">
        <v>78</v>
      </c>
    </row>
    <row r="228" spans="1:16" x14ac:dyDescent="0.2">
      <c r="A228" s="2" t="s">
        <v>1419</v>
      </c>
      <c r="B228" s="2" t="s">
        <v>1420</v>
      </c>
      <c r="C228" s="4">
        <v>735.15</v>
      </c>
      <c r="D228" s="4">
        <f t="shared" si="6"/>
        <v>8821.7999999999993</v>
      </c>
      <c r="E228" s="2" t="s">
        <v>78</v>
      </c>
      <c r="F228" s="4">
        <v>0</v>
      </c>
      <c r="G228" s="4">
        <v>0</v>
      </c>
      <c r="H228" s="3">
        <v>46045</v>
      </c>
      <c r="I228" s="4">
        <v>683.58</v>
      </c>
      <c r="J228" s="2" t="s">
        <v>4825</v>
      </c>
      <c r="K228" s="3">
        <v>46054</v>
      </c>
      <c r="L228" s="2">
        <f>IF(G228&lt;=0,0,MAX(0,Assumptions!$B$3-K228))</f>
        <v>0</v>
      </c>
      <c r="M228" s="2" t="str">
        <f t="shared" si="7"/>
        <v>Current</v>
      </c>
      <c r="N228" s="4">
        <v>0</v>
      </c>
      <c r="O228" s="2" t="s">
        <v>78</v>
      </c>
      <c r="P228" s="2" t="s">
        <v>36</v>
      </c>
    </row>
    <row r="229" spans="1:16" x14ac:dyDescent="0.2">
      <c r="A229" s="2" t="s">
        <v>1424</v>
      </c>
      <c r="B229" s="2" t="s">
        <v>1425</v>
      </c>
      <c r="C229" s="4">
        <v>902.46</v>
      </c>
      <c r="D229" s="4">
        <f t="shared" si="6"/>
        <v>10829.52</v>
      </c>
      <c r="E229" s="2" t="s">
        <v>36</v>
      </c>
      <c r="F229" s="4">
        <v>6778.78</v>
      </c>
      <c r="G229" s="4">
        <v>25</v>
      </c>
      <c r="H229" s="3">
        <v>46062</v>
      </c>
      <c r="I229" s="4">
        <v>752.31</v>
      </c>
      <c r="J229" s="2" t="s">
        <v>4825</v>
      </c>
      <c r="K229" s="3">
        <v>46054</v>
      </c>
      <c r="L229" s="2">
        <f>IF(G229&lt;=0,0,MAX(0,Assumptions!$B$3-K229))</f>
        <v>0</v>
      </c>
      <c r="M229" s="2" t="str">
        <f t="shared" si="7"/>
        <v>30 days</v>
      </c>
      <c r="N229" s="4">
        <v>0</v>
      </c>
      <c r="O229" s="2" t="s">
        <v>78</v>
      </c>
      <c r="P229" s="2" t="s">
        <v>36</v>
      </c>
    </row>
    <row r="230" spans="1:16" x14ac:dyDescent="0.2">
      <c r="A230" s="2" t="s">
        <v>1430</v>
      </c>
      <c r="B230" s="2" t="s">
        <v>1431</v>
      </c>
      <c r="C230" s="4">
        <v>902.46</v>
      </c>
      <c r="D230" s="4">
        <f t="shared" si="6"/>
        <v>10829.52</v>
      </c>
      <c r="E230" s="2" t="s">
        <v>78</v>
      </c>
      <c r="F230" s="4">
        <v>0</v>
      </c>
      <c r="G230" s="4">
        <v>0</v>
      </c>
      <c r="H230" s="3">
        <v>46051</v>
      </c>
      <c r="I230" s="4">
        <v>1072.79</v>
      </c>
      <c r="J230" s="2" t="s">
        <v>4824</v>
      </c>
      <c r="K230" s="3">
        <v>46054</v>
      </c>
      <c r="L230" s="2">
        <f>IF(G230&lt;=0,0,MAX(0,Assumptions!$B$3-K230))</f>
        <v>0</v>
      </c>
      <c r="M230" s="2" t="str">
        <f t="shared" si="7"/>
        <v>Current</v>
      </c>
      <c r="N230" s="4">
        <v>0</v>
      </c>
      <c r="O230" s="2" t="s">
        <v>78</v>
      </c>
      <c r="P230" s="2" t="s">
        <v>36</v>
      </c>
    </row>
    <row r="231" spans="1:16" x14ac:dyDescent="0.2">
      <c r="A231" s="2" t="s">
        <v>1435</v>
      </c>
      <c r="B231" s="2" t="s">
        <v>1436</v>
      </c>
      <c r="C231" s="4">
        <v>902.46</v>
      </c>
      <c r="D231" s="4">
        <f t="shared" si="6"/>
        <v>10829.52</v>
      </c>
      <c r="E231" s="2" t="s">
        <v>78</v>
      </c>
      <c r="F231" s="4">
        <v>0</v>
      </c>
      <c r="G231" s="4">
        <v>15</v>
      </c>
      <c r="H231" s="3">
        <v>46037</v>
      </c>
      <c r="I231" s="4">
        <v>887.45</v>
      </c>
      <c r="J231" s="2" t="s">
        <v>4825</v>
      </c>
      <c r="K231" s="3">
        <v>46054</v>
      </c>
      <c r="L231" s="2">
        <f>IF(G231&lt;=0,0,MAX(0,Assumptions!$B$3-K231))</f>
        <v>0</v>
      </c>
      <c r="M231" s="2" t="str">
        <f t="shared" si="7"/>
        <v>30 days</v>
      </c>
      <c r="N231" s="4">
        <v>0</v>
      </c>
      <c r="O231" s="2" t="s">
        <v>78</v>
      </c>
      <c r="P231" s="2" t="s">
        <v>78</v>
      </c>
    </row>
    <row r="232" spans="1:16" x14ac:dyDescent="0.2">
      <c r="A232" s="2" t="s">
        <v>1440</v>
      </c>
      <c r="B232" s="2" t="s">
        <v>114</v>
      </c>
      <c r="C232" s="4">
        <v>902.46</v>
      </c>
      <c r="D232" s="4">
        <f t="shared" si="6"/>
        <v>10829.52</v>
      </c>
      <c r="E232" s="2" t="s">
        <v>78</v>
      </c>
      <c r="F232" s="4">
        <v>0</v>
      </c>
      <c r="G232" s="4">
        <v>0</v>
      </c>
      <c r="H232" s="3">
        <v>46049</v>
      </c>
      <c r="I232" s="4">
        <v>907.02</v>
      </c>
      <c r="J232" s="2" t="s">
        <v>4825</v>
      </c>
      <c r="K232" s="3">
        <v>46054</v>
      </c>
      <c r="L232" s="2">
        <f>IF(G232&lt;=0,0,MAX(0,Assumptions!$B$3-K232))</f>
        <v>0</v>
      </c>
      <c r="M232" s="2" t="str">
        <f t="shared" si="7"/>
        <v>Current</v>
      </c>
      <c r="N232" s="4">
        <v>0</v>
      </c>
      <c r="O232" s="2" t="s">
        <v>78</v>
      </c>
      <c r="P232" s="2" t="s">
        <v>36</v>
      </c>
    </row>
    <row r="233" spans="1:16" x14ac:dyDescent="0.2">
      <c r="A233" s="2" t="s">
        <v>1445</v>
      </c>
      <c r="B233" s="2" t="s">
        <v>1446</v>
      </c>
      <c r="C233" s="4">
        <v>902.46</v>
      </c>
      <c r="D233" s="4">
        <f t="shared" si="6"/>
        <v>10829.52</v>
      </c>
      <c r="E233" s="2" t="s">
        <v>78</v>
      </c>
      <c r="F233" s="4">
        <v>0</v>
      </c>
      <c r="G233" s="4">
        <v>0</v>
      </c>
      <c r="H233" s="3">
        <v>46072</v>
      </c>
      <c r="I233" s="4">
        <v>788.36</v>
      </c>
      <c r="J233" s="2" t="s">
        <v>4827</v>
      </c>
      <c r="K233" s="3">
        <v>46054</v>
      </c>
      <c r="L233" s="2">
        <f>IF(G233&lt;=0,0,MAX(0,Assumptions!$B$3-K233))</f>
        <v>0</v>
      </c>
      <c r="M233" s="2" t="str">
        <f t="shared" si="7"/>
        <v>Current</v>
      </c>
      <c r="N233" s="4">
        <v>0</v>
      </c>
      <c r="O233" s="2" t="s">
        <v>78</v>
      </c>
      <c r="P233" s="2" t="s">
        <v>78</v>
      </c>
    </row>
    <row r="234" spans="1:16" x14ac:dyDescent="0.2">
      <c r="A234" s="2" t="s">
        <v>1451</v>
      </c>
      <c r="B234" s="2" t="s">
        <v>1452</v>
      </c>
      <c r="C234" s="4">
        <v>902.46</v>
      </c>
      <c r="D234" s="4">
        <f t="shared" si="6"/>
        <v>10829.52</v>
      </c>
      <c r="E234" s="2" t="s">
        <v>36</v>
      </c>
      <c r="F234" s="4">
        <v>8254.9500000000007</v>
      </c>
      <c r="G234" s="4">
        <v>0</v>
      </c>
      <c r="H234" s="3">
        <v>46061</v>
      </c>
      <c r="I234" s="4">
        <v>928.05</v>
      </c>
      <c r="J234" s="2" t="s">
        <v>4827</v>
      </c>
      <c r="K234" s="3">
        <v>46054</v>
      </c>
      <c r="L234" s="2">
        <f>IF(G234&lt;=0,0,MAX(0,Assumptions!$B$3-K234))</f>
        <v>0</v>
      </c>
      <c r="M234" s="2" t="str">
        <f t="shared" si="7"/>
        <v>Current</v>
      </c>
      <c r="N234" s="4">
        <v>0</v>
      </c>
      <c r="O234" s="2" t="s">
        <v>78</v>
      </c>
      <c r="P234" s="2" t="s">
        <v>78</v>
      </c>
    </row>
    <row r="235" spans="1:16" x14ac:dyDescent="0.2">
      <c r="A235" s="2" t="s">
        <v>1458</v>
      </c>
      <c r="B235" s="2" t="s">
        <v>31</v>
      </c>
      <c r="C235" s="4">
        <v>1064.7</v>
      </c>
      <c r="D235" s="4">
        <f t="shared" si="6"/>
        <v>12776.400000000001</v>
      </c>
      <c r="E235" s="2" t="s">
        <v>78</v>
      </c>
      <c r="F235" s="4">
        <v>0</v>
      </c>
      <c r="G235" s="4">
        <v>0</v>
      </c>
      <c r="H235" s="3">
        <v>46050</v>
      </c>
      <c r="I235" s="4">
        <v>1095.93</v>
      </c>
      <c r="J235" s="2" t="s">
        <v>4826</v>
      </c>
      <c r="K235" s="3">
        <v>46054</v>
      </c>
      <c r="L235" s="2">
        <f>IF(G235&lt;=0,0,MAX(0,Assumptions!$B$3-K235))</f>
        <v>0</v>
      </c>
      <c r="M235" s="2" t="str">
        <f t="shared" si="7"/>
        <v>Current</v>
      </c>
      <c r="N235" s="4">
        <v>0</v>
      </c>
      <c r="O235" s="2" t="s">
        <v>78</v>
      </c>
      <c r="P235" s="2" t="s">
        <v>78</v>
      </c>
    </row>
    <row r="236" spans="1:16" x14ac:dyDescent="0.2">
      <c r="A236" s="2" t="s">
        <v>1463</v>
      </c>
      <c r="B236" s="2" t="s">
        <v>543</v>
      </c>
      <c r="C236" s="4">
        <v>1064.7</v>
      </c>
      <c r="D236" s="4">
        <f t="shared" si="6"/>
        <v>12776.400000000001</v>
      </c>
      <c r="E236" s="2" t="s">
        <v>78</v>
      </c>
      <c r="F236" s="4">
        <v>0</v>
      </c>
      <c r="G236" s="4">
        <v>0</v>
      </c>
      <c r="H236" s="3">
        <v>46056</v>
      </c>
      <c r="I236" s="4">
        <v>1065.3699999999999</v>
      </c>
      <c r="J236" s="2" t="s">
        <v>4825</v>
      </c>
      <c r="K236" s="3">
        <v>46054</v>
      </c>
      <c r="L236" s="2">
        <f>IF(G236&lt;=0,0,MAX(0,Assumptions!$B$3-K236))</f>
        <v>0</v>
      </c>
      <c r="M236" s="2" t="str">
        <f t="shared" si="7"/>
        <v>Current</v>
      </c>
      <c r="N236" s="4">
        <v>0</v>
      </c>
      <c r="O236" s="2" t="s">
        <v>78</v>
      </c>
      <c r="P236" s="2" t="s">
        <v>36</v>
      </c>
    </row>
    <row r="237" spans="1:16" x14ac:dyDescent="0.2">
      <c r="A237" s="2" t="s">
        <v>1467</v>
      </c>
      <c r="B237" s="2" t="s">
        <v>1468</v>
      </c>
      <c r="C237" s="4">
        <v>1064.7</v>
      </c>
      <c r="D237" s="4">
        <f t="shared" si="6"/>
        <v>12776.400000000001</v>
      </c>
      <c r="E237" s="2" t="s">
        <v>78</v>
      </c>
      <c r="F237" s="4">
        <v>0</v>
      </c>
      <c r="G237" s="4">
        <v>0</v>
      </c>
      <c r="H237" s="3">
        <v>46073</v>
      </c>
      <c r="I237" s="4">
        <v>1025.17</v>
      </c>
      <c r="J237" s="2" t="s">
        <v>4825</v>
      </c>
      <c r="K237" s="3">
        <v>46054</v>
      </c>
      <c r="L237" s="2">
        <f>IF(G237&lt;=0,0,MAX(0,Assumptions!$B$3-K237))</f>
        <v>0</v>
      </c>
      <c r="M237" s="2" t="str">
        <f t="shared" si="7"/>
        <v>Current</v>
      </c>
      <c r="N237" s="4">
        <v>0</v>
      </c>
      <c r="O237" s="2" t="s">
        <v>78</v>
      </c>
      <c r="P237" s="2" t="s">
        <v>78</v>
      </c>
    </row>
    <row r="238" spans="1:16" x14ac:dyDescent="0.2">
      <c r="A238" s="2" t="s">
        <v>1473</v>
      </c>
      <c r="B238" s="2" t="s">
        <v>1474</v>
      </c>
      <c r="C238" s="4">
        <v>1064.7</v>
      </c>
      <c r="D238" s="4">
        <f t="shared" si="6"/>
        <v>12776.400000000001</v>
      </c>
      <c r="E238" s="2" t="s">
        <v>78</v>
      </c>
      <c r="F238" s="4">
        <v>0</v>
      </c>
      <c r="G238" s="4">
        <v>0</v>
      </c>
      <c r="H238" s="3">
        <v>46035</v>
      </c>
      <c r="I238" s="4">
        <v>1188.32</v>
      </c>
      <c r="J238" s="2" t="s">
        <v>4827</v>
      </c>
      <c r="K238" s="3">
        <v>46054</v>
      </c>
      <c r="L238" s="2">
        <f>IF(G238&lt;=0,0,MAX(0,Assumptions!$B$3-K238))</f>
        <v>0</v>
      </c>
      <c r="M238" s="2" t="str">
        <f t="shared" si="7"/>
        <v>Current</v>
      </c>
      <c r="N238" s="4">
        <v>0</v>
      </c>
      <c r="O238" s="2" t="s">
        <v>78</v>
      </c>
      <c r="P238" s="2" t="s">
        <v>78</v>
      </c>
    </row>
    <row r="239" spans="1:16" x14ac:dyDescent="0.2">
      <c r="A239" s="2" t="s">
        <v>1479</v>
      </c>
      <c r="B239" s="2" t="s">
        <v>1480</v>
      </c>
      <c r="C239" s="4">
        <v>1470.3</v>
      </c>
      <c r="D239" s="4">
        <f t="shared" si="6"/>
        <v>17643.599999999999</v>
      </c>
      <c r="E239" s="2" t="s">
        <v>78</v>
      </c>
      <c r="F239" s="4">
        <v>0</v>
      </c>
      <c r="G239" s="4">
        <v>25</v>
      </c>
      <c r="H239" s="3">
        <v>46069</v>
      </c>
      <c r="I239" s="4">
        <v>1535.81</v>
      </c>
      <c r="J239" s="2" t="s">
        <v>4824</v>
      </c>
      <c r="K239" s="3">
        <v>46054</v>
      </c>
      <c r="L239" s="2">
        <f>IF(G239&lt;=0,0,MAX(0,Assumptions!$B$3-K239))</f>
        <v>0</v>
      </c>
      <c r="M239" s="2" t="str">
        <f t="shared" si="7"/>
        <v>30 days</v>
      </c>
      <c r="N239" s="4">
        <v>0</v>
      </c>
      <c r="O239" s="2" t="s">
        <v>78</v>
      </c>
      <c r="P239" s="2" t="s">
        <v>36</v>
      </c>
    </row>
    <row r="240" spans="1:16" x14ac:dyDescent="0.2">
      <c r="A240" s="2" t="s">
        <v>1485</v>
      </c>
      <c r="B240" s="2" t="s">
        <v>919</v>
      </c>
      <c r="C240" s="4">
        <v>737.69</v>
      </c>
      <c r="D240" s="4">
        <f t="shared" si="6"/>
        <v>8852.2800000000007</v>
      </c>
      <c r="E240" s="2" t="s">
        <v>78</v>
      </c>
      <c r="F240" s="4">
        <v>0</v>
      </c>
      <c r="G240" s="4">
        <v>-50</v>
      </c>
      <c r="H240" s="3">
        <v>46039</v>
      </c>
      <c r="I240" s="4">
        <v>704.95</v>
      </c>
      <c r="J240" s="2" t="s">
        <v>4824</v>
      </c>
      <c r="K240" s="3">
        <v>46054</v>
      </c>
      <c r="L240" s="2">
        <f>IF(G240&lt;=0,0,MAX(0,Assumptions!$B$3-K240))</f>
        <v>0</v>
      </c>
      <c r="M240" s="2" t="str">
        <f t="shared" si="7"/>
        <v>Current</v>
      </c>
      <c r="N240" s="4">
        <v>0</v>
      </c>
      <c r="O240" s="2" t="s">
        <v>78</v>
      </c>
      <c r="P240" s="2" t="s">
        <v>78</v>
      </c>
    </row>
    <row r="241" spans="1:16" x14ac:dyDescent="0.2">
      <c r="A241" s="2" t="s">
        <v>1490</v>
      </c>
      <c r="B241" s="2" t="s">
        <v>1491</v>
      </c>
      <c r="C241" s="4">
        <v>737.69</v>
      </c>
      <c r="D241" s="4">
        <f t="shared" si="6"/>
        <v>8852.2800000000007</v>
      </c>
      <c r="E241" s="2" t="s">
        <v>78</v>
      </c>
      <c r="F241" s="4">
        <v>0</v>
      </c>
      <c r="G241" s="4">
        <v>2430.3000000000002</v>
      </c>
      <c r="H241" s="3">
        <v>45977</v>
      </c>
      <c r="I241" s="4">
        <v>652.30999999999995</v>
      </c>
      <c r="J241" s="2" t="s">
        <v>4823</v>
      </c>
      <c r="K241" s="3">
        <v>45964</v>
      </c>
      <c r="L241" s="2">
        <f>IF(G241&lt;=0,0,MAX(0,Assumptions!$B$3-K241))</f>
        <v>0</v>
      </c>
      <c r="M241" s="2" t="str">
        <f t="shared" si="7"/>
        <v>30 days</v>
      </c>
      <c r="N241" s="4">
        <v>0</v>
      </c>
      <c r="O241" s="2" t="s">
        <v>78</v>
      </c>
      <c r="P241" s="2" t="s">
        <v>78</v>
      </c>
    </row>
    <row r="242" spans="1:16" x14ac:dyDescent="0.2">
      <c r="A242" s="2" t="s">
        <v>1496</v>
      </c>
      <c r="B242" s="2" t="s">
        <v>1497</v>
      </c>
      <c r="C242" s="4">
        <v>737.69</v>
      </c>
      <c r="D242" s="4">
        <f t="shared" si="6"/>
        <v>8852.2800000000007</v>
      </c>
      <c r="E242" s="2" t="s">
        <v>78</v>
      </c>
      <c r="F242" s="4">
        <v>0</v>
      </c>
      <c r="G242" s="4">
        <v>0</v>
      </c>
      <c r="H242" s="3">
        <v>46033</v>
      </c>
      <c r="I242" s="4">
        <v>733.72</v>
      </c>
      <c r="J242" s="2" t="s">
        <v>4827</v>
      </c>
      <c r="K242" s="3">
        <v>46054</v>
      </c>
      <c r="L242" s="2">
        <f>IF(G242&lt;=0,0,MAX(0,Assumptions!$B$3-K242))</f>
        <v>0</v>
      </c>
      <c r="M242" s="2" t="str">
        <f t="shared" si="7"/>
        <v>Current</v>
      </c>
      <c r="N242" s="4">
        <v>0</v>
      </c>
      <c r="O242" s="2" t="s">
        <v>78</v>
      </c>
      <c r="P242" s="2" t="s">
        <v>36</v>
      </c>
    </row>
    <row r="243" spans="1:16" x14ac:dyDescent="0.2">
      <c r="A243" s="2" t="s">
        <v>1501</v>
      </c>
      <c r="B243" s="2" t="s">
        <v>1502</v>
      </c>
      <c r="C243" s="4">
        <v>737.69</v>
      </c>
      <c r="D243" s="4">
        <f t="shared" si="6"/>
        <v>8852.2800000000007</v>
      </c>
      <c r="E243" s="2" t="s">
        <v>78</v>
      </c>
      <c r="F243" s="4">
        <v>0</v>
      </c>
      <c r="G243" s="4">
        <v>1601.97</v>
      </c>
      <c r="H243" s="3">
        <v>45981</v>
      </c>
      <c r="I243" s="4">
        <v>598.88</v>
      </c>
      <c r="J243" s="2" t="s">
        <v>4824</v>
      </c>
      <c r="K243" s="3">
        <v>45994</v>
      </c>
      <c r="L243" s="2">
        <f>IF(G243&lt;=0,0,MAX(0,Assumptions!$B$3-K243))</f>
        <v>0</v>
      </c>
      <c r="M243" s="2" t="str">
        <f t="shared" si="7"/>
        <v>30 days</v>
      </c>
      <c r="N243" s="4">
        <v>0</v>
      </c>
      <c r="O243" s="2" t="s">
        <v>78</v>
      </c>
      <c r="P243" s="2" t="s">
        <v>78</v>
      </c>
    </row>
    <row r="244" spans="1:16" x14ac:dyDescent="0.2">
      <c r="A244" s="2" t="s">
        <v>1507</v>
      </c>
      <c r="B244" s="2" t="s">
        <v>174</v>
      </c>
      <c r="C244" s="4">
        <v>737.69</v>
      </c>
      <c r="D244" s="4">
        <f t="shared" si="6"/>
        <v>8852.2800000000007</v>
      </c>
      <c r="E244" s="2" t="s">
        <v>78</v>
      </c>
      <c r="F244" s="4">
        <v>0</v>
      </c>
      <c r="G244" s="4">
        <v>0</v>
      </c>
      <c r="H244" s="3">
        <v>46055</v>
      </c>
      <c r="I244" s="4">
        <v>754.34</v>
      </c>
      <c r="J244" s="2" t="s">
        <v>4823</v>
      </c>
      <c r="K244" s="3">
        <v>46054</v>
      </c>
      <c r="L244" s="2">
        <f>IF(G244&lt;=0,0,MAX(0,Assumptions!$B$3-K244))</f>
        <v>0</v>
      </c>
      <c r="M244" s="2" t="str">
        <f t="shared" si="7"/>
        <v>Current</v>
      </c>
      <c r="N244" s="4">
        <v>0</v>
      </c>
      <c r="O244" s="2" t="s">
        <v>78</v>
      </c>
      <c r="P244" s="2" t="s">
        <v>36</v>
      </c>
    </row>
    <row r="245" spans="1:16" x14ac:dyDescent="0.2">
      <c r="A245" s="2" t="s">
        <v>1511</v>
      </c>
      <c r="B245" s="2" t="s">
        <v>1179</v>
      </c>
      <c r="C245" s="4">
        <v>737.69</v>
      </c>
      <c r="D245" s="4">
        <f t="shared" si="6"/>
        <v>8852.2800000000007</v>
      </c>
      <c r="E245" s="2" t="s">
        <v>78</v>
      </c>
      <c r="F245" s="4">
        <v>0</v>
      </c>
      <c r="G245" s="4">
        <v>0</v>
      </c>
      <c r="H245" s="3">
        <v>46035</v>
      </c>
      <c r="I245" s="4">
        <v>870.13</v>
      </c>
      <c r="J245" s="2" t="s">
        <v>4825</v>
      </c>
      <c r="K245" s="3">
        <v>46054</v>
      </c>
      <c r="L245" s="2">
        <f>IF(G245&lt;=0,0,MAX(0,Assumptions!$B$3-K245))</f>
        <v>0</v>
      </c>
      <c r="M245" s="2" t="str">
        <f t="shared" si="7"/>
        <v>Current</v>
      </c>
      <c r="N245" s="4">
        <v>0</v>
      </c>
      <c r="O245" s="2" t="s">
        <v>78</v>
      </c>
      <c r="P245" s="2" t="s">
        <v>36</v>
      </c>
    </row>
    <row r="246" spans="1:16" x14ac:dyDescent="0.2">
      <c r="A246" s="2" t="s">
        <v>1515</v>
      </c>
      <c r="B246" s="2" t="s">
        <v>1516</v>
      </c>
      <c r="C246" s="4">
        <v>905.58</v>
      </c>
      <c r="D246" s="4">
        <f t="shared" si="6"/>
        <v>10866.960000000001</v>
      </c>
      <c r="E246" s="2" t="s">
        <v>78</v>
      </c>
      <c r="F246" s="4">
        <v>0</v>
      </c>
      <c r="G246" s="4">
        <v>0</v>
      </c>
      <c r="H246" s="3">
        <v>46062</v>
      </c>
      <c r="I246" s="4">
        <v>1037.76</v>
      </c>
      <c r="J246" s="2" t="s">
        <v>4823</v>
      </c>
      <c r="K246" s="3">
        <v>46054</v>
      </c>
      <c r="L246" s="2">
        <f>IF(G246&lt;=0,0,MAX(0,Assumptions!$B$3-K246))</f>
        <v>0</v>
      </c>
      <c r="M246" s="2" t="str">
        <f t="shared" si="7"/>
        <v>Current</v>
      </c>
      <c r="N246" s="4">
        <v>0</v>
      </c>
      <c r="O246" s="2" t="s">
        <v>78</v>
      </c>
      <c r="P246" s="2" t="s">
        <v>36</v>
      </c>
    </row>
    <row r="247" spans="1:16" x14ac:dyDescent="0.2">
      <c r="A247" s="2" t="s">
        <v>1522</v>
      </c>
      <c r="B247" s="2" t="s">
        <v>1523</v>
      </c>
      <c r="C247" s="4">
        <v>905.58</v>
      </c>
      <c r="D247" s="4">
        <f t="shared" si="6"/>
        <v>10866.960000000001</v>
      </c>
      <c r="E247" s="2" t="s">
        <v>78</v>
      </c>
      <c r="F247" s="4">
        <v>0</v>
      </c>
      <c r="G247" s="4">
        <v>0</v>
      </c>
      <c r="H247" s="3">
        <v>46053</v>
      </c>
      <c r="I247" s="4">
        <v>1003.56</v>
      </c>
      <c r="J247" s="2" t="s">
        <v>4825</v>
      </c>
      <c r="K247" s="3">
        <v>46054</v>
      </c>
      <c r="L247" s="2">
        <f>IF(G247&lt;=0,0,MAX(0,Assumptions!$B$3-K247))</f>
        <v>0</v>
      </c>
      <c r="M247" s="2" t="str">
        <f t="shared" si="7"/>
        <v>Current</v>
      </c>
      <c r="N247" s="4">
        <v>0</v>
      </c>
      <c r="O247" s="2" t="s">
        <v>78</v>
      </c>
      <c r="P247" s="2" t="s">
        <v>36</v>
      </c>
    </row>
    <row r="248" spans="1:16" x14ac:dyDescent="0.2">
      <c r="A248" s="2" t="s">
        <v>1528</v>
      </c>
      <c r="B248" s="2" t="s">
        <v>1529</v>
      </c>
      <c r="C248" s="4">
        <v>905.58</v>
      </c>
      <c r="D248" s="4">
        <f t="shared" si="6"/>
        <v>10866.960000000001</v>
      </c>
      <c r="E248" s="2" t="s">
        <v>78</v>
      </c>
      <c r="F248" s="4">
        <v>0</v>
      </c>
      <c r="G248" s="4">
        <v>-50</v>
      </c>
      <c r="H248" s="3">
        <v>46041</v>
      </c>
      <c r="I248" s="4">
        <v>918.49</v>
      </c>
      <c r="J248" s="2" t="s">
        <v>4823</v>
      </c>
      <c r="K248" s="3">
        <v>46054</v>
      </c>
      <c r="L248" s="2">
        <f>IF(G248&lt;=0,0,MAX(0,Assumptions!$B$3-K248))</f>
        <v>0</v>
      </c>
      <c r="M248" s="2" t="str">
        <f t="shared" si="7"/>
        <v>Current</v>
      </c>
      <c r="N248" s="4">
        <v>0</v>
      </c>
      <c r="O248" s="2" t="s">
        <v>78</v>
      </c>
      <c r="P248" s="2" t="s">
        <v>78</v>
      </c>
    </row>
    <row r="249" spans="1:16" x14ac:dyDescent="0.2">
      <c r="A249" s="2" t="s">
        <v>1533</v>
      </c>
      <c r="B249" s="2" t="s">
        <v>1534</v>
      </c>
      <c r="C249" s="4">
        <v>905.58</v>
      </c>
      <c r="D249" s="4">
        <f t="shared" si="6"/>
        <v>10866.960000000001</v>
      </c>
      <c r="E249" s="2" t="s">
        <v>78</v>
      </c>
      <c r="F249" s="4">
        <v>0</v>
      </c>
      <c r="G249" s="4">
        <v>0</v>
      </c>
      <c r="H249" s="3">
        <v>46045</v>
      </c>
      <c r="I249" s="4">
        <v>781.32</v>
      </c>
      <c r="J249" s="2" t="s">
        <v>4826</v>
      </c>
      <c r="K249" s="3">
        <v>46054</v>
      </c>
      <c r="L249" s="2">
        <f>IF(G249&lt;=0,0,MAX(0,Assumptions!$B$3-K249))</f>
        <v>0</v>
      </c>
      <c r="M249" s="2" t="str">
        <f t="shared" si="7"/>
        <v>Current</v>
      </c>
      <c r="N249" s="4">
        <v>0</v>
      </c>
      <c r="O249" s="2" t="s">
        <v>78</v>
      </c>
      <c r="P249" s="2" t="s">
        <v>36</v>
      </c>
    </row>
    <row r="250" spans="1:16" x14ac:dyDescent="0.2">
      <c r="A250" s="2" t="s">
        <v>1539</v>
      </c>
      <c r="B250" s="2" t="s">
        <v>31</v>
      </c>
      <c r="C250" s="4">
        <v>905.58</v>
      </c>
      <c r="D250" s="4">
        <f t="shared" si="6"/>
        <v>10866.960000000001</v>
      </c>
      <c r="E250" s="2" t="s">
        <v>78</v>
      </c>
      <c r="F250" s="4">
        <v>0</v>
      </c>
      <c r="G250" s="4">
        <v>0</v>
      </c>
      <c r="H250" s="3">
        <v>46032</v>
      </c>
      <c r="I250" s="4">
        <v>786.87</v>
      </c>
      <c r="J250" s="2" t="s">
        <v>4825</v>
      </c>
      <c r="K250" s="3">
        <v>46054</v>
      </c>
      <c r="L250" s="2">
        <f>IF(G250&lt;=0,0,MAX(0,Assumptions!$B$3-K250))</f>
        <v>0</v>
      </c>
      <c r="M250" s="2" t="str">
        <f t="shared" si="7"/>
        <v>Current</v>
      </c>
      <c r="N250" s="4">
        <v>0</v>
      </c>
      <c r="O250" s="2" t="s">
        <v>78</v>
      </c>
      <c r="P250" s="2" t="s">
        <v>36</v>
      </c>
    </row>
    <row r="251" spans="1:16" x14ac:dyDescent="0.2">
      <c r="A251" s="2" t="s">
        <v>1545</v>
      </c>
      <c r="B251" s="2" t="s">
        <v>1546</v>
      </c>
      <c r="C251" s="4">
        <v>905.58</v>
      </c>
      <c r="D251" s="4">
        <f t="shared" si="6"/>
        <v>10866.960000000001</v>
      </c>
      <c r="E251" s="2" t="s">
        <v>78</v>
      </c>
      <c r="F251" s="4">
        <v>0</v>
      </c>
      <c r="G251" s="4">
        <v>0</v>
      </c>
      <c r="H251" s="3">
        <v>46061</v>
      </c>
      <c r="I251" s="4">
        <v>954.99</v>
      </c>
      <c r="J251" s="2" t="s">
        <v>4824</v>
      </c>
      <c r="K251" s="3">
        <v>46054</v>
      </c>
      <c r="L251" s="2">
        <f>IF(G251&lt;=0,0,MAX(0,Assumptions!$B$3-K251))</f>
        <v>0</v>
      </c>
      <c r="M251" s="2" t="str">
        <f t="shared" si="7"/>
        <v>Current</v>
      </c>
      <c r="N251" s="4">
        <v>0</v>
      </c>
      <c r="O251" s="2" t="s">
        <v>78</v>
      </c>
      <c r="P251" s="2" t="s">
        <v>78</v>
      </c>
    </row>
    <row r="252" spans="1:16" x14ac:dyDescent="0.2">
      <c r="A252" s="2" t="s">
        <v>1552</v>
      </c>
      <c r="B252" s="2" t="s">
        <v>1553</v>
      </c>
      <c r="C252" s="4">
        <v>1068.3800000000001</v>
      </c>
      <c r="D252" s="4">
        <f t="shared" si="6"/>
        <v>12820.560000000001</v>
      </c>
      <c r="E252" s="2" t="s">
        <v>78</v>
      </c>
      <c r="F252" s="4">
        <v>0</v>
      </c>
      <c r="G252" s="4">
        <v>0</v>
      </c>
      <c r="H252" s="3">
        <v>46035</v>
      </c>
      <c r="I252" s="4">
        <v>1098.54</v>
      </c>
      <c r="J252" s="2" t="s">
        <v>4823</v>
      </c>
      <c r="K252" s="3">
        <v>46054</v>
      </c>
      <c r="L252" s="2">
        <f>IF(G252&lt;=0,0,MAX(0,Assumptions!$B$3-K252))</f>
        <v>0</v>
      </c>
      <c r="M252" s="2" t="str">
        <f t="shared" si="7"/>
        <v>Current</v>
      </c>
      <c r="N252" s="4">
        <v>0</v>
      </c>
      <c r="O252" s="2" t="s">
        <v>78</v>
      </c>
      <c r="P252" s="2" t="s">
        <v>78</v>
      </c>
    </row>
    <row r="253" spans="1:16" x14ac:dyDescent="0.2">
      <c r="A253" s="2" t="s">
        <v>1559</v>
      </c>
      <c r="B253" s="2" t="s">
        <v>600</v>
      </c>
      <c r="C253" s="4">
        <v>1068.3800000000001</v>
      </c>
      <c r="D253" s="4">
        <f t="shared" si="6"/>
        <v>12820.560000000001</v>
      </c>
      <c r="E253" s="2" t="s">
        <v>78</v>
      </c>
      <c r="F253" s="4">
        <v>0</v>
      </c>
      <c r="G253" s="4">
        <v>0</v>
      </c>
      <c r="H253" s="3">
        <v>46030</v>
      </c>
      <c r="I253" s="4">
        <v>893.58</v>
      </c>
      <c r="J253" s="2" t="s">
        <v>4827</v>
      </c>
      <c r="K253" s="3">
        <v>46054</v>
      </c>
      <c r="L253" s="2">
        <f>IF(G253&lt;=0,0,MAX(0,Assumptions!$B$3-K253))</f>
        <v>0</v>
      </c>
      <c r="M253" s="2" t="str">
        <f t="shared" si="7"/>
        <v>Current</v>
      </c>
      <c r="N253" s="4">
        <v>0</v>
      </c>
      <c r="O253" s="2" t="s">
        <v>78</v>
      </c>
      <c r="P253" s="2" t="s">
        <v>36</v>
      </c>
    </row>
    <row r="254" spans="1:16" x14ac:dyDescent="0.2">
      <c r="A254" s="2" t="s">
        <v>1564</v>
      </c>
      <c r="B254" s="2" t="s">
        <v>1565</v>
      </c>
      <c r="C254" s="4">
        <v>1068.3800000000001</v>
      </c>
      <c r="D254" s="4">
        <f t="shared" si="6"/>
        <v>12820.560000000001</v>
      </c>
      <c r="E254" s="2" t="s">
        <v>78</v>
      </c>
      <c r="F254" s="4">
        <v>0</v>
      </c>
      <c r="G254" s="4">
        <v>3424.41</v>
      </c>
      <c r="H254" s="3">
        <v>45932</v>
      </c>
      <c r="I254" s="4">
        <v>984.33</v>
      </c>
      <c r="J254" s="2" t="s">
        <v>4827</v>
      </c>
      <c r="K254" s="3">
        <v>45964</v>
      </c>
      <c r="L254" s="2">
        <f>IF(G254&lt;=0,0,MAX(0,Assumptions!$B$3-K254))</f>
        <v>0</v>
      </c>
      <c r="M254" s="2" t="str">
        <f t="shared" si="7"/>
        <v>30 days</v>
      </c>
      <c r="N254" s="4">
        <v>100</v>
      </c>
      <c r="O254" s="2" t="s">
        <v>78</v>
      </c>
      <c r="P254" s="2" t="s">
        <v>78</v>
      </c>
    </row>
    <row r="255" spans="1:16" x14ac:dyDescent="0.2">
      <c r="A255" s="2" t="s">
        <v>1571</v>
      </c>
      <c r="B255" s="2" t="s">
        <v>1572</v>
      </c>
      <c r="C255" s="4">
        <v>1068.3800000000001</v>
      </c>
      <c r="D255" s="4">
        <f t="shared" si="6"/>
        <v>12820.560000000001</v>
      </c>
      <c r="E255" s="2" t="s">
        <v>78</v>
      </c>
      <c r="F255" s="4">
        <v>0</v>
      </c>
      <c r="G255" s="4">
        <v>25</v>
      </c>
      <c r="H255" s="3">
        <v>46053</v>
      </c>
      <c r="I255" s="4">
        <v>911.39</v>
      </c>
      <c r="J255" s="2" t="s">
        <v>4825</v>
      </c>
      <c r="K255" s="3">
        <v>46054</v>
      </c>
      <c r="L255" s="2">
        <f>IF(G255&lt;=0,0,MAX(0,Assumptions!$B$3-K255))</f>
        <v>0</v>
      </c>
      <c r="M255" s="2" t="str">
        <f t="shared" si="7"/>
        <v>30 days</v>
      </c>
      <c r="N255" s="4">
        <v>0</v>
      </c>
      <c r="O255" s="2" t="s">
        <v>78</v>
      </c>
      <c r="P255" s="2" t="s">
        <v>36</v>
      </c>
    </row>
    <row r="256" spans="1:16" x14ac:dyDescent="0.2">
      <c r="A256" s="2" t="s">
        <v>1577</v>
      </c>
      <c r="B256" s="2" t="s">
        <v>1578</v>
      </c>
      <c r="C256" s="4">
        <v>1475.38</v>
      </c>
      <c r="D256" s="4">
        <f t="shared" si="6"/>
        <v>17704.560000000001</v>
      </c>
      <c r="E256" s="2" t="s">
        <v>78</v>
      </c>
      <c r="F256" s="4">
        <v>0</v>
      </c>
      <c r="G256" s="4">
        <v>25</v>
      </c>
      <c r="H256" s="3">
        <v>46030</v>
      </c>
      <c r="I256" s="4">
        <v>1536.31</v>
      </c>
      <c r="J256" s="2" t="s">
        <v>4826</v>
      </c>
      <c r="K256" s="3">
        <v>46054</v>
      </c>
      <c r="L256" s="2">
        <f>IF(G256&lt;=0,0,MAX(0,Assumptions!$B$3-K256))</f>
        <v>0</v>
      </c>
      <c r="M256" s="2" t="str">
        <f t="shared" si="7"/>
        <v>30 days</v>
      </c>
      <c r="N256" s="4">
        <v>0</v>
      </c>
      <c r="O256" s="2" t="s">
        <v>78</v>
      </c>
      <c r="P256" s="2" t="s">
        <v>36</v>
      </c>
    </row>
    <row r="257" spans="1:16" x14ac:dyDescent="0.2">
      <c r="A257" s="2" t="s">
        <v>1583</v>
      </c>
      <c r="B257" s="2" t="s">
        <v>193</v>
      </c>
      <c r="C257" s="4">
        <v>740.22</v>
      </c>
      <c r="D257" s="4">
        <f t="shared" si="6"/>
        <v>8882.64</v>
      </c>
      <c r="E257" s="2" t="s">
        <v>78</v>
      </c>
      <c r="F257" s="4">
        <v>0</v>
      </c>
      <c r="G257" s="4">
        <v>0</v>
      </c>
      <c r="H257" s="3">
        <v>46035</v>
      </c>
      <c r="I257" s="4">
        <v>840.26</v>
      </c>
      <c r="J257" s="2" t="s">
        <v>4826</v>
      </c>
      <c r="K257" s="3">
        <v>46054</v>
      </c>
      <c r="L257" s="2">
        <f>IF(G257&lt;=0,0,MAX(0,Assumptions!$B$3-K257))</f>
        <v>0</v>
      </c>
      <c r="M257" s="2" t="str">
        <f t="shared" si="7"/>
        <v>Current</v>
      </c>
      <c r="N257" s="4">
        <v>0</v>
      </c>
      <c r="O257" s="2" t="s">
        <v>78</v>
      </c>
      <c r="P257" s="2" t="s">
        <v>78</v>
      </c>
    </row>
    <row r="258" spans="1:16" x14ac:dyDescent="0.2">
      <c r="A258" s="2" t="s">
        <v>1588</v>
      </c>
      <c r="B258" s="2" t="s">
        <v>1246</v>
      </c>
      <c r="C258" s="4">
        <v>740.22</v>
      </c>
      <c r="D258" s="4">
        <f t="shared" ref="D258:D321" si="8">C258*12</f>
        <v>8882.64</v>
      </c>
      <c r="E258" s="2" t="s">
        <v>36</v>
      </c>
      <c r="F258" s="4">
        <v>6863.17</v>
      </c>
      <c r="G258" s="4">
        <v>0</v>
      </c>
      <c r="H258" s="3">
        <v>46040</v>
      </c>
      <c r="I258" s="4">
        <v>886.94</v>
      </c>
      <c r="J258" s="2" t="s">
        <v>4823</v>
      </c>
      <c r="K258" s="3">
        <v>46054</v>
      </c>
      <c r="L258" s="2">
        <f>IF(G258&lt;=0,0,MAX(0,Assumptions!$B$3-K258))</f>
        <v>0</v>
      </c>
      <c r="M258" s="2" t="str">
        <f t="shared" ref="M258:M321" si="9">IF(G258&lt;=0,"Current",IF(L258&lt;=30,"30 days",IF(L258&lt;=60,"60 days",IF(L258&lt;=90,"90 days","90+ days"))))</f>
        <v>Current</v>
      </c>
      <c r="N258" s="4">
        <v>0</v>
      </c>
      <c r="O258" s="2" t="s">
        <v>78</v>
      </c>
      <c r="P258" s="2" t="s">
        <v>78</v>
      </c>
    </row>
    <row r="259" spans="1:16" x14ac:dyDescent="0.2">
      <c r="A259" s="2" t="s">
        <v>1592</v>
      </c>
      <c r="B259" s="2" t="s">
        <v>1593</v>
      </c>
      <c r="C259" s="4">
        <v>740.22</v>
      </c>
      <c r="D259" s="4">
        <f t="shared" si="8"/>
        <v>8882.64</v>
      </c>
      <c r="E259" s="2" t="s">
        <v>78</v>
      </c>
      <c r="F259" s="4">
        <v>0</v>
      </c>
      <c r="G259" s="4">
        <v>926.27</v>
      </c>
      <c r="H259" s="3">
        <v>45963</v>
      </c>
      <c r="I259" s="4">
        <v>783.77</v>
      </c>
      <c r="J259" s="2" t="s">
        <v>4823</v>
      </c>
      <c r="K259" s="3">
        <v>46024</v>
      </c>
      <c r="L259" s="2">
        <f>IF(G259&lt;=0,0,MAX(0,Assumptions!$B$3-K259))</f>
        <v>0</v>
      </c>
      <c r="M259" s="2" t="str">
        <f t="shared" si="9"/>
        <v>30 days</v>
      </c>
      <c r="N259" s="4">
        <v>0</v>
      </c>
      <c r="O259" s="2" t="s">
        <v>78</v>
      </c>
      <c r="P259" s="2" t="s">
        <v>78</v>
      </c>
    </row>
    <row r="260" spans="1:16" x14ac:dyDescent="0.2">
      <c r="A260" s="2" t="s">
        <v>1598</v>
      </c>
      <c r="B260" s="2" t="s">
        <v>1474</v>
      </c>
      <c r="C260" s="4">
        <v>740.22</v>
      </c>
      <c r="D260" s="4">
        <f t="shared" si="8"/>
        <v>8882.64</v>
      </c>
      <c r="E260" s="2" t="s">
        <v>78</v>
      </c>
      <c r="F260" s="4">
        <v>0</v>
      </c>
      <c r="G260" s="4">
        <v>0</v>
      </c>
      <c r="H260" s="3">
        <v>46071</v>
      </c>
      <c r="I260" s="4">
        <v>699.77</v>
      </c>
      <c r="J260" s="2" t="s">
        <v>4824</v>
      </c>
      <c r="K260" s="3">
        <v>46054</v>
      </c>
      <c r="L260" s="2">
        <f>IF(G260&lt;=0,0,MAX(0,Assumptions!$B$3-K260))</f>
        <v>0</v>
      </c>
      <c r="M260" s="2" t="str">
        <f t="shared" si="9"/>
        <v>Current</v>
      </c>
      <c r="N260" s="4">
        <v>0</v>
      </c>
      <c r="O260" s="2" t="s">
        <v>78</v>
      </c>
      <c r="P260" s="2" t="s">
        <v>78</v>
      </c>
    </row>
    <row r="261" spans="1:16" x14ac:dyDescent="0.2">
      <c r="A261" s="2" t="s">
        <v>1602</v>
      </c>
      <c r="B261" s="2" t="s">
        <v>1603</v>
      </c>
      <c r="C261" s="4">
        <v>740.22</v>
      </c>
      <c r="D261" s="4">
        <f t="shared" si="8"/>
        <v>8882.64</v>
      </c>
      <c r="E261" s="2" t="s">
        <v>78</v>
      </c>
      <c r="F261" s="4">
        <v>0</v>
      </c>
      <c r="G261" s="4">
        <v>0</v>
      </c>
      <c r="H261" s="3">
        <v>46064</v>
      </c>
      <c r="I261" s="4">
        <v>842.98</v>
      </c>
      <c r="J261" s="2" t="s">
        <v>4824</v>
      </c>
      <c r="K261" s="3">
        <v>46054</v>
      </c>
      <c r="L261" s="2">
        <f>IF(G261&lt;=0,0,MAX(0,Assumptions!$B$3-K261))</f>
        <v>0</v>
      </c>
      <c r="M261" s="2" t="str">
        <f t="shared" si="9"/>
        <v>Current</v>
      </c>
      <c r="N261" s="4">
        <v>0</v>
      </c>
      <c r="O261" s="2" t="s">
        <v>78</v>
      </c>
      <c r="P261" s="2" t="s">
        <v>36</v>
      </c>
    </row>
    <row r="262" spans="1:16" x14ac:dyDescent="0.2">
      <c r="A262" s="2" t="s">
        <v>1608</v>
      </c>
      <c r="B262" s="2" t="s">
        <v>58</v>
      </c>
      <c r="C262" s="4">
        <v>740.22</v>
      </c>
      <c r="D262" s="4">
        <f t="shared" si="8"/>
        <v>8882.64</v>
      </c>
      <c r="E262" s="2" t="s">
        <v>78</v>
      </c>
      <c r="F262" s="4">
        <v>0</v>
      </c>
      <c r="G262" s="4">
        <v>0</v>
      </c>
      <c r="H262" s="3">
        <v>46031</v>
      </c>
      <c r="I262" s="4">
        <v>692.8</v>
      </c>
      <c r="J262" s="2" t="s">
        <v>4826</v>
      </c>
      <c r="K262" s="3">
        <v>46054</v>
      </c>
      <c r="L262" s="2">
        <f>IF(G262&lt;=0,0,MAX(0,Assumptions!$B$3-K262))</f>
        <v>0</v>
      </c>
      <c r="M262" s="2" t="str">
        <f t="shared" si="9"/>
        <v>Current</v>
      </c>
      <c r="N262" s="4">
        <v>0</v>
      </c>
      <c r="O262" s="2" t="s">
        <v>78</v>
      </c>
      <c r="P262" s="2" t="s">
        <v>36</v>
      </c>
    </row>
    <row r="263" spans="1:16" x14ac:dyDescent="0.2">
      <c r="A263" s="2" t="s">
        <v>1613</v>
      </c>
      <c r="B263" s="2" t="s">
        <v>1614</v>
      </c>
      <c r="C263" s="4">
        <v>908.69</v>
      </c>
      <c r="D263" s="4">
        <f t="shared" si="8"/>
        <v>10904.28</v>
      </c>
      <c r="E263" s="2" t="s">
        <v>36</v>
      </c>
      <c r="F263" s="4">
        <v>5957.3</v>
      </c>
      <c r="G263" s="4">
        <v>0</v>
      </c>
      <c r="H263" s="3">
        <v>46044</v>
      </c>
      <c r="I263" s="4">
        <v>1053.79</v>
      </c>
      <c r="J263" s="2" t="s">
        <v>4823</v>
      </c>
      <c r="K263" s="3">
        <v>46054</v>
      </c>
      <c r="L263" s="2">
        <f>IF(G263&lt;=0,0,MAX(0,Assumptions!$B$3-K263))</f>
        <v>0</v>
      </c>
      <c r="M263" s="2" t="str">
        <f t="shared" si="9"/>
        <v>Current</v>
      </c>
      <c r="N263" s="4">
        <v>0</v>
      </c>
      <c r="O263" s="2" t="s">
        <v>78</v>
      </c>
      <c r="P263" s="2" t="s">
        <v>36</v>
      </c>
    </row>
    <row r="264" spans="1:16" x14ac:dyDescent="0.2">
      <c r="A264" s="2" t="s">
        <v>1618</v>
      </c>
      <c r="B264" s="2" t="s">
        <v>1619</v>
      </c>
      <c r="C264" s="4">
        <v>908.69</v>
      </c>
      <c r="D264" s="4">
        <f t="shared" si="8"/>
        <v>10904.28</v>
      </c>
      <c r="E264" s="2" t="s">
        <v>78</v>
      </c>
      <c r="F264" s="4">
        <v>0</v>
      </c>
      <c r="G264" s="4">
        <v>0</v>
      </c>
      <c r="H264" s="3">
        <v>46052</v>
      </c>
      <c r="I264" s="4">
        <v>1013.14</v>
      </c>
      <c r="J264" s="2" t="s">
        <v>4827</v>
      </c>
      <c r="K264" s="3">
        <v>46054</v>
      </c>
      <c r="L264" s="2">
        <f>IF(G264&lt;=0,0,MAX(0,Assumptions!$B$3-K264))</f>
        <v>0</v>
      </c>
      <c r="M264" s="2" t="str">
        <f t="shared" si="9"/>
        <v>Current</v>
      </c>
      <c r="N264" s="4">
        <v>0</v>
      </c>
      <c r="O264" s="2" t="s">
        <v>78</v>
      </c>
      <c r="P264" s="2" t="s">
        <v>78</v>
      </c>
    </row>
    <row r="265" spans="1:16" x14ac:dyDescent="0.2">
      <c r="A265" s="2" t="s">
        <v>1626</v>
      </c>
      <c r="B265" s="2" t="s">
        <v>1627</v>
      </c>
      <c r="C265" s="4">
        <v>908.69</v>
      </c>
      <c r="D265" s="4">
        <f t="shared" si="8"/>
        <v>10904.28</v>
      </c>
      <c r="E265" s="2" t="s">
        <v>78</v>
      </c>
      <c r="F265" s="4">
        <v>0</v>
      </c>
      <c r="G265" s="4">
        <v>0</v>
      </c>
      <c r="H265" s="3">
        <v>46040</v>
      </c>
      <c r="I265" s="4">
        <v>831.79</v>
      </c>
      <c r="J265" s="2" t="s">
        <v>4826</v>
      </c>
      <c r="K265" s="3">
        <v>46054</v>
      </c>
      <c r="L265" s="2">
        <f>IF(G265&lt;=0,0,MAX(0,Assumptions!$B$3-K265))</f>
        <v>0</v>
      </c>
      <c r="M265" s="2" t="str">
        <f t="shared" si="9"/>
        <v>Current</v>
      </c>
      <c r="N265" s="4">
        <v>0</v>
      </c>
      <c r="O265" s="2" t="s">
        <v>78</v>
      </c>
      <c r="P265" s="2" t="s">
        <v>78</v>
      </c>
    </row>
    <row r="266" spans="1:16" x14ac:dyDescent="0.2">
      <c r="A266" s="2" t="s">
        <v>1631</v>
      </c>
      <c r="B266" s="2" t="s">
        <v>1632</v>
      </c>
      <c r="C266" s="4">
        <v>908.69</v>
      </c>
      <c r="D266" s="4">
        <f t="shared" si="8"/>
        <v>10904.28</v>
      </c>
      <c r="E266" s="2" t="s">
        <v>78</v>
      </c>
      <c r="F266" s="4">
        <v>0</v>
      </c>
      <c r="G266" s="4">
        <v>0</v>
      </c>
      <c r="H266" s="3">
        <v>46063</v>
      </c>
      <c r="I266" s="4">
        <v>933.28</v>
      </c>
      <c r="J266" s="2" t="s">
        <v>4827</v>
      </c>
      <c r="K266" s="3">
        <v>46054</v>
      </c>
      <c r="L266" s="2">
        <f>IF(G266&lt;=0,0,MAX(0,Assumptions!$B$3-K266))</f>
        <v>0</v>
      </c>
      <c r="M266" s="2" t="str">
        <f t="shared" si="9"/>
        <v>Current</v>
      </c>
      <c r="N266" s="4">
        <v>0</v>
      </c>
      <c r="O266" s="2" t="s">
        <v>78</v>
      </c>
      <c r="P266" s="2" t="s">
        <v>78</v>
      </c>
    </row>
    <row r="267" spans="1:16" x14ac:dyDescent="0.2">
      <c r="A267" s="2" t="s">
        <v>1638</v>
      </c>
      <c r="B267" s="2" t="s">
        <v>1446</v>
      </c>
      <c r="C267" s="4">
        <v>908.69</v>
      </c>
      <c r="D267" s="4">
        <f t="shared" si="8"/>
        <v>10904.28</v>
      </c>
      <c r="E267" s="2" t="s">
        <v>78</v>
      </c>
      <c r="F267" s="4">
        <v>0</v>
      </c>
      <c r="G267" s="4">
        <v>0</v>
      </c>
      <c r="H267" s="3">
        <v>46064</v>
      </c>
      <c r="I267" s="4">
        <v>947.75</v>
      </c>
      <c r="J267" s="2" t="s">
        <v>4823</v>
      </c>
      <c r="K267" s="3">
        <v>46054</v>
      </c>
      <c r="L267" s="2">
        <f>IF(G267&lt;=0,0,MAX(0,Assumptions!$B$3-K267))</f>
        <v>0</v>
      </c>
      <c r="M267" s="2" t="str">
        <f t="shared" si="9"/>
        <v>Current</v>
      </c>
      <c r="N267" s="4">
        <v>0</v>
      </c>
      <c r="O267" s="2" t="s">
        <v>78</v>
      </c>
      <c r="P267" s="2" t="s">
        <v>36</v>
      </c>
    </row>
    <row r="268" spans="1:16" x14ac:dyDescent="0.2">
      <c r="A268" s="2" t="s">
        <v>1643</v>
      </c>
      <c r="B268" s="2" t="s">
        <v>899</v>
      </c>
      <c r="C268" s="4">
        <v>908.69</v>
      </c>
      <c r="D268" s="4">
        <f t="shared" si="8"/>
        <v>10904.28</v>
      </c>
      <c r="E268" s="2" t="s">
        <v>78</v>
      </c>
      <c r="F268" s="4">
        <v>0</v>
      </c>
      <c r="G268" s="4">
        <v>0</v>
      </c>
      <c r="H268" s="3">
        <v>46064</v>
      </c>
      <c r="I268" s="4">
        <v>939.31</v>
      </c>
      <c r="J268" s="2" t="s">
        <v>4827</v>
      </c>
      <c r="K268" s="3">
        <v>46054</v>
      </c>
      <c r="L268" s="2">
        <f>IF(G268&lt;=0,0,MAX(0,Assumptions!$B$3-K268))</f>
        <v>0</v>
      </c>
      <c r="M268" s="2" t="str">
        <f t="shared" si="9"/>
        <v>Current</v>
      </c>
      <c r="N268" s="4">
        <v>0</v>
      </c>
      <c r="O268" s="2" t="s">
        <v>78</v>
      </c>
      <c r="P268" s="2" t="s">
        <v>36</v>
      </c>
    </row>
    <row r="269" spans="1:16" x14ac:dyDescent="0.2">
      <c r="A269" s="2" t="s">
        <v>1649</v>
      </c>
      <c r="B269" s="2" t="s">
        <v>1650</v>
      </c>
      <c r="C269" s="4">
        <v>1072.05</v>
      </c>
      <c r="D269" s="4">
        <f t="shared" si="8"/>
        <v>12864.599999999999</v>
      </c>
      <c r="E269" s="2" t="s">
        <v>78</v>
      </c>
      <c r="F269" s="4">
        <v>0</v>
      </c>
      <c r="G269" s="4">
        <v>15</v>
      </c>
      <c r="H269" s="3">
        <v>46048</v>
      </c>
      <c r="I269" s="4">
        <v>1062.18</v>
      </c>
      <c r="J269" s="2" t="s">
        <v>4826</v>
      </c>
      <c r="K269" s="3">
        <v>46054</v>
      </c>
      <c r="L269" s="2">
        <f>IF(G269&lt;=0,0,MAX(0,Assumptions!$B$3-K269))</f>
        <v>0</v>
      </c>
      <c r="M269" s="2" t="str">
        <f t="shared" si="9"/>
        <v>30 days</v>
      </c>
      <c r="N269" s="4">
        <v>0</v>
      </c>
      <c r="O269" s="2" t="s">
        <v>78</v>
      </c>
      <c r="P269" s="2" t="s">
        <v>78</v>
      </c>
    </row>
    <row r="270" spans="1:16" x14ac:dyDescent="0.2">
      <c r="A270" s="2" t="s">
        <v>1655</v>
      </c>
      <c r="B270" s="2" t="s">
        <v>1656</v>
      </c>
      <c r="C270" s="4">
        <v>1072.05</v>
      </c>
      <c r="D270" s="4">
        <f t="shared" si="8"/>
        <v>12864.599999999999</v>
      </c>
      <c r="E270" s="2" t="s">
        <v>78</v>
      </c>
      <c r="F270" s="4">
        <v>0</v>
      </c>
      <c r="G270" s="4">
        <v>15</v>
      </c>
      <c r="H270" s="3">
        <v>46053</v>
      </c>
      <c r="I270" s="4">
        <v>1082.06</v>
      </c>
      <c r="J270" s="2" t="s">
        <v>4823</v>
      </c>
      <c r="K270" s="3">
        <v>46054</v>
      </c>
      <c r="L270" s="2">
        <f>IF(G270&lt;=0,0,MAX(0,Assumptions!$B$3-K270))</f>
        <v>0</v>
      </c>
      <c r="M270" s="2" t="str">
        <f t="shared" si="9"/>
        <v>30 days</v>
      </c>
      <c r="N270" s="4">
        <v>0</v>
      </c>
      <c r="O270" s="2" t="s">
        <v>78</v>
      </c>
      <c r="P270" s="2" t="s">
        <v>78</v>
      </c>
    </row>
    <row r="271" spans="1:16" x14ac:dyDescent="0.2">
      <c r="A271" s="2" t="s">
        <v>1660</v>
      </c>
      <c r="B271" s="2" t="s">
        <v>1661</v>
      </c>
      <c r="C271" s="4">
        <v>1072.05</v>
      </c>
      <c r="D271" s="4">
        <f t="shared" si="8"/>
        <v>12864.599999999999</v>
      </c>
      <c r="E271" s="2" t="s">
        <v>78</v>
      </c>
      <c r="F271" s="4">
        <v>0</v>
      </c>
      <c r="G271" s="4">
        <v>15</v>
      </c>
      <c r="H271" s="3">
        <v>46043</v>
      </c>
      <c r="I271" s="4">
        <v>932.85</v>
      </c>
      <c r="J271" s="2" t="s">
        <v>4823</v>
      </c>
      <c r="K271" s="3">
        <v>46054</v>
      </c>
      <c r="L271" s="2">
        <f>IF(G271&lt;=0,0,MAX(0,Assumptions!$B$3-K271))</f>
        <v>0</v>
      </c>
      <c r="M271" s="2" t="str">
        <f t="shared" si="9"/>
        <v>30 days</v>
      </c>
      <c r="N271" s="4">
        <v>0</v>
      </c>
      <c r="O271" s="2" t="s">
        <v>78</v>
      </c>
      <c r="P271" s="2" t="s">
        <v>78</v>
      </c>
    </row>
    <row r="272" spans="1:16" x14ac:dyDescent="0.2">
      <c r="A272" s="2" t="s">
        <v>1667</v>
      </c>
      <c r="B272" s="2" t="s">
        <v>1183</v>
      </c>
      <c r="C272" s="4">
        <v>1072.05</v>
      </c>
      <c r="D272" s="4">
        <f t="shared" si="8"/>
        <v>12864.599999999999</v>
      </c>
      <c r="E272" s="2" t="s">
        <v>78</v>
      </c>
      <c r="F272" s="4">
        <v>0</v>
      </c>
      <c r="G272" s="4">
        <v>2202.87</v>
      </c>
      <c r="H272" s="3">
        <v>45963</v>
      </c>
      <c r="I272" s="4">
        <v>1191.27</v>
      </c>
      <c r="J272" s="2" t="s">
        <v>4826</v>
      </c>
      <c r="K272" s="3">
        <v>45994</v>
      </c>
      <c r="L272" s="2">
        <f>IF(G272&lt;=0,0,MAX(0,Assumptions!$B$3-K272))</f>
        <v>0</v>
      </c>
      <c r="M272" s="2" t="str">
        <f t="shared" si="9"/>
        <v>30 days</v>
      </c>
      <c r="N272" s="4">
        <v>0</v>
      </c>
      <c r="O272" s="2" t="s">
        <v>78</v>
      </c>
      <c r="P272" s="2" t="s">
        <v>78</v>
      </c>
    </row>
    <row r="273" spans="1:16" x14ac:dyDescent="0.2">
      <c r="A273" s="2" t="s">
        <v>1673</v>
      </c>
      <c r="B273" s="2" t="s">
        <v>394</v>
      </c>
      <c r="C273" s="4">
        <v>1480.45</v>
      </c>
      <c r="D273" s="4">
        <f t="shared" si="8"/>
        <v>17765.400000000001</v>
      </c>
      <c r="E273" s="2" t="s">
        <v>78</v>
      </c>
      <c r="F273" s="4">
        <v>0</v>
      </c>
      <c r="G273" s="4">
        <v>0</v>
      </c>
      <c r="H273" s="3">
        <v>46040</v>
      </c>
      <c r="I273" s="4">
        <v>1716.22</v>
      </c>
      <c r="J273" s="2" t="s">
        <v>4826</v>
      </c>
      <c r="K273" s="3">
        <v>46054</v>
      </c>
      <c r="L273" s="2">
        <f>IF(G273&lt;=0,0,MAX(0,Assumptions!$B$3-K273))</f>
        <v>0</v>
      </c>
      <c r="M273" s="2" t="str">
        <f t="shared" si="9"/>
        <v>Current</v>
      </c>
      <c r="N273" s="4">
        <v>0</v>
      </c>
      <c r="O273" s="2" t="s">
        <v>78</v>
      </c>
      <c r="P273" s="2" t="s">
        <v>36</v>
      </c>
    </row>
    <row r="274" spans="1:16" x14ac:dyDescent="0.2">
      <c r="A274" s="2" t="s">
        <v>1678</v>
      </c>
      <c r="B274" s="2" t="s">
        <v>1679</v>
      </c>
      <c r="C274" s="4">
        <v>742.76</v>
      </c>
      <c r="D274" s="4">
        <f t="shared" si="8"/>
        <v>8913.119999999999</v>
      </c>
      <c r="E274" s="2" t="s">
        <v>78</v>
      </c>
      <c r="F274" s="4">
        <v>0</v>
      </c>
      <c r="G274" s="4">
        <v>-50</v>
      </c>
      <c r="H274" s="3">
        <v>46041</v>
      </c>
      <c r="I274" s="4">
        <v>614.16999999999996</v>
      </c>
      <c r="J274" s="2" t="s">
        <v>4824</v>
      </c>
      <c r="K274" s="3">
        <v>46054</v>
      </c>
      <c r="L274" s="2">
        <f>IF(G274&lt;=0,0,MAX(0,Assumptions!$B$3-K274))</f>
        <v>0</v>
      </c>
      <c r="M274" s="2" t="str">
        <f t="shared" si="9"/>
        <v>Current</v>
      </c>
      <c r="N274" s="4">
        <v>0</v>
      </c>
      <c r="O274" s="2" t="s">
        <v>78</v>
      </c>
      <c r="P274" s="2" t="s">
        <v>36</v>
      </c>
    </row>
    <row r="275" spans="1:16" x14ac:dyDescent="0.2">
      <c r="A275" s="2" t="s">
        <v>1684</v>
      </c>
      <c r="B275" s="2" t="s">
        <v>1685</v>
      </c>
      <c r="C275" s="4">
        <v>742.76</v>
      </c>
      <c r="D275" s="4">
        <f t="shared" si="8"/>
        <v>8913.119999999999</v>
      </c>
      <c r="E275" s="2" t="s">
        <v>78</v>
      </c>
      <c r="F275" s="4">
        <v>0</v>
      </c>
      <c r="G275" s="4">
        <v>0</v>
      </c>
      <c r="H275" s="3">
        <v>46070</v>
      </c>
      <c r="I275" s="4">
        <v>726.9</v>
      </c>
      <c r="J275" s="2" t="s">
        <v>4824</v>
      </c>
      <c r="K275" s="3">
        <v>46054</v>
      </c>
      <c r="L275" s="2">
        <f>IF(G275&lt;=0,0,MAX(0,Assumptions!$B$3-K275))</f>
        <v>0</v>
      </c>
      <c r="M275" s="2" t="str">
        <f t="shared" si="9"/>
        <v>Current</v>
      </c>
      <c r="N275" s="4">
        <v>0</v>
      </c>
      <c r="O275" s="2" t="s">
        <v>78</v>
      </c>
      <c r="P275" s="2" t="s">
        <v>78</v>
      </c>
    </row>
    <row r="276" spans="1:16" x14ac:dyDescent="0.2">
      <c r="A276" s="2" t="s">
        <v>1689</v>
      </c>
      <c r="B276" s="2" t="s">
        <v>1690</v>
      </c>
      <c r="C276" s="4">
        <v>742.76</v>
      </c>
      <c r="D276" s="4">
        <f t="shared" si="8"/>
        <v>8913.119999999999</v>
      </c>
      <c r="E276" s="2" t="s">
        <v>78</v>
      </c>
      <c r="F276" s="4">
        <v>0</v>
      </c>
      <c r="G276" s="4">
        <v>25</v>
      </c>
      <c r="H276" s="3">
        <v>46059</v>
      </c>
      <c r="I276" s="4">
        <v>799.1</v>
      </c>
      <c r="J276" s="2" t="s">
        <v>4823</v>
      </c>
      <c r="K276" s="3">
        <v>46054</v>
      </c>
      <c r="L276" s="2">
        <f>IF(G276&lt;=0,0,MAX(0,Assumptions!$B$3-K276))</f>
        <v>0</v>
      </c>
      <c r="M276" s="2" t="str">
        <f t="shared" si="9"/>
        <v>30 days</v>
      </c>
      <c r="N276" s="4">
        <v>0</v>
      </c>
      <c r="O276" s="2" t="s">
        <v>78</v>
      </c>
      <c r="P276" s="2" t="s">
        <v>36</v>
      </c>
    </row>
    <row r="277" spans="1:16" x14ac:dyDescent="0.2">
      <c r="A277" s="2" t="s">
        <v>1695</v>
      </c>
      <c r="B277" s="2" t="s">
        <v>363</v>
      </c>
      <c r="C277" s="4">
        <v>742.76</v>
      </c>
      <c r="D277" s="4">
        <f t="shared" si="8"/>
        <v>8913.119999999999</v>
      </c>
      <c r="E277" s="2" t="s">
        <v>78</v>
      </c>
      <c r="F277" s="4">
        <v>0</v>
      </c>
      <c r="G277" s="4">
        <v>0</v>
      </c>
      <c r="H277" s="3">
        <v>46068</v>
      </c>
      <c r="I277" s="4">
        <v>814.99</v>
      </c>
      <c r="J277" s="2" t="s">
        <v>4825</v>
      </c>
      <c r="K277" s="3">
        <v>46054</v>
      </c>
      <c r="L277" s="2">
        <f>IF(G277&lt;=0,0,MAX(0,Assumptions!$B$3-K277))</f>
        <v>0</v>
      </c>
      <c r="M277" s="2" t="str">
        <f t="shared" si="9"/>
        <v>Current</v>
      </c>
      <c r="N277" s="4">
        <v>0</v>
      </c>
      <c r="O277" s="2" t="s">
        <v>78</v>
      </c>
      <c r="P277" s="2" t="s">
        <v>78</v>
      </c>
    </row>
    <row r="278" spans="1:16" x14ac:dyDescent="0.2">
      <c r="A278" s="2" t="s">
        <v>1700</v>
      </c>
      <c r="B278" s="2" t="s">
        <v>1701</v>
      </c>
      <c r="C278" s="4">
        <v>742.76</v>
      </c>
      <c r="D278" s="4">
        <f t="shared" si="8"/>
        <v>8913.119999999999</v>
      </c>
      <c r="E278" s="2" t="s">
        <v>78</v>
      </c>
      <c r="F278" s="4">
        <v>0</v>
      </c>
      <c r="G278" s="4">
        <v>25</v>
      </c>
      <c r="H278" s="3">
        <v>46059</v>
      </c>
      <c r="I278" s="4">
        <v>666.68</v>
      </c>
      <c r="J278" s="2" t="s">
        <v>4824</v>
      </c>
      <c r="K278" s="3">
        <v>46054</v>
      </c>
      <c r="L278" s="2">
        <f>IF(G278&lt;=0,0,MAX(0,Assumptions!$B$3-K278))</f>
        <v>0</v>
      </c>
      <c r="M278" s="2" t="str">
        <f t="shared" si="9"/>
        <v>30 days</v>
      </c>
      <c r="N278" s="4">
        <v>0</v>
      </c>
      <c r="O278" s="2" t="s">
        <v>78</v>
      </c>
      <c r="P278" s="2" t="s">
        <v>36</v>
      </c>
    </row>
    <row r="279" spans="1:16" x14ac:dyDescent="0.2">
      <c r="A279" s="2" t="s">
        <v>1705</v>
      </c>
      <c r="B279" s="2" t="s">
        <v>1706</v>
      </c>
      <c r="C279" s="4">
        <v>742.76</v>
      </c>
      <c r="D279" s="4">
        <f t="shared" si="8"/>
        <v>8913.119999999999</v>
      </c>
      <c r="E279" s="2" t="s">
        <v>78</v>
      </c>
      <c r="F279" s="4">
        <v>0</v>
      </c>
      <c r="G279" s="4">
        <v>0</v>
      </c>
      <c r="H279" s="3">
        <v>46053</v>
      </c>
      <c r="I279" s="4">
        <v>828.92</v>
      </c>
      <c r="J279" s="2" t="s">
        <v>4825</v>
      </c>
      <c r="K279" s="3">
        <v>46054</v>
      </c>
      <c r="L279" s="2">
        <f>IF(G279&lt;=0,0,MAX(0,Assumptions!$B$3-K279))</f>
        <v>0</v>
      </c>
      <c r="M279" s="2" t="str">
        <f t="shared" si="9"/>
        <v>Current</v>
      </c>
      <c r="N279" s="4">
        <v>0</v>
      </c>
      <c r="O279" s="2" t="s">
        <v>78</v>
      </c>
      <c r="P279" s="2" t="s">
        <v>36</v>
      </c>
    </row>
    <row r="280" spans="1:16" x14ac:dyDescent="0.2">
      <c r="A280" s="2" t="s">
        <v>1710</v>
      </c>
      <c r="B280" s="2" t="s">
        <v>443</v>
      </c>
      <c r="C280" s="4">
        <v>911.8</v>
      </c>
      <c r="D280" s="4">
        <f t="shared" si="8"/>
        <v>10941.599999999999</v>
      </c>
      <c r="E280" s="2" t="s">
        <v>36</v>
      </c>
      <c r="F280" s="4">
        <v>2177.87</v>
      </c>
      <c r="G280" s="4">
        <v>15</v>
      </c>
      <c r="H280" s="3">
        <v>46036</v>
      </c>
      <c r="I280" s="4">
        <v>807.85</v>
      </c>
      <c r="J280" s="2" t="s">
        <v>4823</v>
      </c>
      <c r="K280" s="3">
        <v>46054</v>
      </c>
      <c r="L280" s="2">
        <f>IF(G280&lt;=0,0,MAX(0,Assumptions!$B$3-K280))</f>
        <v>0</v>
      </c>
      <c r="M280" s="2" t="str">
        <f t="shared" si="9"/>
        <v>30 days</v>
      </c>
      <c r="N280" s="4">
        <v>0</v>
      </c>
      <c r="O280" s="2" t="s">
        <v>78</v>
      </c>
      <c r="P280" s="2" t="s">
        <v>36</v>
      </c>
    </row>
    <row r="281" spans="1:16" x14ac:dyDescent="0.2">
      <c r="A281" s="2" t="s">
        <v>1716</v>
      </c>
      <c r="B281" s="2" t="s">
        <v>39</v>
      </c>
      <c r="C281" s="4">
        <v>911.8</v>
      </c>
      <c r="D281" s="4">
        <f t="shared" si="8"/>
        <v>10941.599999999999</v>
      </c>
      <c r="E281" s="2" t="s">
        <v>78</v>
      </c>
      <c r="F281" s="4">
        <v>0</v>
      </c>
      <c r="G281" s="4">
        <v>0</v>
      </c>
      <c r="H281" s="3">
        <v>46045</v>
      </c>
      <c r="I281" s="4">
        <v>1012.97</v>
      </c>
      <c r="J281" s="2" t="s">
        <v>4826</v>
      </c>
      <c r="K281" s="3">
        <v>46054</v>
      </c>
      <c r="L281" s="2">
        <f>IF(G281&lt;=0,0,MAX(0,Assumptions!$B$3-K281))</f>
        <v>0</v>
      </c>
      <c r="M281" s="2" t="str">
        <f t="shared" si="9"/>
        <v>Current</v>
      </c>
      <c r="N281" s="4">
        <v>0</v>
      </c>
      <c r="O281" s="2" t="s">
        <v>78</v>
      </c>
      <c r="P281" s="2" t="s">
        <v>36</v>
      </c>
    </row>
    <row r="282" spans="1:16" x14ac:dyDescent="0.2">
      <c r="A282" s="2" t="s">
        <v>1721</v>
      </c>
      <c r="B282" s="2" t="s">
        <v>151</v>
      </c>
      <c r="C282" s="4">
        <v>911.8</v>
      </c>
      <c r="D282" s="4">
        <f t="shared" si="8"/>
        <v>10941.599999999999</v>
      </c>
      <c r="E282" s="2" t="s">
        <v>78</v>
      </c>
      <c r="F282" s="4">
        <v>0</v>
      </c>
      <c r="G282" s="4">
        <v>0</v>
      </c>
      <c r="H282" s="3">
        <v>46057</v>
      </c>
      <c r="I282" s="4">
        <v>1004.64</v>
      </c>
      <c r="J282" s="2" t="s">
        <v>4824</v>
      </c>
      <c r="K282" s="3">
        <v>46054</v>
      </c>
      <c r="L282" s="2">
        <f>IF(G282&lt;=0,0,MAX(0,Assumptions!$B$3-K282))</f>
        <v>0</v>
      </c>
      <c r="M282" s="2" t="str">
        <f t="shared" si="9"/>
        <v>Current</v>
      </c>
      <c r="N282" s="4">
        <v>0</v>
      </c>
      <c r="O282" s="2" t="s">
        <v>78</v>
      </c>
      <c r="P282" s="2" t="s">
        <v>78</v>
      </c>
    </row>
    <row r="283" spans="1:16" x14ac:dyDescent="0.2">
      <c r="A283" s="2" t="s">
        <v>1727</v>
      </c>
      <c r="B283" s="2" t="s">
        <v>736</v>
      </c>
      <c r="C283" s="4">
        <v>911.8</v>
      </c>
      <c r="D283" s="4">
        <f t="shared" si="8"/>
        <v>10941.599999999999</v>
      </c>
      <c r="E283" s="2" t="s">
        <v>78</v>
      </c>
      <c r="F283" s="4">
        <v>0</v>
      </c>
      <c r="G283" s="4">
        <v>0</v>
      </c>
      <c r="H283" s="3">
        <v>46041</v>
      </c>
      <c r="I283" s="4">
        <v>832.93</v>
      </c>
      <c r="J283" s="2" t="s">
        <v>4827</v>
      </c>
      <c r="K283" s="3">
        <v>46054</v>
      </c>
      <c r="L283" s="2">
        <f>IF(G283&lt;=0,0,MAX(0,Assumptions!$B$3-K283))</f>
        <v>0</v>
      </c>
      <c r="M283" s="2" t="str">
        <f t="shared" si="9"/>
        <v>Current</v>
      </c>
      <c r="N283" s="4">
        <v>0</v>
      </c>
      <c r="O283" s="2" t="s">
        <v>78</v>
      </c>
      <c r="P283" s="2" t="s">
        <v>78</v>
      </c>
    </row>
    <row r="284" spans="1:16" x14ac:dyDescent="0.2">
      <c r="A284" s="2" t="s">
        <v>1733</v>
      </c>
      <c r="B284" s="2" t="s">
        <v>919</v>
      </c>
      <c r="C284" s="4">
        <v>911.8</v>
      </c>
      <c r="D284" s="4">
        <f t="shared" si="8"/>
        <v>10941.599999999999</v>
      </c>
      <c r="E284" s="2" t="s">
        <v>78</v>
      </c>
      <c r="F284" s="4">
        <v>0</v>
      </c>
      <c r="G284" s="4">
        <v>15</v>
      </c>
      <c r="H284" s="3">
        <v>46041</v>
      </c>
      <c r="I284" s="4">
        <v>842.07</v>
      </c>
      <c r="J284" s="2" t="s">
        <v>4823</v>
      </c>
      <c r="K284" s="3">
        <v>46054</v>
      </c>
      <c r="L284" s="2">
        <f>IF(G284&lt;=0,0,MAX(0,Assumptions!$B$3-K284))</f>
        <v>0</v>
      </c>
      <c r="M284" s="2" t="str">
        <f t="shared" si="9"/>
        <v>30 days</v>
      </c>
      <c r="N284" s="4">
        <v>0</v>
      </c>
      <c r="O284" s="2" t="s">
        <v>78</v>
      </c>
      <c r="P284" s="2" t="s">
        <v>78</v>
      </c>
    </row>
    <row r="285" spans="1:16" x14ac:dyDescent="0.2">
      <c r="A285" s="2" t="s">
        <v>1739</v>
      </c>
      <c r="B285" s="2" t="s">
        <v>504</v>
      </c>
      <c r="C285" s="4">
        <v>911.8</v>
      </c>
      <c r="D285" s="4">
        <f t="shared" si="8"/>
        <v>10941.599999999999</v>
      </c>
      <c r="E285" s="2" t="s">
        <v>78</v>
      </c>
      <c r="F285" s="4">
        <v>0</v>
      </c>
      <c r="G285" s="4">
        <v>0</v>
      </c>
      <c r="H285" s="3">
        <v>46053</v>
      </c>
      <c r="I285" s="4">
        <v>1055.27</v>
      </c>
      <c r="J285" s="2" t="s">
        <v>4824</v>
      </c>
      <c r="K285" s="3">
        <v>46054</v>
      </c>
      <c r="L285" s="2">
        <f>IF(G285&lt;=0,0,MAX(0,Assumptions!$B$3-K285))</f>
        <v>0</v>
      </c>
      <c r="M285" s="2" t="str">
        <f t="shared" si="9"/>
        <v>Current</v>
      </c>
      <c r="N285" s="4">
        <v>0</v>
      </c>
      <c r="O285" s="2" t="s">
        <v>78</v>
      </c>
      <c r="P285" s="2" t="s">
        <v>78</v>
      </c>
    </row>
    <row r="286" spans="1:16" x14ac:dyDescent="0.2">
      <c r="A286" s="2" t="s">
        <v>1746</v>
      </c>
      <c r="B286" s="2" t="s">
        <v>1747</v>
      </c>
      <c r="C286" s="4">
        <v>1075.72</v>
      </c>
      <c r="D286" s="4">
        <f t="shared" si="8"/>
        <v>12908.64</v>
      </c>
      <c r="E286" s="2" t="s">
        <v>36</v>
      </c>
      <c r="F286" s="4">
        <v>4172.13</v>
      </c>
      <c r="G286" s="4">
        <v>0</v>
      </c>
      <c r="H286" s="3">
        <v>46067</v>
      </c>
      <c r="I286" s="4">
        <v>1258.72</v>
      </c>
      <c r="J286" s="2" t="s">
        <v>4823</v>
      </c>
      <c r="K286" s="3">
        <v>46054</v>
      </c>
      <c r="L286" s="2">
        <f>IF(G286&lt;=0,0,MAX(0,Assumptions!$B$3-K286))</f>
        <v>0</v>
      </c>
      <c r="M286" s="2" t="str">
        <f t="shared" si="9"/>
        <v>Current</v>
      </c>
      <c r="N286" s="4">
        <v>0</v>
      </c>
      <c r="O286" s="2" t="s">
        <v>78</v>
      </c>
      <c r="P286" s="2" t="s">
        <v>36</v>
      </c>
    </row>
    <row r="287" spans="1:16" x14ac:dyDescent="0.2">
      <c r="A287" s="2" t="s">
        <v>1753</v>
      </c>
      <c r="B287" s="2" t="s">
        <v>1754</v>
      </c>
      <c r="C287" s="4">
        <v>1075.72</v>
      </c>
      <c r="D287" s="4">
        <f t="shared" si="8"/>
        <v>12908.64</v>
      </c>
      <c r="E287" s="2" t="s">
        <v>78</v>
      </c>
      <c r="F287" s="4">
        <v>0</v>
      </c>
      <c r="G287" s="4">
        <v>25</v>
      </c>
      <c r="H287" s="3">
        <v>46067</v>
      </c>
      <c r="I287" s="4">
        <v>1188.82</v>
      </c>
      <c r="J287" s="2" t="s">
        <v>4826</v>
      </c>
      <c r="K287" s="3">
        <v>46054</v>
      </c>
      <c r="L287" s="2">
        <f>IF(G287&lt;=0,0,MAX(0,Assumptions!$B$3-K287))</f>
        <v>0</v>
      </c>
      <c r="M287" s="2" t="str">
        <f t="shared" si="9"/>
        <v>30 days</v>
      </c>
      <c r="N287" s="4">
        <v>0</v>
      </c>
      <c r="O287" s="2" t="s">
        <v>78</v>
      </c>
      <c r="P287" s="2" t="s">
        <v>78</v>
      </c>
    </row>
    <row r="288" spans="1:16" x14ac:dyDescent="0.2">
      <c r="A288" s="2" t="s">
        <v>1759</v>
      </c>
      <c r="B288" s="2" t="s">
        <v>1760</v>
      </c>
      <c r="C288" s="4">
        <v>1075.72</v>
      </c>
      <c r="D288" s="4">
        <f t="shared" si="8"/>
        <v>12908.64</v>
      </c>
      <c r="E288" s="2" t="s">
        <v>78</v>
      </c>
      <c r="F288" s="4">
        <v>0</v>
      </c>
      <c r="G288" s="4">
        <v>0</v>
      </c>
      <c r="H288" s="3">
        <v>46067</v>
      </c>
      <c r="I288" s="4">
        <v>1155.21</v>
      </c>
      <c r="J288" s="2" t="s">
        <v>4824</v>
      </c>
      <c r="K288" s="3">
        <v>46054</v>
      </c>
      <c r="L288" s="2">
        <f>IF(G288&lt;=0,0,MAX(0,Assumptions!$B$3-K288))</f>
        <v>0</v>
      </c>
      <c r="M288" s="2" t="str">
        <f t="shared" si="9"/>
        <v>Current</v>
      </c>
      <c r="N288" s="4">
        <v>0</v>
      </c>
      <c r="O288" s="2" t="s">
        <v>78</v>
      </c>
      <c r="P288" s="2" t="s">
        <v>36</v>
      </c>
    </row>
    <row r="289" spans="1:16" x14ac:dyDescent="0.2">
      <c r="A289" s="2" t="s">
        <v>1766</v>
      </c>
      <c r="B289" s="2" t="s">
        <v>1767</v>
      </c>
      <c r="C289" s="4">
        <v>1075.72</v>
      </c>
      <c r="D289" s="4">
        <f t="shared" si="8"/>
        <v>12908.64</v>
      </c>
      <c r="E289" s="2" t="s">
        <v>78</v>
      </c>
      <c r="F289" s="4">
        <v>0</v>
      </c>
      <c r="G289" s="4">
        <v>25</v>
      </c>
      <c r="H289" s="3">
        <v>46048</v>
      </c>
      <c r="I289" s="4">
        <v>1198.7</v>
      </c>
      <c r="J289" s="2" t="s">
        <v>4826</v>
      </c>
      <c r="K289" s="3">
        <v>46054</v>
      </c>
      <c r="L289" s="2">
        <f>IF(G289&lt;=0,0,MAX(0,Assumptions!$B$3-K289))</f>
        <v>0</v>
      </c>
      <c r="M289" s="2" t="str">
        <f t="shared" si="9"/>
        <v>30 days</v>
      </c>
      <c r="N289" s="4">
        <v>0</v>
      </c>
      <c r="O289" s="2" t="s">
        <v>78</v>
      </c>
      <c r="P289" s="2" t="s">
        <v>78</v>
      </c>
    </row>
    <row r="290" spans="1:16" x14ac:dyDescent="0.2">
      <c r="A290" s="2" t="s">
        <v>1772</v>
      </c>
      <c r="B290" s="2" t="s">
        <v>1773</v>
      </c>
      <c r="C290" s="4">
        <v>1485.52</v>
      </c>
      <c r="D290" s="4">
        <f t="shared" si="8"/>
        <v>17826.239999999998</v>
      </c>
      <c r="E290" s="2" t="s">
        <v>78</v>
      </c>
      <c r="F290" s="4">
        <v>0</v>
      </c>
      <c r="G290" s="4">
        <v>0</v>
      </c>
      <c r="H290" s="3">
        <v>46032</v>
      </c>
      <c r="I290" s="4">
        <v>1542.11</v>
      </c>
      <c r="J290" s="2" t="s">
        <v>4823</v>
      </c>
      <c r="K290" s="3">
        <v>46054</v>
      </c>
      <c r="L290" s="2">
        <f>IF(G290&lt;=0,0,MAX(0,Assumptions!$B$3-K290))</f>
        <v>0</v>
      </c>
      <c r="M290" s="2" t="str">
        <f t="shared" si="9"/>
        <v>Current</v>
      </c>
      <c r="N290" s="4">
        <v>0</v>
      </c>
      <c r="O290" s="2" t="s">
        <v>78</v>
      </c>
      <c r="P290" s="2" t="s">
        <v>36</v>
      </c>
    </row>
    <row r="291" spans="1:16" x14ac:dyDescent="0.2">
      <c r="A291" s="2" t="s">
        <v>1778</v>
      </c>
      <c r="B291" s="2" t="s">
        <v>1779</v>
      </c>
      <c r="C291" s="4">
        <v>745.3</v>
      </c>
      <c r="D291" s="4">
        <f t="shared" si="8"/>
        <v>8943.5999999999985</v>
      </c>
      <c r="E291" s="2" t="s">
        <v>78</v>
      </c>
      <c r="F291" s="4">
        <v>0</v>
      </c>
      <c r="G291" s="4">
        <v>0</v>
      </c>
      <c r="H291" s="3">
        <v>46054</v>
      </c>
      <c r="I291" s="4">
        <v>706.78</v>
      </c>
      <c r="J291" s="2" t="s">
        <v>4827</v>
      </c>
      <c r="K291" s="3">
        <v>46054</v>
      </c>
      <c r="L291" s="2">
        <f>IF(G291&lt;=0,0,MAX(0,Assumptions!$B$3-K291))</f>
        <v>0</v>
      </c>
      <c r="M291" s="2" t="str">
        <f t="shared" si="9"/>
        <v>Current</v>
      </c>
      <c r="N291" s="4">
        <v>0</v>
      </c>
      <c r="O291" s="2" t="s">
        <v>78</v>
      </c>
      <c r="P291" s="2" t="s">
        <v>36</v>
      </c>
    </row>
    <row r="292" spans="1:16" x14ac:dyDescent="0.2">
      <c r="A292" s="2" t="s">
        <v>1786</v>
      </c>
      <c r="B292" s="2" t="s">
        <v>278</v>
      </c>
      <c r="C292" s="4">
        <v>745.3</v>
      </c>
      <c r="D292" s="4">
        <f t="shared" si="8"/>
        <v>8943.5999999999985</v>
      </c>
      <c r="E292" s="2" t="s">
        <v>78</v>
      </c>
      <c r="F292" s="4">
        <v>0</v>
      </c>
      <c r="G292" s="4">
        <v>0</v>
      </c>
      <c r="H292" s="3">
        <v>46054</v>
      </c>
      <c r="I292" s="4">
        <v>723.03</v>
      </c>
      <c r="J292" s="2" t="s">
        <v>4823</v>
      </c>
      <c r="K292" s="3">
        <v>46054</v>
      </c>
      <c r="L292" s="2">
        <f>IF(G292&lt;=0,0,MAX(0,Assumptions!$B$3-K292))</f>
        <v>0</v>
      </c>
      <c r="M292" s="2" t="str">
        <f t="shared" si="9"/>
        <v>Current</v>
      </c>
      <c r="N292" s="4">
        <v>0</v>
      </c>
      <c r="O292" s="2" t="s">
        <v>78</v>
      </c>
      <c r="P292" s="2" t="s">
        <v>36</v>
      </c>
    </row>
    <row r="293" spans="1:16" x14ac:dyDescent="0.2">
      <c r="A293" s="2" t="s">
        <v>1791</v>
      </c>
      <c r="B293" s="2" t="s">
        <v>1773</v>
      </c>
      <c r="C293" s="4">
        <v>745.3</v>
      </c>
      <c r="D293" s="4">
        <f t="shared" si="8"/>
        <v>8943.5999999999985</v>
      </c>
      <c r="E293" s="2" t="s">
        <v>78</v>
      </c>
      <c r="F293" s="4">
        <v>0</v>
      </c>
      <c r="G293" s="4">
        <v>0</v>
      </c>
      <c r="H293" s="3">
        <v>46047</v>
      </c>
      <c r="I293" s="4">
        <v>701.66</v>
      </c>
      <c r="J293" s="2" t="s">
        <v>4826</v>
      </c>
      <c r="K293" s="3">
        <v>46054</v>
      </c>
      <c r="L293" s="2">
        <f>IF(G293&lt;=0,0,MAX(0,Assumptions!$B$3-K293))</f>
        <v>0</v>
      </c>
      <c r="M293" s="2" t="str">
        <f t="shared" si="9"/>
        <v>Current</v>
      </c>
      <c r="N293" s="4">
        <v>0</v>
      </c>
      <c r="O293" s="2" t="s">
        <v>78</v>
      </c>
      <c r="P293" s="2" t="s">
        <v>36</v>
      </c>
    </row>
    <row r="294" spans="1:16" x14ac:dyDescent="0.2">
      <c r="A294" s="2" t="s">
        <v>1795</v>
      </c>
      <c r="B294" s="2" t="s">
        <v>757</v>
      </c>
      <c r="C294" s="4">
        <v>745.3</v>
      </c>
      <c r="D294" s="4">
        <f t="shared" si="8"/>
        <v>8943.5999999999985</v>
      </c>
      <c r="E294" s="2" t="s">
        <v>36</v>
      </c>
      <c r="F294" s="4">
        <v>6486.88</v>
      </c>
      <c r="G294" s="4">
        <v>25</v>
      </c>
      <c r="H294" s="3">
        <v>46031</v>
      </c>
      <c r="I294" s="4">
        <v>809.89</v>
      </c>
      <c r="J294" s="2" t="s">
        <v>4827</v>
      </c>
      <c r="K294" s="3">
        <v>46054</v>
      </c>
      <c r="L294" s="2">
        <f>IF(G294&lt;=0,0,MAX(0,Assumptions!$B$3-K294))</f>
        <v>0</v>
      </c>
      <c r="M294" s="2" t="str">
        <f t="shared" si="9"/>
        <v>30 days</v>
      </c>
      <c r="N294" s="4">
        <v>0</v>
      </c>
      <c r="O294" s="2" t="s">
        <v>78</v>
      </c>
      <c r="P294" s="2" t="s">
        <v>78</v>
      </c>
    </row>
    <row r="295" spans="1:16" x14ac:dyDescent="0.2">
      <c r="A295" s="2" t="s">
        <v>1800</v>
      </c>
      <c r="B295" s="2" t="s">
        <v>1622</v>
      </c>
      <c r="C295" s="4">
        <v>745.3</v>
      </c>
      <c r="D295" s="4">
        <f t="shared" si="8"/>
        <v>8943.5999999999985</v>
      </c>
      <c r="E295" s="2" t="s">
        <v>78</v>
      </c>
      <c r="F295" s="4">
        <v>0</v>
      </c>
      <c r="G295" s="4">
        <v>0</v>
      </c>
      <c r="H295" s="3">
        <v>46053</v>
      </c>
      <c r="I295" s="4">
        <v>762.61</v>
      </c>
      <c r="J295" s="2" t="s">
        <v>4826</v>
      </c>
      <c r="K295" s="3">
        <v>46054</v>
      </c>
      <c r="L295" s="2">
        <f>IF(G295&lt;=0,0,MAX(0,Assumptions!$B$3-K295))</f>
        <v>0</v>
      </c>
      <c r="M295" s="2" t="str">
        <f t="shared" si="9"/>
        <v>Current</v>
      </c>
      <c r="N295" s="4">
        <v>0</v>
      </c>
      <c r="O295" s="2" t="s">
        <v>78</v>
      </c>
      <c r="P295" s="2" t="s">
        <v>36</v>
      </c>
    </row>
    <row r="296" spans="1:16" x14ac:dyDescent="0.2">
      <c r="A296" s="2" t="s">
        <v>1807</v>
      </c>
      <c r="B296" s="2" t="s">
        <v>1808</v>
      </c>
      <c r="C296" s="4">
        <v>745.3</v>
      </c>
      <c r="D296" s="4">
        <f t="shared" si="8"/>
        <v>8943.5999999999985</v>
      </c>
      <c r="E296" s="2" t="s">
        <v>78</v>
      </c>
      <c r="F296" s="4">
        <v>0</v>
      </c>
      <c r="G296" s="4">
        <v>0</v>
      </c>
      <c r="H296" s="3">
        <v>46067</v>
      </c>
      <c r="I296" s="4">
        <v>618.42999999999995</v>
      </c>
      <c r="J296" s="2" t="s">
        <v>4826</v>
      </c>
      <c r="K296" s="3">
        <v>46054</v>
      </c>
      <c r="L296" s="2">
        <f>IF(G296&lt;=0,0,MAX(0,Assumptions!$B$3-K296))</f>
        <v>0</v>
      </c>
      <c r="M296" s="2" t="str">
        <f t="shared" si="9"/>
        <v>Current</v>
      </c>
      <c r="N296" s="4">
        <v>0</v>
      </c>
      <c r="O296" s="2" t="s">
        <v>78</v>
      </c>
      <c r="P296" s="2" t="s">
        <v>78</v>
      </c>
    </row>
    <row r="297" spans="1:16" x14ac:dyDescent="0.2">
      <c r="A297" s="2" t="s">
        <v>1813</v>
      </c>
      <c r="B297" s="2" t="s">
        <v>1814</v>
      </c>
      <c r="C297" s="4">
        <v>914.92</v>
      </c>
      <c r="D297" s="4">
        <f t="shared" si="8"/>
        <v>10979.039999999999</v>
      </c>
      <c r="E297" s="2" t="s">
        <v>78</v>
      </c>
      <c r="F297" s="4">
        <v>0</v>
      </c>
      <c r="G297" s="4">
        <v>0</v>
      </c>
      <c r="H297" s="3">
        <v>46071</v>
      </c>
      <c r="I297" s="4">
        <v>1017.84</v>
      </c>
      <c r="J297" s="2" t="s">
        <v>4823</v>
      </c>
      <c r="K297" s="3">
        <v>46054</v>
      </c>
      <c r="L297" s="2">
        <f>IF(G297&lt;=0,0,MAX(0,Assumptions!$B$3-K297))</f>
        <v>0</v>
      </c>
      <c r="M297" s="2" t="str">
        <f t="shared" si="9"/>
        <v>Current</v>
      </c>
      <c r="N297" s="4">
        <v>0</v>
      </c>
      <c r="O297" s="2" t="s">
        <v>78</v>
      </c>
      <c r="P297" s="2" t="s">
        <v>78</v>
      </c>
    </row>
    <row r="298" spans="1:16" x14ac:dyDescent="0.2">
      <c r="A298" s="2" t="s">
        <v>1819</v>
      </c>
      <c r="B298" s="2" t="s">
        <v>1820</v>
      </c>
      <c r="C298" s="4">
        <v>914.92</v>
      </c>
      <c r="D298" s="4">
        <f t="shared" si="8"/>
        <v>10979.039999999999</v>
      </c>
      <c r="E298" s="2" t="s">
        <v>78</v>
      </c>
      <c r="F298" s="4">
        <v>0</v>
      </c>
      <c r="G298" s="4">
        <v>0</v>
      </c>
      <c r="H298" s="3">
        <v>46035</v>
      </c>
      <c r="I298" s="4">
        <v>946.44</v>
      </c>
      <c r="J298" s="2" t="s">
        <v>4825</v>
      </c>
      <c r="K298" s="3">
        <v>46054</v>
      </c>
      <c r="L298" s="2">
        <f>IF(G298&lt;=0,0,MAX(0,Assumptions!$B$3-K298))</f>
        <v>0</v>
      </c>
      <c r="M298" s="2" t="str">
        <f t="shared" si="9"/>
        <v>Current</v>
      </c>
      <c r="N298" s="4">
        <v>0</v>
      </c>
      <c r="O298" s="2" t="s">
        <v>78</v>
      </c>
      <c r="P298" s="2" t="s">
        <v>78</v>
      </c>
    </row>
    <row r="299" spans="1:16" x14ac:dyDescent="0.2">
      <c r="A299" s="2" t="s">
        <v>1824</v>
      </c>
      <c r="B299" s="2" t="s">
        <v>1059</v>
      </c>
      <c r="C299" s="4">
        <v>914.92</v>
      </c>
      <c r="D299" s="4">
        <f t="shared" si="8"/>
        <v>10979.039999999999</v>
      </c>
      <c r="E299" s="2" t="s">
        <v>78</v>
      </c>
      <c r="F299" s="4">
        <v>0</v>
      </c>
      <c r="G299" s="4">
        <v>-50</v>
      </c>
      <c r="H299" s="3">
        <v>46045</v>
      </c>
      <c r="I299" s="4">
        <v>1069.95</v>
      </c>
      <c r="J299" s="2" t="s">
        <v>4825</v>
      </c>
      <c r="K299" s="3">
        <v>46054</v>
      </c>
      <c r="L299" s="2">
        <f>IF(G299&lt;=0,0,MAX(0,Assumptions!$B$3-K299))</f>
        <v>0</v>
      </c>
      <c r="M299" s="2" t="str">
        <f t="shared" si="9"/>
        <v>Current</v>
      </c>
      <c r="N299" s="4">
        <v>0</v>
      </c>
      <c r="O299" s="2" t="s">
        <v>78</v>
      </c>
      <c r="P299" s="2" t="s">
        <v>78</v>
      </c>
    </row>
    <row r="300" spans="1:16" x14ac:dyDescent="0.2">
      <c r="A300" s="2" t="s">
        <v>1829</v>
      </c>
      <c r="B300" s="2" t="s">
        <v>1010</v>
      </c>
      <c r="C300" s="4">
        <v>914.92</v>
      </c>
      <c r="D300" s="4">
        <f t="shared" si="8"/>
        <v>10979.039999999999</v>
      </c>
      <c r="E300" s="2" t="s">
        <v>36</v>
      </c>
      <c r="F300" s="4">
        <v>8806.02</v>
      </c>
      <c r="G300" s="4">
        <v>0</v>
      </c>
      <c r="H300" s="3">
        <v>46064</v>
      </c>
      <c r="I300" s="4">
        <v>1051.77</v>
      </c>
      <c r="J300" s="2" t="s">
        <v>4824</v>
      </c>
      <c r="K300" s="3">
        <v>46054</v>
      </c>
      <c r="L300" s="2">
        <f>IF(G300&lt;=0,0,MAX(0,Assumptions!$B$3-K300))</f>
        <v>0</v>
      </c>
      <c r="M300" s="2" t="str">
        <f t="shared" si="9"/>
        <v>Current</v>
      </c>
      <c r="N300" s="4">
        <v>0</v>
      </c>
      <c r="O300" s="2" t="s">
        <v>78</v>
      </c>
      <c r="P300" s="2" t="s">
        <v>78</v>
      </c>
    </row>
    <row r="301" spans="1:16" x14ac:dyDescent="0.2">
      <c r="A301" s="2" t="s">
        <v>1833</v>
      </c>
      <c r="B301" s="2" t="s">
        <v>1834</v>
      </c>
      <c r="C301" s="4">
        <v>914.92</v>
      </c>
      <c r="D301" s="4">
        <f t="shared" si="8"/>
        <v>10979.039999999999</v>
      </c>
      <c r="E301" s="2" t="s">
        <v>36</v>
      </c>
      <c r="F301" s="4">
        <v>2584.4299999999998</v>
      </c>
      <c r="G301" s="4">
        <v>15</v>
      </c>
      <c r="H301" s="3">
        <v>46031</v>
      </c>
      <c r="I301" s="4">
        <v>827.35</v>
      </c>
      <c r="J301" s="2" t="s">
        <v>4824</v>
      </c>
      <c r="K301" s="3">
        <v>46054</v>
      </c>
      <c r="L301" s="2">
        <f>IF(G301&lt;=0,0,MAX(0,Assumptions!$B$3-K301))</f>
        <v>0</v>
      </c>
      <c r="M301" s="2" t="str">
        <f t="shared" si="9"/>
        <v>30 days</v>
      </c>
      <c r="N301" s="4">
        <v>0</v>
      </c>
      <c r="O301" s="2" t="s">
        <v>78</v>
      </c>
      <c r="P301" s="2" t="s">
        <v>36</v>
      </c>
    </row>
    <row r="302" spans="1:16" x14ac:dyDescent="0.2">
      <c r="A302" s="2" t="s">
        <v>1838</v>
      </c>
      <c r="B302" s="2" t="s">
        <v>1326</v>
      </c>
      <c r="C302" s="4">
        <v>914.92</v>
      </c>
      <c r="D302" s="4">
        <f t="shared" si="8"/>
        <v>10979.039999999999</v>
      </c>
      <c r="E302" s="2" t="s">
        <v>36</v>
      </c>
      <c r="F302" s="4">
        <v>7044.2</v>
      </c>
      <c r="G302" s="4">
        <v>-50</v>
      </c>
      <c r="H302" s="3">
        <v>46050</v>
      </c>
      <c r="I302" s="4">
        <v>1063.17</v>
      </c>
      <c r="J302" s="2" t="s">
        <v>4823</v>
      </c>
      <c r="K302" s="3">
        <v>46054</v>
      </c>
      <c r="L302" s="2">
        <f>IF(G302&lt;=0,0,MAX(0,Assumptions!$B$3-K302))</f>
        <v>0</v>
      </c>
      <c r="M302" s="2" t="str">
        <f t="shared" si="9"/>
        <v>Current</v>
      </c>
      <c r="N302" s="4">
        <v>0</v>
      </c>
      <c r="O302" s="2" t="s">
        <v>78</v>
      </c>
      <c r="P302" s="2" t="s">
        <v>78</v>
      </c>
    </row>
    <row r="303" spans="1:16" x14ac:dyDescent="0.2">
      <c r="A303" s="2" t="s">
        <v>1843</v>
      </c>
      <c r="B303" s="2" t="s">
        <v>1844</v>
      </c>
      <c r="C303" s="4">
        <v>1079.4000000000001</v>
      </c>
      <c r="D303" s="4">
        <f t="shared" si="8"/>
        <v>12952.800000000001</v>
      </c>
      <c r="E303" s="2" t="s">
        <v>78</v>
      </c>
      <c r="F303" s="4">
        <v>0</v>
      </c>
      <c r="G303" s="4">
        <v>25</v>
      </c>
      <c r="H303" s="3">
        <v>46044</v>
      </c>
      <c r="I303" s="4">
        <v>1019.91</v>
      </c>
      <c r="J303" s="2" t="s">
        <v>4826</v>
      </c>
      <c r="K303" s="3">
        <v>46054</v>
      </c>
      <c r="L303" s="2">
        <f>IF(G303&lt;=0,0,MAX(0,Assumptions!$B$3-K303))</f>
        <v>0</v>
      </c>
      <c r="M303" s="2" t="str">
        <f t="shared" si="9"/>
        <v>30 days</v>
      </c>
      <c r="N303" s="4">
        <v>0</v>
      </c>
      <c r="O303" s="2" t="s">
        <v>78</v>
      </c>
      <c r="P303" s="2" t="s">
        <v>36</v>
      </c>
    </row>
    <row r="304" spans="1:16" x14ac:dyDescent="0.2">
      <c r="A304" s="2" t="s">
        <v>1849</v>
      </c>
      <c r="B304" s="2" t="s">
        <v>904</v>
      </c>
      <c r="C304" s="4">
        <v>1079.4000000000001</v>
      </c>
      <c r="D304" s="4">
        <f t="shared" si="8"/>
        <v>12952.800000000001</v>
      </c>
      <c r="E304" s="2" t="s">
        <v>78</v>
      </c>
      <c r="F304" s="4">
        <v>0</v>
      </c>
      <c r="G304" s="4">
        <v>0</v>
      </c>
      <c r="H304" s="3">
        <v>46065</v>
      </c>
      <c r="I304" s="4">
        <v>914.98</v>
      </c>
      <c r="J304" s="2" t="s">
        <v>4823</v>
      </c>
      <c r="K304" s="3">
        <v>46054</v>
      </c>
      <c r="L304" s="2">
        <f>IF(G304&lt;=0,0,MAX(0,Assumptions!$B$3-K304))</f>
        <v>0</v>
      </c>
      <c r="M304" s="2" t="str">
        <f t="shared" si="9"/>
        <v>Current</v>
      </c>
      <c r="N304" s="4">
        <v>0</v>
      </c>
      <c r="O304" s="2" t="s">
        <v>78</v>
      </c>
      <c r="P304" s="2" t="s">
        <v>78</v>
      </c>
    </row>
    <row r="305" spans="1:16" x14ac:dyDescent="0.2">
      <c r="A305" s="2" t="s">
        <v>1855</v>
      </c>
      <c r="B305" s="2" t="s">
        <v>1856</v>
      </c>
      <c r="C305" s="4">
        <v>1079.4000000000001</v>
      </c>
      <c r="D305" s="4">
        <f t="shared" si="8"/>
        <v>12952.800000000001</v>
      </c>
      <c r="E305" s="2" t="s">
        <v>78</v>
      </c>
      <c r="F305" s="4">
        <v>0</v>
      </c>
      <c r="G305" s="4">
        <v>15</v>
      </c>
      <c r="H305" s="3">
        <v>46070</v>
      </c>
      <c r="I305" s="4">
        <v>1257.71</v>
      </c>
      <c r="J305" s="2" t="s">
        <v>4824</v>
      </c>
      <c r="K305" s="3">
        <v>46054</v>
      </c>
      <c r="L305" s="2">
        <f>IF(G305&lt;=0,0,MAX(0,Assumptions!$B$3-K305))</f>
        <v>0</v>
      </c>
      <c r="M305" s="2" t="str">
        <f t="shared" si="9"/>
        <v>30 days</v>
      </c>
      <c r="N305" s="4">
        <v>0</v>
      </c>
      <c r="O305" s="2" t="s">
        <v>78</v>
      </c>
      <c r="P305" s="2" t="s">
        <v>78</v>
      </c>
    </row>
    <row r="306" spans="1:16" x14ac:dyDescent="0.2">
      <c r="A306" s="2" t="s">
        <v>1860</v>
      </c>
      <c r="B306" s="2" t="s">
        <v>1861</v>
      </c>
      <c r="C306" s="4">
        <v>1079.4000000000001</v>
      </c>
      <c r="D306" s="4">
        <f t="shared" si="8"/>
        <v>12952.800000000001</v>
      </c>
      <c r="E306" s="2" t="s">
        <v>78</v>
      </c>
      <c r="F306" s="4">
        <v>0</v>
      </c>
      <c r="G306" s="4">
        <v>15</v>
      </c>
      <c r="H306" s="3">
        <v>46053</v>
      </c>
      <c r="I306" s="4">
        <v>1204.67</v>
      </c>
      <c r="J306" s="2" t="s">
        <v>4823</v>
      </c>
      <c r="K306" s="3">
        <v>46054</v>
      </c>
      <c r="L306" s="2">
        <f>IF(G306&lt;=0,0,MAX(0,Assumptions!$B$3-K306))</f>
        <v>0</v>
      </c>
      <c r="M306" s="2" t="str">
        <f t="shared" si="9"/>
        <v>30 days</v>
      </c>
      <c r="N306" s="4">
        <v>0</v>
      </c>
      <c r="O306" s="2" t="s">
        <v>78</v>
      </c>
      <c r="P306" s="2" t="s">
        <v>78</v>
      </c>
    </row>
    <row r="307" spans="1:16" x14ac:dyDescent="0.2">
      <c r="A307" s="2" t="s">
        <v>1867</v>
      </c>
      <c r="B307" s="2" t="s">
        <v>814</v>
      </c>
      <c r="C307" s="4">
        <v>1490.6</v>
      </c>
      <c r="D307" s="4">
        <f t="shared" si="8"/>
        <v>17887.199999999997</v>
      </c>
      <c r="E307" s="2" t="s">
        <v>36</v>
      </c>
      <c r="F307" s="4">
        <v>1142.2</v>
      </c>
      <c r="G307" s="4">
        <v>0</v>
      </c>
      <c r="H307" s="3">
        <v>46038</v>
      </c>
      <c r="I307" s="4">
        <v>1657.9</v>
      </c>
      <c r="J307" s="2" t="s">
        <v>4824</v>
      </c>
      <c r="K307" s="3">
        <v>46054</v>
      </c>
      <c r="L307" s="2">
        <f>IF(G307&lt;=0,0,MAX(0,Assumptions!$B$3-K307))</f>
        <v>0</v>
      </c>
      <c r="M307" s="2" t="str">
        <f t="shared" si="9"/>
        <v>Current</v>
      </c>
      <c r="N307" s="4">
        <v>0</v>
      </c>
      <c r="O307" s="2" t="s">
        <v>78</v>
      </c>
      <c r="P307" s="2" t="s">
        <v>36</v>
      </c>
    </row>
    <row r="308" spans="1:16" x14ac:dyDescent="0.2">
      <c r="A308" s="2" t="s">
        <v>1872</v>
      </c>
      <c r="B308" s="2" t="s">
        <v>1873</v>
      </c>
      <c r="C308" s="4">
        <v>747.84</v>
      </c>
      <c r="D308" s="4">
        <f t="shared" si="8"/>
        <v>8974.08</v>
      </c>
      <c r="E308" s="2" t="s">
        <v>78</v>
      </c>
      <c r="F308" s="4">
        <v>0</v>
      </c>
      <c r="G308" s="4">
        <v>0</v>
      </c>
      <c r="H308" s="3">
        <v>46034</v>
      </c>
      <c r="I308" s="4">
        <v>792.76</v>
      </c>
      <c r="J308" s="2" t="s">
        <v>4826</v>
      </c>
      <c r="K308" s="3">
        <v>46054</v>
      </c>
      <c r="L308" s="2">
        <f>IF(G308&lt;=0,0,MAX(0,Assumptions!$B$3-K308))</f>
        <v>0</v>
      </c>
      <c r="M308" s="2" t="str">
        <f t="shared" si="9"/>
        <v>Current</v>
      </c>
      <c r="N308" s="4">
        <v>0</v>
      </c>
      <c r="O308" s="2" t="s">
        <v>78</v>
      </c>
      <c r="P308" s="2" t="s">
        <v>78</v>
      </c>
    </row>
    <row r="309" spans="1:16" x14ac:dyDescent="0.2">
      <c r="A309" s="2" t="s">
        <v>1877</v>
      </c>
      <c r="B309" s="2" t="s">
        <v>1878</v>
      </c>
      <c r="C309" s="4">
        <v>747.84</v>
      </c>
      <c r="D309" s="4">
        <f t="shared" si="8"/>
        <v>8974.08</v>
      </c>
      <c r="E309" s="2" t="s">
        <v>78</v>
      </c>
      <c r="F309" s="4">
        <v>0</v>
      </c>
      <c r="G309" s="4">
        <v>0</v>
      </c>
      <c r="H309" s="3">
        <v>46044</v>
      </c>
      <c r="I309" s="4">
        <v>733.27</v>
      </c>
      <c r="J309" s="2" t="s">
        <v>4826</v>
      </c>
      <c r="K309" s="3">
        <v>46054</v>
      </c>
      <c r="L309" s="2">
        <f>IF(G309&lt;=0,0,MAX(0,Assumptions!$B$3-K309))</f>
        <v>0</v>
      </c>
      <c r="M309" s="2" t="str">
        <f t="shared" si="9"/>
        <v>Current</v>
      </c>
      <c r="N309" s="4">
        <v>0</v>
      </c>
      <c r="O309" s="2" t="s">
        <v>78</v>
      </c>
      <c r="P309" s="2" t="s">
        <v>78</v>
      </c>
    </row>
    <row r="310" spans="1:16" x14ac:dyDescent="0.2">
      <c r="A310" s="2" t="s">
        <v>1882</v>
      </c>
      <c r="B310" s="2" t="s">
        <v>1883</v>
      </c>
      <c r="C310" s="4">
        <v>747.84</v>
      </c>
      <c r="D310" s="4">
        <f t="shared" si="8"/>
        <v>8974.08</v>
      </c>
      <c r="E310" s="2" t="s">
        <v>78</v>
      </c>
      <c r="F310" s="4">
        <v>0</v>
      </c>
      <c r="G310" s="4">
        <v>-50</v>
      </c>
      <c r="H310" s="3">
        <v>46044</v>
      </c>
      <c r="I310" s="4">
        <v>756.13</v>
      </c>
      <c r="J310" s="2" t="s">
        <v>4823</v>
      </c>
      <c r="K310" s="3">
        <v>46054</v>
      </c>
      <c r="L310" s="2">
        <f>IF(G310&lt;=0,0,MAX(0,Assumptions!$B$3-K310))</f>
        <v>0</v>
      </c>
      <c r="M310" s="2" t="str">
        <f t="shared" si="9"/>
        <v>Current</v>
      </c>
      <c r="N310" s="4">
        <v>0</v>
      </c>
      <c r="O310" s="2" t="s">
        <v>78</v>
      </c>
      <c r="P310" s="2" t="s">
        <v>36</v>
      </c>
    </row>
    <row r="311" spans="1:16" x14ac:dyDescent="0.2">
      <c r="A311" s="2" t="s">
        <v>1888</v>
      </c>
      <c r="B311" s="2" t="s">
        <v>571</v>
      </c>
      <c r="C311" s="4">
        <v>747.84</v>
      </c>
      <c r="D311" s="4">
        <f t="shared" si="8"/>
        <v>8974.08</v>
      </c>
      <c r="E311" s="2" t="s">
        <v>78</v>
      </c>
      <c r="F311" s="4">
        <v>0</v>
      </c>
      <c r="G311" s="4">
        <v>0</v>
      </c>
      <c r="H311" s="3">
        <v>46072</v>
      </c>
      <c r="I311" s="4">
        <v>600.83000000000004</v>
      </c>
      <c r="J311" s="2" t="s">
        <v>4827</v>
      </c>
      <c r="K311" s="3">
        <v>46054</v>
      </c>
      <c r="L311" s="2">
        <f>IF(G311&lt;=0,0,MAX(0,Assumptions!$B$3-K311))</f>
        <v>0</v>
      </c>
      <c r="M311" s="2" t="str">
        <f t="shared" si="9"/>
        <v>Current</v>
      </c>
      <c r="N311" s="4">
        <v>0</v>
      </c>
      <c r="O311" s="2" t="s">
        <v>78</v>
      </c>
      <c r="P311" s="2" t="s">
        <v>36</v>
      </c>
    </row>
    <row r="312" spans="1:16" x14ac:dyDescent="0.2">
      <c r="A312" s="2" t="s">
        <v>1893</v>
      </c>
      <c r="B312" s="2" t="s">
        <v>1894</v>
      </c>
      <c r="C312" s="4">
        <v>747.84</v>
      </c>
      <c r="D312" s="4">
        <f t="shared" si="8"/>
        <v>8974.08</v>
      </c>
      <c r="E312" s="2" t="s">
        <v>78</v>
      </c>
      <c r="F312" s="4">
        <v>0</v>
      </c>
      <c r="G312" s="4">
        <v>-50</v>
      </c>
      <c r="H312" s="3">
        <v>46039</v>
      </c>
      <c r="I312" s="4">
        <v>735.2</v>
      </c>
      <c r="J312" s="2" t="s">
        <v>4826</v>
      </c>
      <c r="K312" s="3">
        <v>46054</v>
      </c>
      <c r="L312" s="2">
        <f>IF(G312&lt;=0,0,MAX(0,Assumptions!$B$3-K312))</f>
        <v>0</v>
      </c>
      <c r="M312" s="2" t="str">
        <f t="shared" si="9"/>
        <v>Current</v>
      </c>
      <c r="N312" s="4">
        <v>0</v>
      </c>
      <c r="O312" s="2" t="s">
        <v>78</v>
      </c>
      <c r="P312" s="2" t="s">
        <v>36</v>
      </c>
    </row>
    <row r="313" spans="1:16" x14ac:dyDescent="0.2">
      <c r="A313" s="2" t="s">
        <v>1898</v>
      </c>
      <c r="B313" s="2" t="s">
        <v>1899</v>
      </c>
      <c r="C313" s="4">
        <v>747.84</v>
      </c>
      <c r="D313" s="4">
        <f t="shared" si="8"/>
        <v>8974.08</v>
      </c>
      <c r="E313" s="2" t="s">
        <v>78</v>
      </c>
      <c r="F313" s="4">
        <v>0</v>
      </c>
      <c r="G313" s="4">
        <v>0</v>
      </c>
      <c r="H313" s="3">
        <v>46061</v>
      </c>
      <c r="I313" s="4">
        <v>829.5</v>
      </c>
      <c r="J313" s="2" t="s">
        <v>4826</v>
      </c>
      <c r="K313" s="3">
        <v>46054</v>
      </c>
      <c r="L313" s="2">
        <f>IF(G313&lt;=0,0,MAX(0,Assumptions!$B$3-K313))</f>
        <v>0</v>
      </c>
      <c r="M313" s="2" t="str">
        <f t="shared" si="9"/>
        <v>Current</v>
      </c>
      <c r="N313" s="4">
        <v>0</v>
      </c>
      <c r="O313" s="2" t="s">
        <v>78</v>
      </c>
      <c r="P313" s="2" t="s">
        <v>78</v>
      </c>
    </row>
    <row r="314" spans="1:16" x14ac:dyDescent="0.2">
      <c r="A314" s="2" t="s">
        <v>1904</v>
      </c>
      <c r="B314" s="2" t="s">
        <v>1122</v>
      </c>
      <c r="C314" s="4">
        <v>918.04</v>
      </c>
      <c r="D314" s="4">
        <f t="shared" si="8"/>
        <v>11016.48</v>
      </c>
      <c r="E314" s="2" t="s">
        <v>78</v>
      </c>
      <c r="F314" s="4">
        <v>0</v>
      </c>
      <c r="G314" s="4">
        <v>0</v>
      </c>
      <c r="H314" s="3">
        <v>46065</v>
      </c>
      <c r="I314" s="4">
        <v>932.76</v>
      </c>
      <c r="J314" s="2" t="s">
        <v>4825</v>
      </c>
      <c r="K314" s="3">
        <v>46054</v>
      </c>
      <c r="L314" s="2">
        <f>IF(G314&lt;=0,0,MAX(0,Assumptions!$B$3-K314))</f>
        <v>0</v>
      </c>
      <c r="M314" s="2" t="str">
        <f t="shared" si="9"/>
        <v>Current</v>
      </c>
      <c r="N314" s="4">
        <v>0</v>
      </c>
      <c r="O314" s="2" t="s">
        <v>78</v>
      </c>
      <c r="P314" s="2" t="s">
        <v>36</v>
      </c>
    </row>
    <row r="315" spans="1:16" x14ac:dyDescent="0.2">
      <c r="A315" s="2" t="s">
        <v>1908</v>
      </c>
      <c r="B315" s="2" t="s">
        <v>1909</v>
      </c>
      <c r="C315" s="4">
        <v>918.04</v>
      </c>
      <c r="D315" s="4">
        <f t="shared" si="8"/>
        <v>11016.48</v>
      </c>
      <c r="E315" s="2" t="s">
        <v>78</v>
      </c>
      <c r="F315" s="4">
        <v>0</v>
      </c>
      <c r="G315" s="4">
        <v>25</v>
      </c>
      <c r="H315" s="3">
        <v>46061</v>
      </c>
      <c r="I315" s="4">
        <v>845.67</v>
      </c>
      <c r="J315" s="2" t="s">
        <v>4823</v>
      </c>
      <c r="K315" s="3">
        <v>46054</v>
      </c>
      <c r="L315" s="2">
        <f>IF(G315&lt;=0,0,MAX(0,Assumptions!$B$3-K315))</f>
        <v>0</v>
      </c>
      <c r="M315" s="2" t="str">
        <f t="shared" si="9"/>
        <v>30 days</v>
      </c>
      <c r="N315" s="4">
        <v>0</v>
      </c>
      <c r="O315" s="2" t="s">
        <v>78</v>
      </c>
      <c r="P315" s="2" t="s">
        <v>36</v>
      </c>
    </row>
    <row r="316" spans="1:16" x14ac:dyDescent="0.2">
      <c r="A316" s="2" t="s">
        <v>1915</v>
      </c>
      <c r="B316" s="2" t="s">
        <v>1097</v>
      </c>
      <c r="C316" s="4">
        <v>918.04</v>
      </c>
      <c r="D316" s="4">
        <f t="shared" si="8"/>
        <v>11016.48</v>
      </c>
      <c r="E316" s="2" t="s">
        <v>78</v>
      </c>
      <c r="F316" s="4">
        <v>0</v>
      </c>
      <c r="G316" s="4">
        <v>-50</v>
      </c>
      <c r="H316" s="3">
        <v>46072</v>
      </c>
      <c r="I316" s="4">
        <v>784.86</v>
      </c>
      <c r="J316" s="2" t="s">
        <v>4823</v>
      </c>
      <c r="K316" s="3">
        <v>46054</v>
      </c>
      <c r="L316" s="2">
        <f>IF(G316&lt;=0,0,MAX(0,Assumptions!$B$3-K316))</f>
        <v>0</v>
      </c>
      <c r="M316" s="2" t="str">
        <f t="shared" si="9"/>
        <v>Current</v>
      </c>
      <c r="N316" s="4">
        <v>0</v>
      </c>
      <c r="O316" s="2" t="s">
        <v>78</v>
      </c>
      <c r="P316" s="2" t="s">
        <v>36</v>
      </c>
    </row>
    <row r="317" spans="1:16" x14ac:dyDescent="0.2">
      <c r="A317" s="2" t="s">
        <v>1922</v>
      </c>
      <c r="B317" s="2" t="s">
        <v>1923</v>
      </c>
      <c r="C317" s="4">
        <v>918.04</v>
      </c>
      <c r="D317" s="4">
        <f t="shared" si="8"/>
        <v>11016.48</v>
      </c>
      <c r="E317" s="2" t="s">
        <v>36</v>
      </c>
      <c r="F317" s="4">
        <v>7874.03</v>
      </c>
      <c r="G317" s="4">
        <v>25</v>
      </c>
      <c r="H317" s="3">
        <v>46049</v>
      </c>
      <c r="I317" s="4">
        <v>752.5</v>
      </c>
      <c r="J317" s="2" t="s">
        <v>4823</v>
      </c>
      <c r="K317" s="3">
        <v>46054</v>
      </c>
      <c r="L317" s="2">
        <f>IF(G317&lt;=0,0,MAX(0,Assumptions!$B$3-K317))</f>
        <v>0</v>
      </c>
      <c r="M317" s="2" t="str">
        <f t="shared" si="9"/>
        <v>30 days</v>
      </c>
      <c r="N317" s="4">
        <v>0</v>
      </c>
      <c r="O317" s="2" t="s">
        <v>78</v>
      </c>
      <c r="P317" s="2" t="s">
        <v>78</v>
      </c>
    </row>
    <row r="318" spans="1:16" x14ac:dyDescent="0.2">
      <c r="A318" s="2" t="s">
        <v>1927</v>
      </c>
      <c r="B318" s="2" t="s">
        <v>1928</v>
      </c>
      <c r="C318" s="4">
        <v>918.04</v>
      </c>
      <c r="D318" s="4">
        <f t="shared" si="8"/>
        <v>11016.48</v>
      </c>
      <c r="E318" s="2" t="s">
        <v>78</v>
      </c>
      <c r="F318" s="4">
        <v>0</v>
      </c>
      <c r="G318" s="4">
        <v>0</v>
      </c>
      <c r="H318" s="3">
        <v>46068</v>
      </c>
      <c r="I318" s="4">
        <v>1090.3499999999999</v>
      </c>
      <c r="J318" s="2" t="s">
        <v>4824</v>
      </c>
      <c r="K318" s="3">
        <v>46054</v>
      </c>
      <c r="L318" s="2">
        <f>IF(G318&lt;=0,0,MAX(0,Assumptions!$B$3-K318))</f>
        <v>0</v>
      </c>
      <c r="M318" s="2" t="str">
        <f t="shared" si="9"/>
        <v>Current</v>
      </c>
      <c r="N318" s="4">
        <v>0</v>
      </c>
      <c r="O318" s="2" t="s">
        <v>78</v>
      </c>
      <c r="P318" s="2" t="s">
        <v>36</v>
      </c>
    </row>
    <row r="319" spans="1:16" x14ac:dyDescent="0.2">
      <c r="A319" s="2" t="s">
        <v>1933</v>
      </c>
      <c r="B319" s="2" t="s">
        <v>1934</v>
      </c>
      <c r="C319" s="4">
        <v>918.04</v>
      </c>
      <c r="D319" s="4">
        <f t="shared" si="8"/>
        <v>11016.48</v>
      </c>
      <c r="E319" s="2" t="s">
        <v>36</v>
      </c>
      <c r="F319" s="4">
        <v>6931.15</v>
      </c>
      <c r="G319" s="4">
        <v>0</v>
      </c>
      <c r="H319" s="3">
        <v>46042</v>
      </c>
      <c r="I319" s="4">
        <v>1006.41</v>
      </c>
      <c r="J319" s="2" t="s">
        <v>4827</v>
      </c>
      <c r="K319" s="3">
        <v>46054</v>
      </c>
      <c r="L319" s="2">
        <f>IF(G319&lt;=0,0,MAX(0,Assumptions!$B$3-K319))</f>
        <v>0</v>
      </c>
      <c r="M319" s="2" t="str">
        <f t="shared" si="9"/>
        <v>Current</v>
      </c>
      <c r="N319" s="4">
        <v>0</v>
      </c>
      <c r="O319" s="2" t="s">
        <v>78</v>
      </c>
      <c r="P319" s="2" t="s">
        <v>78</v>
      </c>
    </row>
    <row r="320" spans="1:16" x14ac:dyDescent="0.2">
      <c r="A320" s="2" t="s">
        <v>1939</v>
      </c>
      <c r="B320" s="2" t="s">
        <v>1940</v>
      </c>
      <c r="C320" s="4">
        <v>1083.08</v>
      </c>
      <c r="D320" s="4">
        <f t="shared" si="8"/>
        <v>12996.96</v>
      </c>
      <c r="E320" s="2" t="s">
        <v>78</v>
      </c>
      <c r="F320" s="4">
        <v>0</v>
      </c>
      <c r="G320" s="4">
        <v>0</v>
      </c>
      <c r="H320" s="3">
        <v>46041</v>
      </c>
      <c r="I320" s="4">
        <v>1022.37</v>
      </c>
      <c r="J320" s="2" t="s">
        <v>4827</v>
      </c>
      <c r="K320" s="3">
        <v>46054</v>
      </c>
      <c r="L320" s="2">
        <f>IF(G320&lt;=0,0,MAX(0,Assumptions!$B$3-K320))</f>
        <v>0</v>
      </c>
      <c r="M320" s="2" t="str">
        <f t="shared" si="9"/>
        <v>Current</v>
      </c>
      <c r="N320" s="4">
        <v>0</v>
      </c>
      <c r="O320" s="2" t="s">
        <v>78</v>
      </c>
      <c r="P320" s="2" t="s">
        <v>36</v>
      </c>
    </row>
    <row r="321" spans="1:16" x14ac:dyDescent="0.2">
      <c r="A321" s="2" t="s">
        <v>1945</v>
      </c>
      <c r="B321" s="2" t="s">
        <v>1685</v>
      </c>
      <c r="C321" s="4">
        <v>1083.08</v>
      </c>
      <c r="D321" s="4">
        <f t="shared" si="8"/>
        <v>12996.96</v>
      </c>
      <c r="E321" s="2" t="s">
        <v>36</v>
      </c>
      <c r="F321" s="4">
        <v>3730.25</v>
      </c>
      <c r="G321" s="4">
        <v>0</v>
      </c>
      <c r="H321" s="3">
        <v>46048</v>
      </c>
      <c r="I321" s="4">
        <v>1283.05</v>
      </c>
      <c r="J321" s="2" t="s">
        <v>4825</v>
      </c>
      <c r="K321" s="3">
        <v>46054</v>
      </c>
      <c r="L321" s="2">
        <f>IF(G321&lt;=0,0,MAX(0,Assumptions!$B$3-K321))</f>
        <v>0</v>
      </c>
      <c r="M321" s="2" t="str">
        <f t="shared" si="9"/>
        <v>Current</v>
      </c>
      <c r="N321" s="4">
        <v>0</v>
      </c>
      <c r="O321" s="2" t="s">
        <v>78</v>
      </c>
      <c r="P321" s="2" t="s">
        <v>78</v>
      </c>
    </row>
    <row r="322" spans="1:16" x14ac:dyDescent="0.2">
      <c r="A322" s="2" t="s">
        <v>1952</v>
      </c>
      <c r="B322" s="2" t="s">
        <v>1953</v>
      </c>
      <c r="C322" s="4">
        <v>1083.08</v>
      </c>
      <c r="D322" s="4">
        <f t="shared" ref="D322:D385" si="10">C322*12</f>
        <v>12996.96</v>
      </c>
      <c r="E322" s="2" t="s">
        <v>78</v>
      </c>
      <c r="F322" s="4">
        <v>0</v>
      </c>
      <c r="G322" s="4">
        <v>0</v>
      </c>
      <c r="H322" s="3">
        <v>46032</v>
      </c>
      <c r="I322" s="4">
        <v>996.73</v>
      </c>
      <c r="J322" s="2" t="s">
        <v>4825</v>
      </c>
      <c r="K322" s="3">
        <v>46054</v>
      </c>
      <c r="L322" s="2">
        <f>IF(G322&lt;=0,0,MAX(0,Assumptions!$B$3-K322))</f>
        <v>0</v>
      </c>
      <c r="M322" s="2" t="str">
        <f t="shared" ref="M322:M385" si="11">IF(G322&lt;=0,"Current",IF(L322&lt;=30,"30 days",IF(L322&lt;=60,"60 days",IF(L322&lt;=90,"90 days","90+ days"))))</f>
        <v>Current</v>
      </c>
      <c r="N322" s="4">
        <v>0</v>
      </c>
      <c r="O322" s="2" t="s">
        <v>78</v>
      </c>
      <c r="P322" s="2" t="s">
        <v>78</v>
      </c>
    </row>
    <row r="323" spans="1:16" x14ac:dyDescent="0.2">
      <c r="A323" s="2" t="s">
        <v>1957</v>
      </c>
      <c r="B323" s="2" t="s">
        <v>1820</v>
      </c>
      <c r="C323" s="4">
        <v>1083.08</v>
      </c>
      <c r="D323" s="4">
        <f t="shared" si="10"/>
        <v>12996.96</v>
      </c>
      <c r="E323" s="2" t="s">
        <v>78</v>
      </c>
      <c r="F323" s="4">
        <v>0</v>
      </c>
      <c r="G323" s="4">
        <v>0</v>
      </c>
      <c r="H323" s="3">
        <v>46056</v>
      </c>
      <c r="I323" s="4">
        <v>1182.56</v>
      </c>
      <c r="J323" s="2" t="s">
        <v>4827</v>
      </c>
      <c r="K323" s="3">
        <v>46054</v>
      </c>
      <c r="L323" s="2">
        <f>IF(G323&lt;=0,0,MAX(0,Assumptions!$B$3-K323))</f>
        <v>0</v>
      </c>
      <c r="M323" s="2" t="str">
        <f t="shared" si="11"/>
        <v>Current</v>
      </c>
      <c r="N323" s="4">
        <v>0</v>
      </c>
      <c r="O323" s="2" t="s">
        <v>78</v>
      </c>
      <c r="P323" s="2" t="s">
        <v>78</v>
      </c>
    </row>
    <row r="324" spans="1:16" x14ac:dyDescent="0.2">
      <c r="A324" s="2" t="s">
        <v>1962</v>
      </c>
      <c r="B324" s="2" t="s">
        <v>1963</v>
      </c>
      <c r="C324" s="4">
        <v>1495.68</v>
      </c>
      <c r="D324" s="4">
        <f t="shared" si="10"/>
        <v>17948.16</v>
      </c>
      <c r="E324" s="2" t="s">
        <v>36</v>
      </c>
      <c r="F324" s="4">
        <v>4908.29</v>
      </c>
      <c r="G324" s="4">
        <v>3172.75</v>
      </c>
      <c r="H324" s="3">
        <v>45943</v>
      </c>
      <c r="I324" s="4">
        <v>154.41999999999999</v>
      </c>
      <c r="J324" s="2" t="s">
        <v>4827</v>
      </c>
      <c r="K324" s="3">
        <v>45994</v>
      </c>
      <c r="L324" s="2">
        <f>IF(G324&lt;=0,0,MAX(0,Assumptions!$B$3-K324))</f>
        <v>0</v>
      </c>
      <c r="M324" s="2" t="str">
        <f t="shared" si="11"/>
        <v>30 days</v>
      </c>
      <c r="N324" s="4">
        <v>25</v>
      </c>
      <c r="O324" s="2" t="s">
        <v>78</v>
      </c>
      <c r="P324" s="2" t="s">
        <v>78</v>
      </c>
    </row>
    <row r="325" spans="1:16" x14ac:dyDescent="0.2">
      <c r="A325" s="2" t="s">
        <v>1969</v>
      </c>
      <c r="B325" s="2" t="s">
        <v>1970</v>
      </c>
      <c r="C325" s="4">
        <v>750.37</v>
      </c>
      <c r="D325" s="4">
        <f t="shared" si="10"/>
        <v>9004.44</v>
      </c>
      <c r="E325" s="2" t="s">
        <v>78</v>
      </c>
      <c r="F325" s="4">
        <v>0</v>
      </c>
      <c r="G325" s="4">
        <v>0</v>
      </c>
      <c r="H325" s="3">
        <v>46062</v>
      </c>
      <c r="I325" s="4">
        <v>881.32</v>
      </c>
      <c r="J325" s="2" t="s">
        <v>4826</v>
      </c>
      <c r="K325" s="3">
        <v>46054</v>
      </c>
      <c r="L325" s="2">
        <f>IF(G325&lt;=0,0,MAX(0,Assumptions!$B$3-K325))</f>
        <v>0</v>
      </c>
      <c r="M325" s="2" t="str">
        <f t="shared" si="11"/>
        <v>Current</v>
      </c>
      <c r="N325" s="4">
        <v>0</v>
      </c>
      <c r="O325" s="2" t="s">
        <v>78</v>
      </c>
      <c r="P325" s="2" t="s">
        <v>36</v>
      </c>
    </row>
    <row r="326" spans="1:16" x14ac:dyDescent="0.2">
      <c r="A326" s="2" t="s">
        <v>1975</v>
      </c>
      <c r="B326" s="2" t="s">
        <v>345</v>
      </c>
      <c r="C326" s="4">
        <v>750.37</v>
      </c>
      <c r="D326" s="4">
        <f t="shared" si="10"/>
        <v>9004.44</v>
      </c>
      <c r="E326" s="2" t="s">
        <v>78</v>
      </c>
      <c r="F326" s="4">
        <v>0</v>
      </c>
      <c r="G326" s="4">
        <v>0</v>
      </c>
      <c r="H326" s="3">
        <v>46063</v>
      </c>
      <c r="I326" s="4">
        <v>609.29</v>
      </c>
      <c r="J326" s="2" t="s">
        <v>4826</v>
      </c>
      <c r="K326" s="3">
        <v>46054</v>
      </c>
      <c r="L326" s="2">
        <f>IF(G326&lt;=0,0,MAX(0,Assumptions!$B$3-K326))</f>
        <v>0</v>
      </c>
      <c r="M326" s="2" t="str">
        <f t="shared" si="11"/>
        <v>Current</v>
      </c>
      <c r="N326" s="4">
        <v>0</v>
      </c>
      <c r="O326" s="2" t="s">
        <v>78</v>
      </c>
      <c r="P326" s="2" t="s">
        <v>78</v>
      </c>
    </row>
    <row r="327" spans="1:16" x14ac:dyDescent="0.2">
      <c r="A327" s="2" t="s">
        <v>1980</v>
      </c>
      <c r="B327" s="2" t="s">
        <v>1981</v>
      </c>
      <c r="C327" s="4">
        <v>750.37</v>
      </c>
      <c r="D327" s="4">
        <f t="shared" si="10"/>
        <v>9004.44</v>
      </c>
      <c r="E327" s="2" t="s">
        <v>78</v>
      </c>
      <c r="F327" s="4">
        <v>0</v>
      </c>
      <c r="G327" s="4">
        <v>0</v>
      </c>
      <c r="H327" s="3">
        <v>46034</v>
      </c>
      <c r="I327" s="4">
        <v>696.67</v>
      </c>
      <c r="J327" s="2" t="s">
        <v>4825</v>
      </c>
      <c r="K327" s="3">
        <v>46054</v>
      </c>
      <c r="L327" s="2">
        <f>IF(G327&lt;=0,0,MAX(0,Assumptions!$B$3-K327))</f>
        <v>0</v>
      </c>
      <c r="M327" s="2" t="str">
        <f t="shared" si="11"/>
        <v>Current</v>
      </c>
      <c r="N327" s="4">
        <v>0</v>
      </c>
      <c r="O327" s="2" t="s">
        <v>78</v>
      </c>
      <c r="P327" s="2" t="s">
        <v>78</v>
      </c>
    </row>
    <row r="328" spans="1:16" x14ac:dyDescent="0.2">
      <c r="A328" s="2" t="s">
        <v>1986</v>
      </c>
      <c r="B328" s="2" t="s">
        <v>1987</v>
      </c>
      <c r="C328" s="4">
        <v>750.37</v>
      </c>
      <c r="D328" s="4">
        <f t="shared" si="10"/>
        <v>9004.44</v>
      </c>
      <c r="E328" s="2" t="s">
        <v>36</v>
      </c>
      <c r="F328" s="4">
        <v>7912.24</v>
      </c>
      <c r="G328" s="4">
        <v>0</v>
      </c>
      <c r="H328" s="3">
        <v>46071</v>
      </c>
      <c r="I328" s="4">
        <v>762.22</v>
      </c>
      <c r="J328" s="2" t="s">
        <v>4824</v>
      </c>
      <c r="K328" s="3">
        <v>46054</v>
      </c>
      <c r="L328" s="2">
        <f>IF(G328&lt;=0,0,MAX(0,Assumptions!$B$3-K328))</f>
        <v>0</v>
      </c>
      <c r="M328" s="2" t="str">
        <f t="shared" si="11"/>
        <v>Current</v>
      </c>
      <c r="N328" s="4">
        <v>0</v>
      </c>
      <c r="O328" s="2" t="s">
        <v>78</v>
      </c>
      <c r="P328" s="2" t="s">
        <v>78</v>
      </c>
    </row>
    <row r="329" spans="1:16" x14ac:dyDescent="0.2">
      <c r="A329" s="2" t="s">
        <v>1991</v>
      </c>
      <c r="B329" s="2" t="s">
        <v>1992</v>
      </c>
      <c r="C329" s="4">
        <v>750.37</v>
      </c>
      <c r="D329" s="4">
        <f t="shared" si="10"/>
        <v>9004.44</v>
      </c>
      <c r="E329" s="2" t="s">
        <v>36</v>
      </c>
      <c r="F329" s="4">
        <v>3463.66</v>
      </c>
      <c r="G329" s="4">
        <v>25</v>
      </c>
      <c r="H329" s="3">
        <v>46068</v>
      </c>
      <c r="I329" s="4">
        <v>726.32</v>
      </c>
      <c r="J329" s="2" t="s">
        <v>4825</v>
      </c>
      <c r="K329" s="3">
        <v>46054</v>
      </c>
      <c r="L329" s="2">
        <f>IF(G329&lt;=0,0,MAX(0,Assumptions!$B$3-K329))</f>
        <v>0</v>
      </c>
      <c r="M329" s="2" t="str">
        <f t="shared" si="11"/>
        <v>30 days</v>
      </c>
      <c r="N329" s="4">
        <v>0</v>
      </c>
      <c r="O329" s="2" t="s">
        <v>78</v>
      </c>
      <c r="P329" s="2" t="s">
        <v>36</v>
      </c>
    </row>
    <row r="330" spans="1:16" x14ac:dyDescent="0.2">
      <c r="A330" s="2" t="s">
        <v>1997</v>
      </c>
      <c r="B330" s="2" t="s">
        <v>1998</v>
      </c>
      <c r="C330" s="4">
        <v>750.37</v>
      </c>
      <c r="D330" s="4">
        <f t="shared" si="10"/>
        <v>9004.44</v>
      </c>
      <c r="E330" s="2" t="s">
        <v>78</v>
      </c>
      <c r="F330" s="4">
        <v>0</v>
      </c>
      <c r="G330" s="4">
        <v>15</v>
      </c>
      <c r="H330" s="3">
        <v>46045</v>
      </c>
      <c r="I330" s="4">
        <v>640.64</v>
      </c>
      <c r="J330" s="2" t="s">
        <v>4824</v>
      </c>
      <c r="K330" s="3">
        <v>46054</v>
      </c>
      <c r="L330" s="2">
        <f>IF(G330&lt;=0,0,MAX(0,Assumptions!$B$3-K330))</f>
        <v>0</v>
      </c>
      <c r="M330" s="2" t="str">
        <f t="shared" si="11"/>
        <v>30 days</v>
      </c>
      <c r="N330" s="4">
        <v>0</v>
      </c>
      <c r="O330" s="2" t="s">
        <v>78</v>
      </c>
      <c r="P330" s="2" t="s">
        <v>78</v>
      </c>
    </row>
    <row r="331" spans="1:16" x14ac:dyDescent="0.2">
      <c r="A331" s="2" t="s">
        <v>2002</v>
      </c>
      <c r="B331" s="2" t="s">
        <v>1808</v>
      </c>
      <c r="C331" s="4">
        <v>921.15</v>
      </c>
      <c r="D331" s="4">
        <f t="shared" si="10"/>
        <v>11053.8</v>
      </c>
      <c r="E331" s="2" t="s">
        <v>78</v>
      </c>
      <c r="F331" s="4">
        <v>0</v>
      </c>
      <c r="G331" s="4">
        <v>0</v>
      </c>
      <c r="H331" s="3">
        <v>46065</v>
      </c>
      <c r="I331" s="4">
        <v>855.89</v>
      </c>
      <c r="J331" s="2" t="s">
        <v>4824</v>
      </c>
      <c r="K331" s="3">
        <v>46054</v>
      </c>
      <c r="L331" s="2">
        <f>IF(G331&lt;=0,0,MAX(0,Assumptions!$B$3-K331))</f>
        <v>0</v>
      </c>
      <c r="M331" s="2" t="str">
        <f t="shared" si="11"/>
        <v>Current</v>
      </c>
      <c r="N331" s="4">
        <v>0</v>
      </c>
      <c r="O331" s="2" t="s">
        <v>78</v>
      </c>
      <c r="P331" s="2" t="s">
        <v>36</v>
      </c>
    </row>
    <row r="332" spans="1:16" x14ac:dyDescent="0.2">
      <c r="A332" s="2" t="s">
        <v>2006</v>
      </c>
      <c r="B332" s="2" t="s">
        <v>2007</v>
      </c>
      <c r="C332" s="4">
        <v>921.15</v>
      </c>
      <c r="D332" s="4">
        <f t="shared" si="10"/>
        <v>11053.8</v>
      </c>
      <c r="E332" s="2" t="s">
        <v>78</v>
      </c>
      <c r="F332" s="4">
        <v>0</v>
      </c>
      <c r="G332" s="4">
        <v>0</v>
      </c>
      <c r="H332" s="3">
        <v>46042</v>
      </c>
      <c r="I332" s="4">
        <v>1012.79</v>
      </c>
      <c r="J332" s="2" t="s">
        <v>4824</v>
      </c>
      <c r="K332" s="3">
        <v>46054</v>
      </c>
      <c r="L332" s="2">
        <f>IF(G332&lt;=0,0,MAX(0,Assumptions!$B$3-K332))</f>
        <v>0</v>
      </c>
      <c r="M332" s="2" t="str">
        <f t="shared" si="11"/>
        <v>Current</v>
      </c>
      <c r="N332" s="4">
        <v>0</v>
      </c>
      <c r="O332" s="2" t="s">
        <v>78</v>
      </c>
      <c r="P332" s="2" t="s">
        <v>78</v>
      </c>
    </row>
    <row r="333" spans="1:16" x14ac:dyDescent="0.2">
      <c r="A333" s="2" t="s">
        <v>2012</v>
      </c>
      <c r="B333" s="2" t="s">
        <v>2013</v>
      </c>
      <c r="C333" s="4">
        <v>921.15</v>
      </c>
      <c r="D333" s="4">
        <f t="shared" si="10"/>
        <v>11053.8</v>
      </c>
      <c r="E333" s="2" t="s">
        <v>36</v>
      </c>
      <c r="F333" s="4">
        <v>8509.4599999999991</v>
      </c>
      <c r="G333" s="4">
        <v>25</v>
      </c>
      <c r="H333" s="3">
        <v>46031</v>
      </c>
      <c r="I333" s="4">
        <v>767.2</v>
      </c>
      <c r="J333" s="2" t="s">
        <v>4825</v>
      </c>
      <c r="K333" s="3">
        <v>46054</v>
      </c>
      <c r="L333" s="2">
        <f>IF(G333&lt;=0,0,MAX(0,Assumptions!$B$3-K333))</f>
        <v>0</v>
      </c>
      <c r="M333" s="2" t="str">
        <f t="shared" si="11"/>
        <v>30 days</v>
      </c>
      <c r="N333" s="4">
        <v>0</v>
      </c>
      <c r="O333" s="2" t="s">
        <v>78</v>
      </c>
      <c r="P333" s="2" t="s">
        <v>36</v>
      </c>
    </row>
    <row r="334" spans="1:16" x14ac:dyDescent="0.2">
      <c r="A334" s="2" t="s">
        <v>2019</v>
      </c>
      <c r="B334" s="2" t="s">
        <v>80</v>
      </c>
      <c r="C334" s="4">
        <v>921.15</v>
      </c>
      <c r="D334" s="4">
        <f t="shared" si="10"/>
        <v>11053.8</v>
      </c>
      <c r="E334" s="2" t="s">
        <v>78</v>
      </c>
      <c r="F334" s="4">
        <v>0</v>
      </c>
      <c r="G334" s="4">
        <v>25</v>
      </c>
      <c r="H334" s="3">
        <v>46059</v>
      </c>
      <c r="I334" s="4">
        <v>829.28</v>
      </c>
      <c r="J334" s="2" t="s">
        <v>4827</v>
      </c>
      <c r="K334" s="3">
        <v>46054</v>
      </c>
      <c r="L334" s="2">
        <f>IF(G334&lt;=0,0,MAX(0,Assumptions!$B$3-K334))</f>
        <v>0</v>
      </c>
      <c r="M334" s="2" t="str">
        <f t="shared" si="11"/>
        <v>30 days</v>
      </c>
      <c r="N334" s="4">
        <v>0</v>
      </c>
      <c r="O334" s="2" t="s">
        <v>78</v>
      </c>
      <c r="P334" s="2" t="s">
        <v>36</v>
      </c>
    </row>
    <row r="335" spans="1:16" x14ac:dyDescent="0.2">
      <c r="A335" s="2" t="s">
        <v>2025</v>
      </c>
      <c r="B335" s="2" t="s">
        <v>2026</v>
      </c>
      <c r="C335" s="4">
        <v>921.15</v>
      </c>
      <c r="D335" s="4">
        <f t="shared" si="10"/>
        <v>11053.8</v>
      </c>
      <c r="E335" s="2" t="s">
        <v>78</v>
      </c>
      <c r="F335" s="4">
        <v>0</v>
      </c>
      <c r="G335" s="4">
        <v>15</v>
      </c>
      <c r="H335" s="3">
        <v>46040</v>
      </c>
      <c r="I335" s="4">
        <v>949.58</v>
      </c>
      <c r="J335" s="2" t="s">
        <v>4827</v>
      </c>
      <c r="K335" s="3">
        <v>46054</v>
      </c>
      <c r="L335" s="2">
        <f>IF(G335&lt;=0,0,MAX(0,Assumptions!$B$3-K335))</f>
        <v>0</v>
      </c>
      <c r="M335" s="2" t="str">
        <f t="shared" si="11"/>
        <v>30 days</v>
      </c>
      <c r="N335" s="4">
        <v>0</v>
      </c>
      <c r="O335" s="2" t="s">
        <v>78</v>
      </c>
      <c r="P335" s="2" t="s">
        <v>78</v>
      </c>
    </row>
    <row r="336" spans="1:16" x14ac:dyDescent="0.2">
      <c r="A336" s="2" t="s">
        <v>2030</v>
      </c>
      <c r="B336" s="2" t="s">
        <v>2031</v>
      </c>
      <c r="C336" s="4">
        <v>921.15</v>
      </c>
      <c r="D336" s="4">
        <f t="shared" si="10"/>
        <v>11053.8</v>
      </c>
      <c r="E336" s="2" t="s">
        <v>78</v>
      </c>
      <c r="F336" s="4">
        <v>0</v>
      </c>
      <c r="G336" s="4">
        <v>0</v>
      </c>
      <c r="H336" s="3">
        <v>46036</v>
      </c>
      <c r="I336" s="4">
        <v>1008.26</v>
      </c>
      <c r="J336" s="2" t="s">
        <v>4825</v>
      </c>
      <c r="K336" s="3">
        <v>46054</v>
      </c>
      <c r="L336" s="2">
        <f>IF(G336&lt;=0,0,MAX(0,Assumptions!$B$3-K336))</f>
        <v>0</v>
      </c>
      <c r="M336" s="2" t="str">
        <f t="shared" si="11"/>
        <v>Current</v>
      </c>
      <c r="N336" s="4">
        <v>0</v>
      </c>
      <c r="O336" s="2" t="s">
        <v>78</v>
      </c>
      <c r="P336" s="2" t="s">
        <v>36</v>
      </c>
    </row>
    <row r="337" spans="1:16" x14ac:dyDescent="0.2">
      <c r="A337" s="2" t="s">
        <v>2037</v>
      </c>
      <c r="B337" s="2" t="s">
        <v>2038</v>
      </c>
      <c r="C337" s="4">
        <v>1086.75</v>
      </c>
      <c r="D337" s="4">
        <f t="shared" si="10"/>
        <v>13041</v>
      </c>
      <c r="E337" s="2" t="s">
        <v>78</v>
      </c>
      <c r="F337" s="4">
        <v>0</v>
      </c>
      <c r="G337" s="4">
        <v>25</v>
      </c>
      <c r="H337" s="3">
        <v>46062</v>
      </c>
      <c r="I337" s="4">
        <v>875.63</v>
      </c>
      <c r="J337" s="2" t="s">
        <v>4825</v>
      </c>
      <c r="K337" s="3">
        <v>46054</v>
      </c>
      <c r="L337" s="2">
        <f>IF(G337&lt;=0,0,MAX(0,Assumptions!$B$3-K337))</f>
        <v>0</v>
      </c>
      <c r="M337" s="2" t="str">
        <f t="shared" si="11"/>
        <v>30 days</v>
      </c>
      <c r="N337" s="4">
        <v>0</v>
      </c>
      <c r="O337" s="2" t="s">
        <v>78</v>
      </c>
      <c r="P337" s="2" t="s">
        <v>78</v>
      </c>
    </row>
    <row r="338" spans="1:16" x14ac:dyDescent="0.2">
      <c r="A338" s="2" t="s">
        <v>2044</v>
      </c>
      <c r="B338" s="2" t="s">
        <v>1067</v>
      </c>
      <c r="C338" s="4">
        <v>1086.75</v>
      </c>
      <c r="D338" s="4">
        <f t="shared" si="10"/>
        <v>13041</v>
      </c>
      <c r="E338" s="2" t="s">
        <v>78</v>
      </c>
      <c r="F338" s="4">
        <v>0</v>
      </c>
      <c r="G338" s="4">
        <v>0</v>
      </c>
      <c r="H338" s="3">
        <v>46037</v>
      </c>
      <c r="I338" s="4">
        <v>1078.3900000000001</v>
      </c>
      <c r="J338" s="2" t="s">
        <v>4827</v>
      </c>
      <c r="K338" s="3">
        <v>46054</v>
      </c>
      <c r="L338" s="2">
        <f>IF(G338&lt;=0,0,MAX(0,Assumptions!$B$3-K338))</f>
        <v>0</v>
      </c>
      <c r="M338" s="2" t="str">
        <f t="shared" si="11"/>
        <v>Current</v>
      </c>
      <c r="N338" s="4">
        <v>0</v>
      </c>
      <c r="O338" s="2" t="s">
        <v>78</v>
      </c>
      <c r="P338" s="2" t="s">
        <v>36</v>
      </c>
    </row>
    <row r="339" spans="1:16" x14ac:dyDescent="0.2">
      <c r="A339" s="2" t="s">
        <v>2049</v>
      </c>
      <c r="B339" s="2" t="s">
        <v>369</v>
      </c>
      <c r="C339" s="4">
        <v>1086.75</v>
      </c>
      <c r="D339" s="4">
        <f t="shared" si="10"/>
        <v>13041</v>
      </c>
      <c r="E339" s="2" t="s">
        <v>78</v>
      </c>
      <c r="F339" s="4">
        <v>0</v>
      </c>
      <c r="G339" s="4">
        <v>0</v>
      </c>
      <c r="H339" s="3">
        <v>46045</v>
      </c>
      <c r="I339" s="4">
        <v>1300.93</v>
      </c>
      <c r="J339" s="2" t="s">
        <v>4823</v>
      </c>
      <c r="K339" s="3">
        <v>46054</v>
      </c>
      <c r="L339" s="2">
        <f>IF(G339&lt;=0,0,MAX(0,Assumptions!$B$3-K339))</f>
        <v>0</v>
      </c>
      <c r="M339" s="2" t="str">
        <f t="shared" si="11"/>
        <v>Current</v>
      </c>
      <c r="N339" s="4">
        <v>0</v>
      </c>
      <c r="O339" s="2" t="s">
        <v>78</v>
      </c>
      <c r="P339" s="2" t="s">
        <v>78</v>
      </c>
    </row>
    <row r="340" spans="1:16" x14ac:dyDescent="0.2">
      <c r="A340" s="2" t="s">
        <v>2054</v>
      </c>
      <c r="B340" s="2" t="s">
        <v>2055</v>
      </c>
      <c r="C340" s="4">
        <v>1086.75</v>
      </c>
      <c r="D340" s="4">
        <f t="shared" si="10"/>
        <v>13041</v>
      </c>
      <c r="E340" s="2" t="s">
        <v>36</v>
      </c>
      <c r="F340" s="4">
        <v>2874.09</v>
      </c>
      <c r="G340" s="4">
        <v>15</v>
      </c>
      <c r="H340" s="3">
        <v>46052</v>
      </c>
      <c r="I340" s="4">
        <v>1016</v>
      </c>
      <c r="J340" s="2" t="s">
        <v>4826</v>
      </c>
      <c r="K340" s="3">
        <v>46054</v>
      </c>
      <c r="L340" s="2">
        <f>IF(G340&lt;=0,0,MAX(0,Assumptions!$B$3-K340))</f>
        <v>0</v>
      </c>
      <c r="M340" s="2" t="str">
        <f t="shared" si="11"/>
        <v>30 days</v>
      </c>
      <c r="N340" s="4">
        <v>0</v>
      </c>
      <c r="O340" s="2" t="s">
        <v>78</v>
      </c>
      <c r="P340" s="2" t="s">
        <v>78</v>
      </c>
    </row>
    <row r="341" spans="1:16" x14ac:dyDescent="0.2">
      <c r="A341" s="2" t="s">
        <v>2059</v>
      </c>
      <c r="B341" s="2" t="s">
        <v>2060</v>
      </c>
      <c r="C341" s="4">
        <v>1500.75</v>
      </c>
      <c r="D341" s="4">
        <f t="shared" si="10"/>
        <v>18009</v>
      </c>
      <c r="E341" s="2" t="s">
        <v>78</v>
      </c>
      <c r="F341" s="4">
        <v>0</v>
      </c>
      <c r="G341" s="4">
        <v>15</v>
      </c>
      <c r="H341" s="3">
        <v>46044</v>
      </c>
      <c r="I341" s="4">
        <v>1598.75</v>
      </c>
      <c r="J341" s="2" t="s">
        <v>4827</v>
      </c>
      <c r="K341" s="3">
        <v>46054</v>
      </c>
      <c r="L341" s="2">
        <f>IF(G341&lt;=0,0,MAX(0,Assumptions!$B$3-K341))</f>
        <v>0</v>
      </c>
      <c r="M341" s="2" t="str">
        <f t="shared" si="11"/>
        <v>30 days</v>
      </c>
      <c r="N341" s="4">
        <v>0</v>
      </c>
      <c r="O341" s="2" t="s">
        <v>78</v>
      </c>
      <c r="P341" s="2" t="s">
        <v>78</v>
      </c>
    </row>
    <row r="342" spans="1:16" x14ac:dyDescent="0.2">
      <c r="A342" s="2" t="s">
        <v>2066</v>
      </c>
      <c r="B342" s="2" t="s">
        <v>2067</v>
      </c>
      <c r="C342" s="4">
        <v>752.91</v>
      </c>
      <c r="D342" s="4">
        <f t="shared" si="10"/>
        <v>9034.92</v>
      </c>
      <c r="E342" s="2" t="s">
        <v>78</v>
      </c>
      <c r="F342" s="4">
        <v>0</v>
      </c>
      <c r="G342" s="4">
        <v>0</v>
      </c>
      <c r="H342" s="3">
        <v>46032</v>
      </c>
      <c r="I342" s="4">
        <v>609.98</v>
      </c>
      <c r="J342" s="2" t="s">
        <v>4824</v>
      </c>
      <c r="K342" s="3">
        <v>46054</v>
      </c>
      <c r="L342" s="2">
        <f>IF(G342&lt;=0,0,MAX(0,Assumptions!$B$3-K342))</f>
        <v>0</v>
      </c>
      <c r="M342" s="2" t="str">
        <f t="shared" si="11"/>
        <v>Current</v>
      </c>
      <c r="N342" s="4">
        <v>0</v>
      </c>
      <c r="O342" s="2" t="s">
        <v>78</v>
      </c>
      <c r="P342" s="2" t="s">
        <v>36</v>
      </c>
    </row>
    <row r="343" spans="1:16" x14ac:dyDescent="0.2">
      <c r="A343" s="2" t="s">
        <v>2071</v>
      </c>
      <c r="B343" s="2" t="s">
        <v>2072</v>
      </c>
      <c r="C343" s="4">
        <v>752.91</v>
      </c>
      <c r="D343" s="4">
        <f t="shared" si="10"/>
        <v>9034.92</v>
      </c>
      <c r="E343" s="2" t="s">
        <v>78</v>
      </c>
      <c r="F343" s="4">
        <v>0</v>
      </c>
      <c r="G343" s="4">
        <v>0</v>
      </c>
      <c r="H343" s="3">
        <v>46066</v>
      </c>
      <c r="I343" s="4">
        <v>768.11</v>
      </c>
      <c r="J343" s="2" t="s">
        <v>4827</v>
      </c>
      <c r="K343" s="3">
        <v>46054</v>
      </c>
      <c r="L343" s="2">
        <f>IF(G343&lt;=0,0,MAX(0,Assumptions!$B$3-K343))</f>
        <v>0</v>
      </c>
      <c r="M343" s="2" t="str">
        <f t="shared" si="11"/>
        <v>Current</v>
      </c>
      <c r="N343" s="4">
        <v>0</v>
      </c>
      <c r="O343" s="2" t="s">
        <v>78</v>
      </c>
      <c r="P343" s="2" t="s">
        <v>36</v>
      </c>
    </row>
    <row r="344" spans="1:16" x14ac:dyDescent="0.2">
      <c r="A344" s="2" t="s">
        <v>2078</v>
      </c>
      <c r="B344" s="2" t="s">
        <v>2079</v>
      </c>
      <c r="C344" s="4">
        <v>752.91</v>
      </c>
      <c r="D344" s="4">
        <f t="shared" si="10"/>
        <v>9034.92</v>
      </c>
      <c r="E344" s="2" t="s">
        <v>78</v>
      </c>
      <c r="F344" s="4">
        <v>0</v>
      </c>
      <c r="G344" s="4">
        <v>15</v>
      </c>
      <c r="H344" s="3">
        <v>46068</v>
      </c>
      <c r="I344" s="4">
        <v>893.34</v>
      </c>
      <c r="J344" s="2" t="s">
        <v>4824</v>
      </c>
      <c r="K344" s="3">
        <v>46054</v>
      </c>
      <c r="L344" s="2">
        <f>IF(G344&lt;=0,0,MAX(0,Assumptions!$B$3-K344))</f>
        <v>0</v>
      </c>
      <c r="M344" s="2" t="str">
        <f t="shared" si="11"/>
        <v>30 days</v>
      </c>
      <c r="N344" s="4">
        <v>0</v>
      </c>
      <c r="O344" s="2" t="s">
        <v>78</v>
      </c>
      <c r="P344" s="2" t="s">
        <v>36</v>
      </c>
    </row>
    <row r="345" spans="1:16" x14ac:dyDescent="0.2">
      <c r="A345" s="2" t="s">
        <v>2083</v>
      </c>
      <c r="B345" s="2" t="s">
        <v>1085</v>
      </c>
      <c r="C345" s="4">
        <v>752.91</v>
      </c>
      <c r="D345" s="4">
        <f t="shared" si="10"/>
        <v>9034.92</v>
      </c>
      <c r="E345" s="2" t="s">
        <v>78</v>
      </c>
      <c r="F345" s="4">
        <v>0</v>
      </c>
      <c r="G345" s="4">
        <v>15</v>
      </c>
      <c r="H345" s="3">
        <v>46061</v>
      </c>
      <c r="I345" s="4">
        <v>645.01</v>
      </c>
      <c r="J345" s="2" t="s">
        <v>4826</v>
      </c>
      <c r="K345" s="3">
        <v>46054</v>
      </c>
      <c r="L345" s="2">
        <f>IF(G345&lt;=0,0,MAX(0,Assumptions!$B$3-K345))</f>
        <v>0</v>
      </c>
      <c r="M345" s="2" t="str">
        <f t="shared" si="11"/>
        <v>30 days</v>
      </c>
      <c r="N345" s="4">
        <v>0</v>
      </c>
      <c r="O345" s="2" t="s">
        <v>78</v>
      </c>
      <c r="P345" s="2" t="s">
        <v>78</v>
      </c>
    </row>
    <row r="346" spans="1:16" x14ac:dyDescent="0.2">
      <c r="A346" s="2" t="s">
        <v>2088</v>
      </c>
      <c r="B346" s="2" t="s">
        <v>2089</v>
      </c>
      <c r="C346" s="4">
        <v>752.91</v>
      </c>
      <c r="D346" s="4">
        <f t="shared" si="10"/>
        <v>9034.92</v>
      </c>
      <c r="E346" s="2" t="s">
        <v>78</v>
      </c>
      <c r="F346" s="4">
        <v>0</v>
      </c>
      <c r="G346" s="4">
        <v>15</v>
      </c>
      <c r="H346" s="3">
        <v>46035</v>
      </c>
      <c r="I346" s="4">
        <v>837.22</v>
      </c>
      <c r="J346" s="2" t="s">
        <v>4824</v>
      </c>
      <c r="K346" s="3">
        <v>46054</v>
      </c>
      <c r="L346" s="2">
        <f>IF(G346&lt;=0,0,MAX(0,Assumptions!$B$3-K346))</f>
        <v>0</v>
      </c>
      <c r="M346" s="2" t="str">
        <f t="shared" si="11"/>
        <v>30 days</v>
      </c>
      <c r="N346" s="4">
        <v>0</v>
      </c>
      <c r="O346" s="2" t="s">
        <v>78</v>
      </c>
      <c r="P346" s="2" t="s">
        <v>36</v>
      </c>
    </row>
    <row r="347" spans="1:16" x14ac:dyDescent="0.2">
      <c r="A347" s="2" t="s">
        <v>2093</v>
      </c>
      <c r="B347" s="2" t="s">
        <v>2094</v>
      </c>
      <c r="C347" s="4">
        <v>752.91</v>
      </c>
      <c r="D347" s="4">
        <f t="shared" si="10"/>
        <v>9034.92</v>
      </c>
      <c r="E347" s="2" t="s">
        <v>78</v>
      </c>
      <c r="F347" s="4">
        <v>0</v>
      </c>
      <c r="G347" s="4">
        <v>-50</v>
      </c>
      <c r="H347" s="3">
        <v>46039</v>
      </c>
      <c r="I347" s="4">
        <v>671.72</v>
      </c>
      <c r="J347" s="2" t="s">
        <v>4824</v>
      </c>
      <c r="K347" s="3">
        <v>46054</v>
      </c>
      <c r="L347" s="2">
        <f>IF(G347&lt;=0,0,MAX(0,Assumptions!$B$3-K347))</f>
        <v>0</v>
      </c>
      <c r="M347" s="2" t="str">
        <f t="shared" si="11"/>
        <v>Current</v>
      </c>
      <c r="N347" s="4">
        <v>0</v>
      </c>
      <c r="O347" s="2" t="s">
        <v>78</v>
      </c>
      <c r="P347" s="2" t="s">
        <v>78</v>
      </c>
    </row>
    <row r="348" spans="1:16" x14ac:dyDescent="0.2">
      <c r="A348" s="2" t="s">
        <v>2099</v>
      </c>
      <c r="B348" s="2" t="s">
        <v>2100</v>
      </c>
      <c r="C348" s="4">
        <v>924.26</v>
      </c>
      <c r="D348" s="4">
        <f t="shared" si="10"/>
        <v>11091.119999999999</v>
      </c>
      <c r="E348" s="2" t="s">
        <v>78</v>
      </c>
      <c r="F348" s="4">
        <v>0</v>
      </c>
      <c r="G348" s="4">
        <v>25</v>
      </c>
      <c r="H348" s="3">
        <v>46064</v>
      </c>
      <c r="I348" s="4">
        <v>939.35</v>
      </c>
      <c r="J348" s="2" t="s">
        <v>4824</v>
      </c>
      <c r="K348" s="3">
        <v>46054</v>
      </c>
      <c r="L348" s="2">
        <f>IF(G348&lt;=0,0,MAX(0,Assumptions!$B$3-K348))</f>
        <v>0</v>
      </c>
      <c r="M348" s="2" t="str">
        <f t="shared" si="11"/>
        <v>30 days</v>
      </c>
      <c r="N348" s="4">
        <v>0</v>
      </c>
      <c r="O348" s="2" t="s">
        <v>78</v>
      </c>
      <c r="P348" s="2" t="s">
        <v>36</v>
      </c>
    </row>
    <row r="349" spans="1:16" x14ac:dyDescent="0.2">
      <c r="A349" s="2" t="s">
        <v>2106</v>
      </c>
      <c r="B349" s="2" t="s">
        <v>2107</v>
      </c>
      <c r="C349" s="4">
        <v>924.26</v>
      </c>
      <c r="D349" s="4">
        <f t="shared" si="10"/>
        <v>11091.119999999999</v>
      </c>
      <c r="E349" s="2" t="s">
        <v>36</v>
      </c>
      <c r="F349" s="4">
        <v>8737.74</v>
      </c>
      <c r="G349" s="4">
        <v>0</v>
      </c>
      <c r="H349" s="3">
        <v>46055</v>
      </c>
      <c r="I349" s="4">
        <v>883.51</v>
      </c>
      <c r="J349" s="2" t="s">
        <v>4824</v>
      </c>
      <c r="K349" s="3">
        <v>46054</v>
      </c>
      <c r="L349" s="2">
        <f>IF(G349&lt;=0,0,MAX(0,Assumptions!$B$3-K349))</f>
        <v>0</v>
      </c>
      <c r="M349" s="2" t="str">
        <f t="shared" si="11"/>
        <v>Current</v>
      </c>
      <c r="N349" s="4">
        <v>0</v>
      </c>
      <c r="O349" s="2" t="s">
        <v>78</v>
      </c>
      <c r="P349" s="2" t="s">
        <v>36</v>
      </c>
    </row>
    <row r="350" spans="1:16" x14ac:dyDescent="0.2">
      <c r="A350" s="2" t="s">
        <v>2112</v>
      </c>
      <c r="B350" s="2" t="s">
        <v>2113</v>
      </c>
      <c r="C350" s="4">
        <v>924.26</v>
      </c>
      <c r="D350" s="4">
        <f t="shared" si="10"/>
        <v>11091.119999999999</v>
      </c>
      <c r="E350" s="2" t="s">
        <v>78</v>
      </c>
      <c r="F350" s="4">
        <v>0</v>
      </c>
      <c r="G350" s="4">
        <v>0</v>
      </c>
      <c r="H350" s="3">
        <v>46054</v>
      </c>
      <c r="I350" s="4">
        <v>739.54</v>
      </c>
      <c r="J350" s="2" t="s">
        <v>4827</v>
      </c>
      <c r="K350" s="3">
        <v>46054</v>
      </c>
      <c r="L350" s="2">
        <f>IF(G350&lt;=0,0,MAX(0,Assumptions!$B$3-K350))</f>
        <v>0</v>
      </c>
      <c r="M350" s="2" t="str">
        <f t="shared" si="11"/>
        <v>Current</v>
      </c>
      <c r="N350" s="4">
        <v>0</v>
      </c>
      <c r="O350" s="2" t="s">
        <v>78</v>
      </c>
      <c r="P350" s="2" t="s">
        <v>78</v>
      </c>
    </row>
    <row r="351" spans="1:16" x14ac:dyDescent="0.2">
      <c r="A351" s="2" t="s">
        <v>2118</v>
      </c>
      <c r="B351" s="2" t="s">
        <v>1320</v>
      </c>
      <c r="C351" s="4">
        <v>924.26</v>
      </c>
      <c r="D351" s="4">
        <f t="shared" si="10"/>
        <v>11091.119999999999</v>
      </c>
      <c r="E351" s="2" t="s">
        <v>78</v>
      </c>
      <c r="F351" s="4">
        <v>0</v>
      </c>
      <c r="G351" s="4">
        <v>0</v>
      </c>
      <c r="H351" s="3">
        <v>46070</v>
      </c>
      <c r="I351" s="4">
        <v>1018.6</v>
      </c>
      <c r="J351" s="2" t="s">
        <v>4826</v>
      </c>
      <c r="K351" s="3">
        <v>46054</v>
      </c>
      <c r="L351" s="2">
        <f>IF(G351&lt;=0,0,MAX(0,Assumptions!$B$3-K351))</f>
        <v>0</v>
      </c>
      <c r="M351" s="2" t="str">
        <f t="shared" si="11"/>
        <v>Current</v>
      </c>
      <c r="N351" s="4">
        <v>0</v>
      </c>
      <c r="O351" s="2" t="s">
        <v>78</v>
      </c>
      <c r="P351" s="2" t="s">
        <v>78</v>
      </c>
    </row>
    <row r="352" spans="1:16" x14ac:dyDescent="0.2">
      <c r="A352" s="2" t="s">
        <v>2123</v>
      </c>
      <c r="B352" s="2" t="s">
        <v>944</v>
      </c>
      <c r="C352" s="4">
        <v>924.26</v>
      </c>
      <c r="D352" s="4">
        <f t="shared" si="10"/>
        <v>11091.119999999999</v>
      </c>
      <c r="E352" s="2" t="s">
        <v>78</v>
      </c>
      <c r="F352" s="4">
        <v>0</v>
      </c>
      <c r="G352" s="4">
        <v>25</v>
      </c>
      <c r="H352" s="3">
        <v>46048</v>
      </c>
      <c r="I352" s="4">
        <v>1030.1099999999999</v>
      </c>
      <c r="J352" s="2" t="s">
        <v>4823</v>
      </c>
      <c r="K352" s="3">
        <v>46054</v>
      </c>
      <c r="L352" s="2">
        <f>IF(G352&lt;=0,0,MAX(0,Assumptions!$B$3-K352))</f>
        <v>0</v>
      </c>
      <c r="M352" s="2" t="str">
        <f t="shared" si="11"/>
        <v>30 days</v>
      </c>
      <c r="N352" s="4">
        <v>0</v>
      </c>
      <c r="O352" s="2" t="s">
        <v>78</v>
      </c>
      <c r="P352" s="2" t="s">
        <v>78</v>
      </c>
    </row>
    <row r="353" spans="1:16" x14ac:dyDescent="0.2">
      <c r="A353" s="2" t="s">
        <v>2129</v>
      </c>
      <c r="B353" s="2" t="s">
        <v>1502</v>
      </c>
      <c r="C353" s="4">
        <v>924.26</v>
      </c>
      <c r="D353" s="4">
        <f t="shared" si="10"/>
        <v>11091.119999999999</v>
      </c>
      <c r="E353" s="2" t="s">
        <v>78</v>
      </c>
      <c r="F353" s="4">
        <v>0</v>
      </c>
      <c r="G353" s="4">
        <v>0</v>
      </c>
      <c r="H353" s="3">
        <v>46059</v>
      </c>
      <c r="I353" s="4">
        <v>1095.57</v>
      </c>
      <c r="J353" s="2" t="s">
        <v>4827</v>
      </c>
      <c r="K353" s="3">
        <v>46054</v>
      </c>
      <c r="L353" s="2">
        <f>IF(G353&lt;=0,0,MAX(0,Assumptions!$B$3-K353))</f>
        <v>0</v>
      </c>
      <c r="M353" s="2" t="str">
        <f t="shared" si="11"/>
        <v>Current</v>
      </c>
      <c r="N353" s="4">
        <v>0</v>
      </c>
      <c r="O353" s="2" t="s">
        <v>78</v>
      </c>
      <c r="P353" s="2" t="s">
        <v>36</v>
      </c>
    </row>
    <row r="354" spans="1:16" x14ac:dyDescent="0.2">
      <c r="A354" s="2" t="s">
        <v>2135</v>
      </c>
      <c r="B354" s="2" t="s">
        <v>2136</v>
      </c>
      <c r="C354" s="4">
        <v>1090.42</v>
      </c>
      <c r="D354" s="4">
        <f t="shared" si="10"/>
        <v>13085.04</v>
      </c>
      <c r="E354" s="2" t="s">
        <v>78</v>
      </c>
      <c r="F354" s="4">
        <v>0</v>
      </c>
      <c r="G354" s="4">
        <v>0</v>
      </c>
      <c r="H354" s="3">
        <v>46060</v>
      </c>
      <c r="I354" s="4">
        <v>1065.72</v>
      </c>
      <c r="J354" s="2" t="s">
        <v>4827</v>
      </c>
      <c r="K354" s="3">
        <v>46054</v>
      </c>
      <c r="L354" s="2">
        <f>IF(G354&lt;=0,0,MAX(0,Assumptions!$B$3-K354))</f>
        <v>0</v>
      </c>
      <c r="M354" s="2" t="str">
        <f t="shared" si="11"/>
        <v>Current</v>
      </c>
      <c r="N354" s="4">
        <v>0</v>
      </c>
      <c r="O354" s="2" t="s">
        <v>78</v>
      </c>
      <c r="P354" s="2" t="s">
        <v>36</v>
      </c>
    </row>
    <row r="355" spans="1:16" x14ac:dyDescent="0.2">
      <c r="A355" s="2" t="s">
        <v>2140</v>
      </c>
      <c r="B355" s="2" t="s">
        <v>885</v>
      </c>
      <c r="C355" s="4">
        <v>1090.42</v>
      </c>
      <c r="D355" s="4">
        <f t="shared" si="10"/>
        <v>13085.04</v>
      </c>
      <c r="E355" s="2" t="s">
        <v>36</v>
      </c>
      <c r="F355" s="4">
        <v>3144.87</v>
      </c>
      <c r="G355" s="4">
        <v>0</v>
      </c>
      <c r="H355" s="3">
        <v>46033</v>
      </c>
      <c r="I355" s="4">
        <v>1133.3599999999999</v>
      </c>
      <c r="J355" s="2" t="s">
        <v>4826</v>
      </c>
      <c r="K355" s="3">
        <v>46054</v>
      </c>
      <c r="L355" s="2">
        <f>IF(G355&lt;=0,0,MAX(0,Assumptions!$B$3-K355))</f>
        <v>0</v>
      </c>
      <c r="M355" s="2" t="str">
        <f t="shared" si="11"/>
        <v>Current</v>
      </c>
      <c r="N355" s="4">
        <v>0</v>
      </c>
      <c r="O355" s="2" t="s">
        <v>78</v>
      </c>
      <c r="P355" s="2" t="s">
        <v>36</v>
      </c>
    </row>
    <row r="356" spans="1:16" x14ac:dyDescent="0.2">
      <c r="A356" s="2" t="s">
        <v>2146</v>
      </c>
      <c r="B356" s="2" t="s">
        <v>2147</v>
      </c>
      <c r="C356" s="4">
        <v>1090.42</v>
      </c>
      <c r="D356" s="4">
        <f t="shared" si="10"/>
        <v>13085.04</v>
      </c>
      <c r="E356" s="2" t="s">
        <v>36</v>
      </c>
      <c r="F356" s="4">
        <v>6814.75</v>
      </c>
      <c r="G356" s="4">
        <v>0</v>
      </c>
      <c r="H356" s="3">
        <v>46064</v>
      </c>
      <c r="I356" s="4">
        <v>903.04</v>
      </c>
      <c r="J356" s="2" t="s">
        <v>4827</v>
      </c>
      <c r="K356" s="3">
        <v>46054</v>
      </c>
      <c r="L356" s="2">
        <f>IF(G356&lt;=0,0,MAX(0,Assumptions!$B$3-K356))</f>
        <v>0</v>
      </c>
      <c r="M356" s="2" t="str">
        <f t="shared" si="11"/>
        <v>Current</v>
      </c>
      <c r="N356" s="4">
        <v>0</v>
      </c>
      <c r="O356" s="2" t="s">
        <v>78</v>
      </c>
      <c r="P356" s="2" t="s">
        <v>36</v>
      </c>
    </row>
    <row r="357" spans="1:16" x14ac:dyDescent="0.2">
      <c r="A357" s="2" t="s">
        <v>2153</v>
      </c>
      <c r="B357" s="2" t="s">
        <v>1670</v>
      </c>
      <c r="C357" s="4">
        <v>1090.42</v>
      </c>
      <c r="D357" s="4">
        <f t="shared" si="10"/>
        <v>13085.04</v>
      </c>
      <c r="E357" s="2" t="s">
        <v>36</v>
      </c>
      <c r="F357" s="4">
        <v>7622.81</v>
      </c>
      <c r="G357" s="4">
        <v>0</v>
      </c>
      <c r="H357" s="3">
        <v>46066</v>
      </c>
      <c r="I357" s="4">
        <v>1145.77</v>
      </c>
      <c r="J357" s="2" t="s">
        <v>4823</v>
      </c>
      <c r="K357" s="3">
        <v>46054</v>
      </c>
      <c r="L357" s="2">
        <f>IF(G357&lt;=0,0,MAX(0,Assumptions!$B$3-K357))</f>
        <v>0</v>
      </c>
      <c r="M357" s="2" t="str">
        <f t="shared" si="11"/>
        <v>Current</v>
      </c>
      <c r="N357" s="4">
        <v>0</v>
      </c>
      <c r="O357" s="2" t="s">
        <v>78</v>
      </c>
      <c r="P357" s="2" t="s">
        <v>78</v>
      </c>
    </row>
    <row r="358" spans="1:16" x14ac:dyDescent="0.2">
      <c r="A358" s="2" t="s">
        <v>2158</v>
      </c>
      <c r="B358" s="2" t="s">
        <v>2159</v>
      </c>
      <c r="C358" s="4">
        <v>1505.83</v>
      </c>
      <c r="D358" s="4">
        <f t="shared" si="10"/>
        <v>18069.96</v>
      </c>
      <c r="E358" s="2" t="s">
        <v>78</v>
      </c>
      <c r="F358" s="4">
        <v>0</v>
      </c>
      <c r="G358" s="4">
        <v>0</v>
      </c>
      <c r="H358" s="3">
        <v>46055</v>
      </c>
      <c r="I358" s="4">
        <v>1339.97</v>
      </c>
      <c r="J358" s="2" t="s">
        <v>4825</v>
      </c>
      <c r="K358" s="3">
        <v>46054</v>
      </c>
      <c r="L358" s="2">
        <f>IF(G358&lt;=0,0,MAX(0,Assumptions!$B$3-K358))</f>
        <v>0</v>
      </c>
      <c r="M358" s="2" t="str">
        <f t="shared" si="11"/>
        <v>Current</v>
      </c>
      <c r="N358" s="4">
        <v>0</v>
      </c>
      <c r="O358" s="2" t="s">
        <v>78</v>
      </c>
      <c r="P358" s="2" t="s">
        <v>78</v>
      </c>
    </row>
    <row r="359" spans="1:16" x14ac:dyDescent="0.2">
      <c r="A359" s="2" t="s">
        <v>2164</v>
      </c>
      <c r="B359" s="2" t="s">
        <v>2165</v>
      </c>
      <c r="C359" s="4">
        <v>755.45</v>
      </c>
      <c r="D359" s="4">
        <f t="shared" si="10"/>
        <v>9065.4000000000015</v>
      </c>
      <c r="E359" s="2" t="s">
        <v>78</v>
      </c>
      <c r="F359" s="4">
        <v>0</v>
      </c>
      <c r="G359" s="4">
        <v>1731.51</v>
      </c>
      <c r="H359" s="3">
        <v>45955</v>
      </c>
      <c r="I359" s="4">
        <v>424.14</v>
      </c>
      <c r="J359" s="2" t="s">
        <v>4823</v>
      </c>
      <c r="K359" s="3">
        <v>45994</v>
      </c>
      <c r="L359" s="2">
        <f>IF(G359&lt;=0,0,MAX(0,Assumptions!$B$3-K359))</f>
        <v>0</v>
      </c>
      <c r="M359" s="2" t="str">
        <f t="shared" si="11"/>
        <v>30 days</v>
      </c>
      <c r="N359" s="4">
        <v>75</v>
      </c>
      <c r="O359" s="2" t="s">
        <v>78</v>
      </c>
      <c r="P359" s="2" t="s">
        <v>78</v>
      </c>
    </row>
    <row r="360" spans="1:16" x14ac:dyDescent="0.2">
      <c r="A360" s="2" t="s">
        <v>2171</v>
      </c>
      <c r="B360" s="2" t="s">
        <v>1352</v>
      </c>
      <c r="C360" s="4">
        <v>755.45</v>
      </c>
      <c r="D360" s="4">
        <f t="shared" si="10"/>
        <v>9065.4000000000015</v>
      </c>
      <c r="E360" s="2" t="s">
        <v>78</v>
      </c>
      <c r="F360" s="4">
        <v>0</v>
      </c>
      <c r="G360" s="4">
        <v>3108.87</v>
      </c>
      <c r="H360" s="3">
        <v>46008</v>
      </c>
      <c r="I360" s="4">
        <v>797.84</v>
      </c>
      <c r="J360" s="2" t="s">
        <v>4823</v>
      </c>
      <c r="K360" s="3">
        <v>45934</v>
      </c>
      <c r="L360" s="2">
        <f>IF(G360&lt;=0,0,MAX(0,Assumptions!$B$3-K360))</f>
        <v>0</v>
      </c>
      <c r="M360" s="2" t="str">
        <f t="shared" si="11"/>
        <v>30 days</v>
      </c>
      <c r="N360" s="4">
        <v>50</v>
      </c>
      <c r="O360" s="2" t="s">
        <v>78</v>
      </c>
      <c r="P360" s="2" t="s">
        <v>78</v>
      </c>
    </row>
    <row r="361" spans="1:16" x14ac:dyDescent="0.2">
      <c r="A361" s="2" t="s">
        <v>2175</v>
      </c>
      <c r="B361" s="2" t="s">
        <v>1534</v>
      </c>
      <c r="C361" s="4">
        <v>755.45</v>
      </c>
      <c r="D361" s="4">
        <f t="shared" si="10"/>
        <v>9065.4000000000015</v>
      </c>
      <c r="E361" s="2" t="s">
        <v>78</v>
      </c>
      <c r="F361" s="4">
        <v>0</v>
      </c>
      <c r="G361" s="4">
        <v>0</v>
      </c>
      <c r="H361" s="3">
        <v>46067</v>
      </c>
      <c r="I361" s="4">
        <v>819.84</v>
      </c>
      <c r="J361" s="2" t="s">
        <v>4823</v>
      </c>
      <c r="K361" s="3">
        <v>46054</v>
      </c>
      <c r="L361" s="2">
        <f>IF(G361&lt;=0,0,MAX(0,Assumptions!$B$3-K361))</f>
        <v>0</v>
      </c>
      <c r="M361" s="2" t="str">
        <f t="shared" si="11"/>
        <v>Current</v>
      </c>
      <c r="N361" s="4">
        <v>0</v>
      </c>
      <c r="O361" s="2" t="s">
        <v>78</v>
      </c>
      <c r="P361" s="2" t="s">
        <v>36</v>
      </c>
    </row>
    <row r="362" spans="1:16" x14ac:dyDescent="0.2">
      <c r="A362" s="2" t="s">
        <v>2179</v>
      </c>
      <c r="B362" s="2" t="s">
        <v>2180</v>
      </c>
      <c r="C362" s="4">
        <v>755.45</v>
      </c>
      <c r="D362" s="4">
        <f t="shared" si="10"/>
        <v>9065.4000000000015</v>
      </c>
      <c r="E362" s="2" t="s">
        <v>78</v>
      </c>
      <c r="F362" s="4">
        <v>0</v>
      </c>
      <c r="G362" s="4">
        <v>0</v>
      </c>
      <c r="H362" s="3">
        <v>46067</v>
      </c>
      <c r="I362" s="4">
        <v>905.72</v>
      </c>
      <c r="J362" s="2" t="s">
        <v>4823</v>
      </c>
      <c r="K362" s="3">
        <v>46054</v>
      </c>
      <c r="L362" s="2">
        <f>IF(G362&lt;=0,0,MAX(0,Assumptions!$B$3-K362))</f>
        <v>0</v>
      </c>
      <c r="M362" s="2" t="str">
        <f t="shared" si="11"/>
        <v>Current</v>
      </c>
      <c r="N362" s="4">
        <v>0</v>
      </c>
      <c r="O362" s="2" t="s">
        <v>78</v>
      </c>
      <c r="P362" s="2" t="s">
        <v>78</v>
      </c>
    </row>
    <row r="363" spans="1:16" x14ac:dyDescent="0.2">
      <c r="A363" s="2" t="s">
        <v>2185</v>
      </c>
      <c r="B363" s="2" t="s">
        <v>2186</v>
      </c>
      <c r="C363" s="4">
        <v>755.45</v>
      </c>
      <c r="D363" s="4">
        <f t="shared" si="10"/>
        <v>9065.4000000000015</v>
      </c>
      <c r="E363" s="2" t="s">
        <v>78</v>
      </c>
      <c r="F363" s="4">
        <v>0</v>
      </c>
      <c r="G363" s="4">
        <v>15</v>
      </c>
      <c r="H363" s="3">
        <v>46031</v>
      </c>
      <c r="I363" s="4">
        <v>719.97</v>
      </c>
      <c r="J363" s="2" t="s">
        <v>4824</v>
      </c>
      <c r="K363" s="3">
        <v>46054</v>
      </c>
      <c r="L363" s="2">
        <f>IF(G363&lt;=0,0,MAX(0,Assumptions!$B$3-K363))</f>
        <v>0</v>
      </c>
      <c r="M363" s="2" t="str">
        <f t="shared" si="11"/>
        <v>30 days</v>
      </c>
      <c r="N363" s="4">
        <v>0</v>
      </c>
      <c r="O363" s="2" t="s">
        <v>78</v>
      </c>
      <c r="P363" s="2" t="s">
        <v>78</v>
      </c>
    </row>
    <row r="364" spans="1:16" x14ac:dyDescent="0.2">
      <c r="A364" s="2" t="s">
        <v>2191</v>
      </c>
      <c r="B364" s="2" t="s">
        <v>1844</v>
      </c>
      <c r="C364" s="4">
        <v>755.45</v>
      </c>
      <c r="D364" s="4">
        <f t="shared" si="10"/>
        <v>9065.4000000000015</v>
      </c>
      <c r="E364" s="2" t="s">
        <v>78</v>
      </c>
      <c r="F364" s="4">
        <v>0</v>
      </c>
      <c r="G364" s="4">
        <v>0</v>
      </c>
      <c r="H364" s="3">
        <v>46037</v>
      </c>
      <c r="I364" s="4">
        <v>633.04</v>
      </c>
      <c r="J364" s="2" t="s">
        <v>4826</v>
      </c>
      <c r="K364" s="3">
        <v>46054</v>
      </c>
      <c r="L364" s="2">
        <f>IF(G364&lt;=0,0,MAX(0,Assumptions!$B$3-K364))</f>
        <v>0</v>
      </c>
      <c r="M364" s="2" t="str">
        <f t="shared" si="11"/>
        <v>Current</v>
      </c>
      <c r="N364" s="4">
        <v>0</v>
      </c>
      <c r="O364" s="2" t="s">
        <v>78</v>
      </c>
      <c r="P364" s="2" t="s">
        <v>78</v>
      </c>
    </row>
    <row r="365" spans="1:16" x14ac:dyDescent="0.2">
      <c r="A365" s="2" t="s">
        <v>2195</v>
      </c>
      <c r="B365" s="2" t="s">
        <v>2094</v>
      </c>
      <c r="C365" s="4">
        <v>927.38</v>
      </c>
      <c r="D365" s="4">
        <f t="shared" si="10"/>
        <v>11128.56</v>
      </c>
      <c r="E365" s="2" t="s">
        <v>78</v>
      </c>
      <c r="F365" s="4">
        <v>0</v>
      </c>
      <c r="G365" s="4">
        <v>0</v>
      </c>
      <c r="H365" s="3">
        <v>46048</v>
      </c>
      <c r="I365" s="4">
        <v>1008.35</v>
      </c>
      <c r="J365" s="2" t="s">
        <v>4825</v>
      </c>
      <c r="K365" s="3">
        <v>46054</v>
      </c>
      <c r="L365" s="2">
        <f>IF(G365&lt;=0,0,MAX(0,Assumptions!$B$3-K365))</f>
        <v>0</v>
      </c>
      <c r="M365" s="2" t="str">
        <f t="shared" si="11"/>
        <v>Current</v>
      </c>
      <c r="N365" s="4">
        <v>0</v>
      </c>
      <c r="O365" s="2" t="s">
        <v>78</v>
      </c>
      <c r="P365" s="2" t="s">
        <v>78</v>
      </c>
    </row>
    <row r="366" spans="1:16" x14ac:dyDescent="0.2">
      <c r="A366" s="2" t="s">
        <v>2200</v>
      </c>
      <c r="B366" s="2" t="s">
        <v>485</v>
      </c>
      <c r="C366" s="4">
        <v>927.38</v>
      </c>
      <c r="D366" s="4">
        <f t="shared" si="10"/>
        <v>11128.56</v>
      </c>
      <c r="E366" s="2" t="s">
        <v>78</v>
      </c>
      <c r="F366" s="4">
        <v>0</v>
      </c>
      <c r="G366" s="4">
        <v>15</v>
      </c>
      <c r="H366" s="3">
        <v>46071</v>
      </c>
      <c r="I366" s="4">
        <v>1090.67</v>
      </c>
      <c r="J366" s="2" t="s">
        <v>4823</v>
      </c>
      <c r="K366" s="3">
        <v>46054</v>
      </c>
      <c r="L366" s="2">
        <f>IF(G366&lt;=0,0,MAX(0,Assumptions!$B$3-K366))</f>
        <v>0</v>
      </c>
      <c r="M366" s="2" t="str">
        <f t="shared" si="11"/>
        <v>30 days</v>
      </c>
      <c r="N366" s="4">
        <v>0</v>
      </c>
      <c r="O366" s="2" t="s">
        <v>78</v>
      </c>
      <c r="P366" s="2" t="s">
        <v>78</v>
      </c>
    </row>
    <row r="367" spans="1:16" x14ac:dyDescent="0.2">
      <c r="A367" s="2" t="s">
        <v>2206</v>
      </c>
      <c r="B367" s="2" t="s">
        <v>2097</v>
      </c>
      <c r="C367" s="4">
        <v>927.38</v>
      </c>
      <c r="D367" s="4">
        <f t="shared" si="10"/>
        <v>11128.56</v>
      </c>
      <c r="E367" s="2" t="s">
        <v>78</v>
      </c>
      <c r="F367" s="4">
        <v>0</v>
      </c>
      <c r="G367" s="4">
        <v>0</v>
      </c>
      <c r="H367" s="3">
        <v>46033</v>
      </c>
      <c r="I367" s="4">
        <v>1092.81</v>
      </c>
      <c r="J367" s="2" t="s">
        <v>4825</v>
      </c>
      <c r="K367" s="3">
        <v>46054</v>
      </c>
      <c r="L367" s="2">
        <f>IF(G367&lt;=0,0,MAX(0,Assumptions!$B$3-K367))</f>
        <v>0</v>
      </c>
      <c r="M367" s="2" t="str">
        <f t="shared" si="11"/>
        <v>Current</v>
      </c>
      <c r="N367" s="4">
        <v>0</v>
      </c>
      <c r="O367" s="2" t="s">
        <v>78</v>
      </c>
      <c r="P367" s="2" t="s">
        <v>36</v>
      </c>
    </row>
    <row r="368" spans="1:16" x14ac:dyDescent="0.2">
      <c r="A368" s="2" t="s">
        <v>2212</v>
      </c>
      <c r="B368" s="2" t="s">
        <v>189</v>
      </c>
      <c r="C368" s="4">
        <v>927.38</v>
      </c>
      <c r="D368" s="4">
        <f t="shared" si="10"/>
        <v>11128.56</v>
      </c>
      <c r="E368" s="2" t="s">
        <v>36</v>
      </c>
      <c r="F368" s="4">
        <v>4381.3</v>
      </c>
      <c r="G368" s="4">
        <v>0</v>
      </c>
      <c r="H368" s="3">
        <v>46051</v>
      </c>
      <c r="I368" s="4">
        <v>1045.48</v>
      </c>
      <c r="J368" s="2" t="s">
        <v>4827</v>
      </c>
      <c r="K368" s="3">
        <v>46054</v>
      </c>
      <c r="L368" s="2">
        <f>IF(G368&lt;=0,0,MAX(0,Assumptions!$B$3-K368))</f>
        <v>0</v>
      </c>
      <c r="M368" s="2" t="str">
        <f t="shared" si="11"/>
        <v>Current</v>
      </c>
      <c r="N368" s="4">
        <v>0</v>
      </c>
      <c r="O368" s="2" t="s">
        <v>78</v>
      </c>
      <c r="P368" s="2" t="s">
        <v>36</v>
      </c>
    </row>
    <row r="369" spans="1:16" x14ac:dyDescent="0.2">
      <c r="A369" s="2" t="s">
        <v>2217</v>
      </c>
      <c r="B369" s="2" t="s">
        <v>1221</v>
      </c>
      <c r="C369" s="4">
        <v>927.38</v>
      </c>
      <c r="D369" s="4">
        <f t="shared" si="10"/>
        <v>11128.56</v>
      </c>
      <c r="E369" s="2" t="s">
        <v>78</v>
      </c>
      <c r="F369" s="4">
        <v>0</v>
      </c>
      <c r="G369" s="4">
        <v>0</v>
      </c>
      <c r="H369" s="3">
        <v>46053</v>
      </c>
      <c r="I369" s="4">
        <v>911.88</v>
      </c>
      <c r="J369" s="2" t="s">
        <v>4827</v>
      </c>
      <c r="K369" s="3">
        <v>46054</v>
      </c>
      <c r="L369" s="2">
        <f>IF(G369&lt;=0,0,MAX(0,Assumptions!$B$3-K369))</f>
        <v>0</v>
      </c>
      <c r="M369" s="2" t="str">
        <f t="shared" si="11"/>
        <v>Current</v>
      </c>
      <c r="N369" s="4">
        <v>0</v>
      </c>
      <c r="O369" s="2" t="s">
        <v>78</v>
      </c>
      <c r="P369" s="2" t="s">
        <v>78</v>
      </c>
    </row>
    <row r="370" spans="1:16" x14ac:dyDescent="0.2">
      <c r="A370" s="2" t="s">
        <v>2224</v>
      </c>
      <c r="B370" s="2" t="s">
        <v>2225</v>
      </c>
      <c r="C370" s="4">
        <v>927.38</v>
      </c>
      <c r="D370" s="4">
        <f t="shared" si="10"/>
        <v>11128.56</v>
      </c>
      <c r="E370" s="2" t="s">
        <v>78</v>
      </c>
      <c r="F370" s="4">
        <v>0</v>
      </c>
      <c r="G370" s="4">
        <v>15</v>
      </c>
      <c r="H370" s="3">
        <v>46032</v>
      </c>
      <c r="I370" s="4">
        <v>861.31</v>
      </c>
      <c r="J370" s="2" t="s">
        <v>4823</v>
      </c>
      <c r="K370" s="3">
        <v>46054</v>
      </c>
      <c r="L370" s="2">
        <f>IF(G370&lt;=0,0,MAX(0,Assumptions!$B$3-K370))</f>
        <v>0</v>
      </c>
      <c r="M370" s="2" t="str">
        <f t="shared" si="11"/>
        <v>30 days</v>
      </c>
      <c r="N370" s="4">
        <v>0</v>
      </c>
      <c r="O370" s="2" t="s">
        <v>78</v>
      </c>
      <c r="P370" s="2" t="s">
        <v>36</v>
      </c>
    </row>
    <row r="371" spans="1:16" x14ac:dyDescent="0.2">
      <c r="A371" s="2" t="s">
        <v>2229</v>
      </c>
      <c r="B371" s="2" t="s">
        <v>2230</v>
      </c>
      <c r="C371" s="4">
        <v>1094.0999999999999</v>
      </c>
      <c r="D371" s="4">
        <f t="shared" si="10"/>
        <v>13129.199999999999</v>
      </c>
      <c r="E371" s="2" t="s">
        <v>78</v>
      </c>
      <c r="F371" s="4">
        <v>0</v>
      </c>
      <c r="G371" s="4">
        <v>0</v>
      </c>
      <c r="H371" s="3">
        <v>46068</v>
      </c>
      <c r="I371" s="4">
        <v>1021.35</v>
      </c>
      <c r="J371" s="2" t="s">
        <v>4824</v>
      </c>
      <c r="K371" s="3">
        <v>46054</v>
      </c>
      <c r="L371" s="2">
        <f>IF(G371&lt;=0,0,MAX(0,Assumptions!$B$3-K371))</f>
        <v>0</v>
      </c>
      <c r="M371" s="2" t="str">
        <f t="shared" si="11"/>
        <v>Current</v>
      </c>
      <c r="N371" s="4">
        <v>0</v>
      </c>
      <c r="O371" s="2" t="s">
        <v>78</v>
      </c>
      <c r="P371" s="2" t="s">
        <v>78</v>
      </c>
    </row>
    <row r="372" spans="1:16" x14ac:dyDescent="0.2">
      <c r="A372" s="2" t="s">
        <v>2237</v>
      </c>
      <c r="B372" s="2" t="s">
        <v>2238</v>
      </c>
      <c r="C372" s="4">
        <v>1094.0999999999999</v>
      </c>
      <c r="D372" s="4">
        <f t="shared" si="10"/>
        <v>13129.199999999999</v>
      </c>
      <c r="E372" s="2" t="s">
        <v>78</v>
      </c>
      <c r="F372" s="4">
        <v>0</v>
      </c>
      <c r="G372" s="4">
        <v>-50</v>
      </c>
      <c r="H372" s="3">
        <v>46054</v>
      </c>
      <c r="I372" s="4">
        <v>919.61</v>
      </c>
      <c r="J372" s="2" t="s">
        <v>4825</v>
      </c>
      <c r="K372" s="3">
        <v>46054</v>
      </c>
      <c r="L372" s="2">
        <f>IF(G372&lt;=0,0,MAX(0,Assumptions!$B$3-K372))</f>
        <v>0</v>
      </c>
      <c r="M372" s="2" t="str">
        <f t="shared" si="11"/>
        <v>Current</v>
      </c>
      <c r="N372" s="4">
        <v>0</v>
      </c>
      <c r="O372" s="2" t="s">
        <v>78</v>
      </c>
      <c r="P372" s="2" t="s">
        <v>78</v>
      </c>
    </row>
    <row r="373" spans="1:16" x14ac:dyDescent="0.2">
      <c r="A373" s="2" t="s">
        <v>2243</v>
      </c>
      <c r="B373" s="2" t="s">
        <v>2244</v>
      </c>
      <c r="C373" s="4">
        <v>1094.0999999999999</v>
      </c>
      <c r="D373" s="4">
        <f t="shared" si="10"/>
        <v>13129.199999999999</v>
      </c>
      <c r="E373" s="2" t="s">
        <v>78</v>
      </c>
      <c r="F373" s="4">
        <v>0</v>
      </c>
      <c r="G373" s="4">
        <v>0</v>
      </c>
      <c r="H373" s="3">
        <v>46049</v>
      </c>
      <c r="I373" s="4">
        <v>963.75</v>
      </c>
      <c r="J373" s="2" t="s">
        <v>4823</v>
      </c>
      <c r="K373" s="3">
        <v>46054</v>
      </c>
      <c r="L373" s="2">
        <f>IF(G373&lt;=0,0,MAX(0,Assumptions!$B$3-K373))</f>
        <v>0</v>
      </c>
      <c r="M373" s="2" t="str">
        <f t="shared" si="11"/>
        <v>Current</v>
      </c>
      <c r="N373" s="4">
        <v>0</v>
      </c>
      <c r="O373" s="2" t="s">
        <v>78</v>
      </c>
      <c r="P373" s="2" t="s">
        <v>36</v>
      </c>
    </row>
    <row r="374" spans="1:16" x14ac:dyDescent="0.2">
      <c r="A374" s="2" t="s">
        <v>2249</v>
      </c>
      <c r="B374" s="2" t="s">
        <v>2250</v>
      </c>
      <c r="C374" s="4">
        <v>1094.0999999999999</v>
      </c>
      <c r="D374" s="4">
        <f t="shared" si="10"/>
        <v>13129.199999999999</v>
      </c>
      <c r="E374" s="2" t="s">
        <v>78</v>
      </c>
      <c r="F374" s="4">
        <v>0</v>
      </c>
      <c r="G374" s="4">
        <v>0</v>
      </c>
      <c r="H374" s="3">
        <v>46063</v>
      </c>
      <c r="I374" s="4">
        <v>1016.53</v>
      </c>
      <c r="J374" s="2" t="s">
        <v>4825</v>
      </c>
      <c r="K374" s="3">
        <v>46054</v>
      </c>
      <c r="L374" s="2">
        <f>IF(G374&lt;=0,0,MAX(0,Assumptions!$B$3-K374))</f>
        <v>0</v>
      </c>
      <c r="M374" s="2" t="str">
        <f t="shared" si="11"/>
        <v>Current</v>
      </c>
      <c r="N374" s="4">
        <v>0</v>
      </c>
      <c r="O374" s="2" t="s">
        <v>78</v>
      </c>
      <c r="P374" s="2" t="s">
        <v>78</v>
      </c>
    </row>
    <row r="375" spans="1:16" x14ac:dyDescent="0.2">
      <c r="A375" s="2" t="s">
        <v>2256</v>
      </c>
      <c r="B375" s="2" t="s">
        <v>2257</v>
      </c>
      <c r="C375" s="4">
        <v>1510.9</v>
      </c>
      <c r="D375" s="4">
        <f t="shared" si="10"/>
        <v>18130.800000000003</v>
      </c>
      <c r="E375" s="2" t="s">
        <v>78</v>
      </c>
      <c r="F375" s="4">
        <v>0</v>
      </c>
      <c r="G375" s="4">
        <v>15</v>
      </c>
      <c r="H375" s="3">
        <v>46055</v>
      </c>
      <c r="I375" s="4">
        <v>1666.08</v>
      </c>
      <c r="J375" s="2" t="s">
        <v>4824</v>
      </c>
      <c r="K375" s="3">
        <v>46054</v>
      </c>
      <c r="L375" s="2">
        <f>IF(G375&lt;=0,0,MAX(0,Assumptions!$B$3-K375))</f>
        <v>0</v>
      </c>
      <c r="M375" s="2" t="str">
        <f t="shared" si="11"/>
        <v>30 days</v>
      </c>
      <c r="N375" s="4">
        <v>0</v>
      </c>
      <c r="O375" s="2" t="s">
        <v>78</v>
      </c>
      <c r="P375" s="2" t="s">
        <v>36</v>
      </c>
    </row>
    <row r="376" spans="1:16" x14ac:dyDescent="0.2">
      <c r="A376" s="2" t="s">
        <v>2262</v>
      </c>
      <c r="B376" s="2" t="s">
        <v>2263</v>
      </c>
      <c r="C376" s="4">
        <v>757.99</v>
      </c>
      <c r="D376" s="4">
        <f t="shared" si="10"/>
        <v>9095.880000000001</v>
      </c>
      <c r="E376" s="2" t="s">
        <v>36</v>
      </c>
      <c r="F376" s="4">
        <v>1293.5899999999999</v>
      </c>
      <c r="G376" s="4">
        <v>0</v>
      </c>
      <c r="H376" s="3">
        <v>46057</v>
      </c>
      <c r="I376" s="4">
        <v>650.59</v>
      </c>
      <c r="J376" s="2" t="s">
        <v>4827</v>
      </c>
      <c r="K376" s="3">
        <v>46054</v>
      </c>
      <c r="L376" s="2">
        <f>IF(G376&lt;=0,0,MAX(0,Assumptions!$B$3-K376))</f>
        <v>0</v>
      </c>
      <c r="M376" s="2" t="str">
        <f t="shared" si="11"/>
        <v>Current</v>
      </c>
      <c r="N376" s="4">
        <v>0</v>
      </c>
      <c r="O376" s="2" t="s">
        <v>78</v>
      </c>
      <c r="P376" s="2" t="s">
        <v>78</v>
      </c>
    </row>
    <row r="377" spans="1:16" x14ac:dyDescent="0.2">
      <c r="A377" s="2" t="s">
        <v>2268</v>
      </c>
      <c r="B377" s="2" t="s">
        <v>528</v>
      </c>
      <c r="C377" s="4">
        <v>757.99</v>
      </c>
      <c r="D377" s="4">
        <f t="shared" si="10"/>
        <v>9095.880000000001</v>
      </c>
      <c r="E377" s="2" t="s">
        <v>78</v>
      </c>
      <c r="F377" s="4">
        <v>0</v>
      </c>
      <c r="G377" s="4">
        <v>0</v>
      </c>
      <c r="H377" s="3">
        <v>46055</v>
      </c>
      <c r="I377" s="4">
        <v>792.38</v>
      </c>
      <c r="J377" s="2" t="s">
        <v>4825</v>
      </c>
      <c r="K377" s="3">
        <v>46054</v>
      </c>
      <c r="L377" s="2">
        <f>IF(G377&lt;=0,0,MAX(0,Assumptions!$B$3-K377))</f>
        <v>0</v>
      </c>
      <c r="M377" s="2" t="str">
        <f t="shared" si="11"/>
        <v>Current</v>
      </c>
      <c r="N377" s="4">
        <v>0</v>
      </c>
      <c r="O377" s="2" t="s">
        <v>78</v>
      </c>
      <c r="P377" s="2" t="s">
        <v>36</v>
      </c>
    </row>
    <row r="378" spans="1:16" x14ac:dyDescent="0.2">
      <c r="A378" s="2" t="s">
        <v>2273</v>
      </c>
      <c r="B378" s="2" t="s">
        <v>2274</v>
      </c>
      <c r="C378" s="4">
        <v>757.99</v>
      </c>
      <c r="D378" s="4">
        <f t="shared" si="10"/>
        <v>9095.880000000001</v>
      </c>
      <c r="E378" s="2" t="s">
        <v>78</v>
      </c>
      <c r="F378" s="4">
        <v>0</v>
      </c>
      <c r="G378" s="4">
        <v>25</v>
      </c>
      <c r="H378" s="3">
        <v>46038</v>
      </c>
      <c r="I378" s="4">
        <v>653.39</v>
      </c>
      <c r="J378" s="2" t="s">
        <v>4827</v>
      </c>
      <c r="K378" s="3">
        <v>46054</v>
      </c>
      <c r="L378" s="2">
        <f>IF(G378&lt;=0,0,MAX(0,Assumptions!$B$3-K378))</f>
        <v>0</v>
      </c>
      <c r="M378" s="2" t="str">
        <f t="shared" si="11"/>
        <v>30 days</v>
      </c>
      <c r="N378" s="4">
        <v>0</v>
      </c>
      <c r="O378" s="2" t="s">
        <v>78</v>
      </c>
      <c r="P378" s="2" t="s">
        <v>36</v>
      </c>
    </row>
    <row r="379" spans="1:16" x14ac:dyDescent="0.2">
      <c r="A379" s="2" t="s">
        <v>2278</v>
      </c>
      <c r="B379" s="2" t="s">
        <v>2279</v>
      </c>
      <c r="C379" s="4">
        <v>757.99</v>
      </c>
      <c r="D379" s="4">
        <f t="shared" si="10"/>
        <v>9095.880000000001</v>
      </c>
      <c r="E379" s="2" t="s">
        <v>78</v>
      </c>
      <c r="F379" s="4">
        <v>0</v>
      </c>
      <c r="G379" s="4">
        <v>1640.06</v>
      </c>
      <c r="H379" s="3">
        <v>45937</v>
      </c>
      <c r="I379" s="4">
        <v>242.1</v>
      </c>
      <c r="J379" s="2" t="s">
        <v>4827</v>
      </c>
      <c r="K379" s="3">
        <v>45994</v>
      </c>
      <c r="L379" s="2">
        <f>IF(G379&lt;=0,0,MAX(0,Assumptions!$B$3-K379))</f>
        <v>0</v>
      </c>
      <c r="M379" s="2" t="str">
        <f t="shared" si="11"/>
        <v>30 days</v>
      </c>
      <c r="N379" s="4">
        <v>0</v>
      </c>
      <c r="O379" s="2" t="s">
        <v>78</v>
      </c>
      <c r="P379" s="2" t="s">
        <v>78</v>
      </c>
    </row>
    <row r="380" spans="1:16" x14ac:dyDescent="0.2">
      <c r="A380" s="2" t="s">
        <v>2283</v>
      </c>
      <c r="B380" s="2" t="s">
        <v>1650</v>
      </c>
      <c r="C380" s="4">
        <v>757.99</v>
      </c>
      <c r="D380" s="4">
        <f t="shared" si="10"/>
        <v>9095.880000000001</v>
      </c>
      <c r="E380" s="2" t="s">
        <v>78</v>
      </c>
      <c r="F380" s="4">
        <v>0</v>
      </c>
      <c r="G380" s="4">
        <v>0</v>
      </c>
      <c r="H380" s="3">
        <v>46047</v>
      </c>
      <c r="I380" s="4">
        <v>775.07</v>
      </c>
      <c r="J380" s="2" t="s">
        <v>4824</v>
      </c>
      <c r="K380" s="3">
        <v>46054</v>
      </c>
      <c r="L380" s="2">
        <f>IF(G380&lt;=0,0,MAX(0,Assumptions!$B$3-K380))</f>
        <v>0</v>
      </c>
      <c r="M380" s="2" t="str">
        <f t="shared" si="11"/>
        <v>Current</v>
      </c>
      <c r="N380" s="4">
        <v>0</v>
      </c>
      <c r="O380" s="2" t="s">
        <v>78</v>
      </c>
      <c r="P380" s="2" t="s">
        <v>36</v>
      </c>
    </row>
    <row r="381" spans="1:16" x14ac:dyDescent="0.2">
      <c r="A381" s="2" t="s">
        <v>2288</v>
      </c>
      <c r="B381" s="2" t="s">
        <v>893</v>
      </c>
      <c r="C381" s="4">
        <v>757.99</v>
      </c>
      <c r="D381" s="4">
        <f t="shared" si="10"/>
        <v>9095.880000000001</v>
      </c>
      <c r="E381" s="2" t="s">
        <v>78</v>
      </c>
      <c r="F381" s="4">
        <v>0</v>
      </c>
      <c r="G381" s="4">
        <v>0</v>
      </c>
      <c r="H381" s="3">
        <v>46033</v>
      </c>
      <c r="I381" s="4">
        <v>780.87</v>
      </c>
      <c r="J381" s="2" t="s">
        <v>4823</v>
      </c>
      <c r="K381" s="3">
        <v>46054</v>
      </c>
      <c r="L381" s="2">
        <f>IF(G381&lt;=0,0,MAX(0,Assumptions!$B$3-K381))</f>
        <v>0</v>
      </c>
      <c r="M381" s="2" t="str">
        <f t="shared" si="11"/>
        <v>Current</v>
      </c>
      <c r="N381" s="4">
        <v>0</v>
      </c>
      <c r="O381" s="2" t="s">
        <v>78</v>
      </c>
      <c r="P381" s="2" t="s">
        <v>36</v>
      </c>
    </row>
    <row r="382" spans="1:16" x14ac:dyDescent="0.2">
      <c r="A382" s="2" t="s">
        <v>2292</v>
      </c>
      <c r="B382" s="2" t="s">
        <v>2293</v>
      </c>
      <c r="C382" s="4">
        <v>930.5</v>
      </c>
      <c r="D382" s="4">
        <f t="shared" si="10"/>
        <v>11166</v>
      </c>
      <c r="E382" s="2" t="s">
        <v>78</v>
      </c>
      <c r="F382" s="4">
        <v>0</v>
      </c>
      <c r="G382" s="4">
        <v>0</v>
      </c>
      <c r="H382" s="3">
        <v>46046</v>
      </c>
      <c r="I382" s="4">
        <v>882.2</v>
      </c>
      <c r="J382" s="2" t="s">
        <v>4826</v>
      </c>
      <c r="K382" s="3">
        <v>46054</v>
      </c>
      <c r="L382" s="2">
        <f>IF(G382&lt;=0,0,MAX(0,Assumptions!$B$3-K382))</f>
        <v>0</v>
      </c>
      <c r="M382" s="2" t="str">
        <f t="shared" si="11"/>
        <v>Current</v>
      </c>
      <c r="N382" s="4">
        <v>0</v>
      </c>
      <c r="O382" s="2" t="s">
        <v>78</v>
      </c>
      <c r="P382" s="2" t="s">
        <v>78</v>
      </c>
    </row>
    <row r="383" spans="1:16" x14ac:dyDescent="0.2">
      <c r="A383" s="2" t="s">
        <v>2297</v>
      </c>
      <c r="B383" s="2" t="s">
        <v>2298</v>
      </c>
      <c r="C383" s="4">
        <v>930.5</v>
      </c>
      <c r="D383" s="4">
        <f t="shared" si="10"/>
        <v>11166</v>
      </c>
      <c r="E383" s="2" t="s">
        <v>78</v>
      </c>
      <c r="F383" s="4">
        <v>0</v>
      </c>
      <c r="G383" s="4">
        <v>0</v>
      </c>
      <c r="H383" s="3">
        <v>46053</v>
      </c>
      <c r="I383" s="4">
        <v>1064.47</v>
      </c>
      <c r="J383" s="2" t="s">
        <v>4826</v>
      </c>
      <c r="K383" s="3">
        <v>46054</v>
      </c>
      <c r="L383" s="2">
        <f>IF(G383&lt;=0,0,MAX(0,Assumptions!$B$3-K383))</f>
        <v>0</v>
      </c>
      <c r="M383" s="2" t="str">
        <f t="shared" si="11"/>
        <v>Current</v>
      </c>
      <c r="N383" s="4">
        <v>0</v>
      </c>
      <c r="O383" s="2" t="s">
        <v>78</v>
      </c>
      <c r="P383" s="2" t="s">
        <v>36</v>
      </c>
    </row>
    <row r="384" spans="1:16" x14ac:dyDescent="0.2">
      <c r="A384" s="2" t="s">
        <v>2305</v>
      </c>
      <c r="B384" s="2" t="s">
        <v>2306</v>
      </c>
      <c r="C384" s="4">
        <v>930.5</v>
      </c>
      <c r="D384" s="4">
        <f t="shared" si="10"/>
        <v>11166</v>
      </c>
      <c r="E384" s="2" t="s">
        <v>36</v>
      </c>
      <c r="F384" s="4">
        <v>8298.58</v>
      </c>
      <c r="G384" s="4">
        <v>15</v>
      </c>
      <c r="H384" s="3">
        <v>46043</v>
      </c>
      <c r="I384" s="4">
        <v>943.66</v>
      </c>
      <c r="J384" s="2" t="s">
        <v>4825</v>
      </c>
      <c r="K384" s="3">
        <v>46054</v>
      </c>
      <c r="L384" s="2">
        <f>IF(G384&lt;=0,0,MAX(0,Assumptions!$B$3-K384))</f>
        <v>0</v>
      </c>
      <c r="M384" s="2" t="str">
        <f t="shared" si="11"/>
        <v>30 days</v>
      </c>
      <c r="N384" s="4">
        <v>0</v>
      </c>
      <c r="O384" s="2" t="s">
        <v>78</v>
      </c>
      <c r="P384" s="2" t="s">
        <v>78</v>
      </c>
    </row>
    <row r="385" spans="1:16" x14ac:dyDescent="0.2">
      <c r="A385" s="2" t="s">
        <v>2312</v>
      </c>
      <c r="B385" s="2" t="s">
        <v>2313</v>
      </c>
      <c r="C385" s="4">
        <v>930.5</v>
      </c>
      <c r="D385" s="4">
        <f t="shared" si="10"/>
        <v>11166</v>
      </c>
      <c r="E385" s="2" t="s">
        <v>78</v>
      </c>
      <c r="F385" s="4">
        <v>0</v>
      </c>
      <c r="G385" s="4">
        <v>15</v>
      </c>
      <c r="H385" s="3">
        <v>46059</v>
      </c>
      <c r="I385" s="4">
        <v>917.58</v>
      </c>
      <c r="J385" s="2" t="s">
        <v>4824</v>
      </c>
      <c r="K385" s="3">
        <v>46054</v>
      </c>
      <c r="L385" s="2">
        <f>IF(G385&lt;=0,0,MAX(0,Assumptions!$B$3-K385))</f>
        <v>0</v>
      </c>
      <c r="M385" s="2" t="str">
        <f t="shared" si="11"/>
        <v>30 days</v>
      </c>
      <c r="N385" s="4">
        <v>0</v>
      </c>
      <c r="O385" s="2" t="s">
        <v>78</v>
      </c>
      <c r="P385" s="2" t="s">
        <v>78</v>
      </c>
    </row>
    <row r="386" spans="1:16" x14ac:dyDescent="0.2">
      <c r="A386" s="2" t="s">
        <v>2318</v>
      </c>
      <c r="B386" s="2" t="s">
        <v>2319</v>
      </c>
      <c r="C386" s="4">
        <v>930.5</v>
      </c>
      <c r="D386" s="4">
        <f t="shared" ref="D386:D449" si="12">C386*12</f>
        <v>11166</v>
      </c>
      <c r="E386" s="2" t="s">
        <v>78</v>
      </c>
      <c r="F386" s="4">
        <v>0</v>
      </c>
      <c r="G386" s="4">
        <v>0</v>
      </c>
      <c r="H386" s="3">
        <v>46069</v>
      </c>
      <c r="I386" s="4">
        <v>1099.17</v>
      </c>
      <c r="J386" s="2" t="s">
        <v>4826</v>
      </c>
      <c r="K386" s="3">
        <v>46054</v>
      </c>
      <c r="L386" s="2">
        <f>IF(G386&lt;=0,0,MAX(0,Assumptions!$B$3-K386))</f>
        <v>0</v>
      </c>
      <c r="M386" s="2" t="str">
        <f t="shared" ref="M386:M449" si="13">IF(G386&lt;=0,"Current",IF(L386&lt;=30,"30 days",IF(L386&lt;=60,"60 days",IF(L386&lt;=90,"90 days","90+ days"))))</f>
        <v>Current</v>
      </c>
      <c r="N386" s="4">
        <v>0</v>
      </c>
      <c r="O386" s="2" t="s">
        <v>78</v>
      </c>
      <c r="P386" s="2" t="s">
        <v>78</v>
      </c>
    </row>
    <row r="387" spans="1:16" x14ac:dyDescent="0.2">
      <c r="A387" s="2" t="s">
        <v>2325</v>
      </c>
      <c r="B387" s="2" t="s">
        <v>100</v>
      </c>
      <c r="C387" s="4">
        <v>930.5</v>
      </c>
      <c r="D387" s="4">
        <f t="shared" si="12"/>
        <v>11166</v>
      </c>
      <c r="E387" s="2" t="s">
        <v>78</v>
      </c>
      <c r="F387" s="4">
        <v>0</v>
      </c>
      <c r="G387" s="4">
        <v>3011.7</v>
      </c>
      <c r="H387" s="3">
        <v>46022</v>
      </c>
      <c r="I387" s="4">
        <v>768.14</v>
      </c>
      <c r="J387" s="2" t="s">
        <v>4825</v>
      </c>
      <c r="K387" s="3">
        <v>45964</v>
      </c>
      <c r="L387" s="2">
        <f>IF(G387&lt;=0,0,MAX(0,Assumptions!$B$3-K387))</f>
        <v>0</v>
      </c>
      <c r="M387" s="2" t="str">
        <f t="shared" si="13"/>
        <v>30 days</v>
      </c>
      <c r="N387" s="4">
        <v>50</v>
      </c>
      <c r="O387" s="2" t="s">
        <v>78</v>
      </c>
      <c r="P387" s="2" t="s">
        <v>78</v>
      </c>
    </row>
    <row r="388" spans="1:16" x14ac:dyDescent="0.2">
      <c r="A388" s="2" t="s">
        <v>2329</v>
      </c>
      <c r="B388" s="2" t="s">
        <v>606</v>
      </c>
      <c r="C388" s="4">
        <v>1097.78</v>
      </c>
      <c r="D388" s="4">
        <f t="shared" si="12"/>
        <v>13173.36</v>
      </c>
      <c r="E388" s="2" t="s">
        <v>78</v>
      </c>
      <c r="F388" s="4">
        <v>0</v>
      </c>
      <c r="G388" s="4">
        <v>0</v>
      </c>
      <c r="H388" s="3">
        <v>46035</v>
      </c>
      <c r="I388" s="4">
        <v>1093.74</v>
      </c>
      <c r="J388" s="2" t="s">
        <v>4826</v>
      </c>
      <c r="K388" s="3">
        <v>46054</v>
      </c>
      <c r="L388" s="2">
        <f>IF(G388&lt;=0,0,MAX(0,Assumptions!$B$3-K388))</f>
        <v>0</v>
      </c>
      <c r="M388" s="2" t="str">
        <f t="shared" si="13"/>
        <v>Current</v>
      </c>
      <c r="N388" s="4">
        <v>0</v>
      </c>
      <c r="O388" s="2" t="s">
        <v>78</v>
      </c>
      <c r="P388" s="2" t="s">
        <v>36</v>
      </c>
    </row>
    <row r="389" spans="1:16" x14ac:dyDescent="0.2">
      <c r="A389" s="2" t="s">
        <v>2335</v>
      </c>
      <c r="B389" s="2" t="s">
        <v>689</v>
      </c>
      <c r="C389" s="4">
        <v>1097.78</v>
      </c>
      <c r="D389" s="4">
        <f t="shared" si="12"/>
        <v>13173.36</v>
      </c>
      <c r="E389" s="2" t="s">
        <v>78</v>
      </c>
      <c r="F389" s="4">
        <v>0</v>
      </c>
      <c r="G389" s="4">
        <v>15</v>
      </c>
      <c r="H389" s="3">
        <v>46030</v>
      </c>
      <c r="I389" s="4">
        <v>1012</v>
      </c>
      <c r="J389" s="2" t="s">
        <v>4826</v>
      </c>
      <c r="K389" s="3">
        <v>46054</v>
      </c>
      <c r="L389" s="2">
        <f>IF(G389&lt;=0,0,MAX(0,Assumptions!$B$3-K389))</f>
        <v>0</v>
      </c>
      <c r="M389" s="2" t="str">
        <f t="shared" si="13"/>
        <v>30 days</v>
      </c>
      <c r="N389" s="4">
        <v>0</v>
      </c>
      <c r="O389" s="2" t="s">
        <v>78</v>
      </c>
      <c r="P389" s="2" t="s">
        <v>36</v>
      </c>
    </row>
    <row r="390" spans="1:16" x14ac:dyDescent="0.2">
      <c r="A390" s="2" t="s">
        <v>2341</v>
      </c>
      <c r="B390" s="2" t="s">
        <v>2342</v>
      </c>
      <c r="C390" s="4">
        <v>1097.78</v>
      </c>
      <c r="D390" s="4">
        <f t="shared" si="12"/>
        <v>13173.36</v>
      </c>
      <c r="E390" s="2" t="s">
        <v>78</v>
      </c>
      <c r="F390" s="4">
        <v>0</v>
      </c>
      <c r="G390" s="4">
        <v>0</v>
      </c>
      <c r="H390" s="3">
        <v>46039</v>
      </c>
      <c r="I390" s="4">
        <v>1308.6300000000001</v>
      </c>
      <c r="J390" s="2" t="s">
        <v>4824</v>
      </c>
      <c r="K390" s="3">
        <v>46054</v>
      </c>
      <c r="L390" s="2">
        <f>IF(G390&lt;=0,0,MAX(0,Assumptions!$B$3-K390))</f>
        <v>0</v>
      </c>
      <c r="M390" s="2" t="str">
        <f t="shared" si="13"/>
        <v>Current</v>
      </c>
      <c r="N390" s="4">
        <v>0</v>
      </c>
      <c r="O390" s="2" t="s">
        <v>78</v>
      </c>
      <c r="P390" s="2" t="s">
        <v>78</v>
      </c>
    </row>
    <row r="391" spans="1:16" x14ac:dyDescent="0.2">
      <c r="A391" s="2" t="s">
        <v>2347</v>
      </c>
      <c r="B391" s="2" t="s">
        <v>2348</v>
      </c>
      <c r="C391" s="4">
        <v>1097.78</v>
      </c>
      <c r="D391" s="4">
        <f t="shared" si="12"/>
        <v>13173.36</v>
      </c>
      <c r="E391" s="2" t="s">
        <v>78</v>
      </c>
      <c r="F391" s="4">
        <v>0</v>
      </c>
      <c r="G391" s="4">
        <v>-50</v>
      </c>
      <c r="H391" s="3">
        <v>46036</v>
      </c>
      <c r="I391" s="4">
        <v>930.78</v>
      </c>
      <c r="J391" s="2" t="s">
        <v>4825</v>
      </c>
      <c r="K391" s="3">
        <v>46054</v>
      </c>
      <c r="L391" s="2">
        <f>IF(G391&lt;=0,0,MAX(0,Assumptions!$B$3-K391))</f>
        <v>0</v>
      </c>
      <c r="M391" s="2" t="str">
        <f t="shared" si="13"/>
        <v>Current</v>
      </c>
      <c r="N391" s="4">
        <v>0</v>
      </c>
      <c r="O391" s="2" t="s">
        <v>78</v>
      </c>
      <c r="P391" s="2" t="s">
        <v>36</v>
      </c>
    </row>
    <row r="392" spans="1:16" x14ac:dyDescent="0.2">
      <c r="A392" s="2" t="s">
        <v>2353</v>
      </c>
      <c r="B392" s="2" t="s">
        <v>2348</v>
      </c>
      <c r="C392" s="4">
        <v>1515.98</v>
      </c>
      <c r="D392" s="4">
        <f t="shared" si="12"/>
        <v>18191.760000000002</v>
      </c>
      <c r="E392" s="2" t="s">
        <v>78</v>
      </c>
      <c r="F392" s="4">
        <v>0</v>
      </c>
      <c r="G392" s="4">
        <v>25</v>
      </c>
      <c r="H392" s="3">
        <v>46058</v>
      </c>
      <c r="I392" s="4">
        <v>1806.92</v>
      </c>
      <c r="J392" s="2" t="s">
        <v>4826</v>
      </c>
      <c r="K392" s="3">
        <v>46054</v>
      </c>
      <c r="L392" s="2">
        <f>IF(G392&lt;=0,0,MAX(0,Assumptions!$B$3-K392))</f>
        <v>0</v>
      </c>
      <c r="M392" s="2" t="str">
        <f t="shared" si="13"/>
        <v>30 days</v>
      </c>
      <c r="N392" s="4">
        <v>0</v>
      </c>
      <c r="O392" s="2" t="s">
        <v>78</v>
      </c>
      <c r="P392" s="2" t="s">
        <v>78</v>
      </c>
    </row>
    <row r="393" spans="1:16" x14ac:dyDescent="0.2">
      <c r="A393" s="2" t="s">
        <v>2359</v>
      </c>
      <c r="B393" s="2" t="s">
        <v>2360</v>
      </c>
      <c r="C393" s="4">
        <v>760.52</v>
      </c>
      <c r="D393" s="4">
        <f t="shared" si="12"/>
        <v>9126.24</v>
      </c>
      <c r="E393" s="2" t="s">
        <v>78</v>
      </c>
      <c r="F393" s="4">
        <v>0</v>
      </c>
      <c r="G393" s="4">
        <v>0</v>
      </c>
      <c r="H393" s="3">
        <v>46052</v>
      </c>
      <c r="I393" s="4">
        <v>635.52</v>
      </c>
      <c r="J393" s="2" t="s">
        <v>4823</v>
      </c>
      <c r="K393" s="3">
        <v>46054</v>
      </c>
      <c r="L393" s="2">
        <f>IF(G393&lt;=0,0,MAX(0,Assumptions!$B$3-K393))</f>
        <v>0</v>
      </c>
      <c r="M393" s="2" t="str">
        <f t="shared" si="13"/>
        <v>Current</v>
      </c>
      <c r="N393" s="4">
        <v>0</v>
      </c>
      <c r="O393" s="2" t="s">
        <v>78</v>
      </c>
      <c r="P393" s="2" t="s">
        <v>36</v>
      </c>
    </row>
    <row r="394" spans="1:16" x14ac:dyDescent="0.2">
      <c r="A394" s="2" t="s">
        <v>2365</v>
      </c>
      <c r="B394" s="2" t="s">
        <v>2366</v>
      </c>
      <c r="C394" s="4">
        <v>760.52</v>
      </c>
      <c r="D394" s="4">
        <f t="shared" si="12"/>
        <v>9126.24</v>
      </c>
      <c r="E394" s="2" t="s">
        <v>78</v>
      </c>
      <c r="F394" s="4">
        <v>0</v>
      </c>
      <c r="G394" s="4">
        <v>0</v>
      </c>
      <c r="H394" s="3">
        <v>46049</v>
      </c>
      <c r="I394" s="4">
        <v>820.27</v>
      </c>
      <c r="J394" s="2" t="s">
        <v>4826</v>
      </c>
      <c r="K394" s="3">
        <v>46054</v>
      </c>
      <c r="L394" s="2">
        <f>IF(G394&lt;=0,0,MAX(0,Assumptions!$B$3-K394))</f>
        <v>0</v>
      </c>
      <c r="M394" s="2" t="str">
        <f t="shared" si="13"/>
        <v>Current</v>
      </c>
      <c r="N394" s="4">
        <v>0</v>
      </c>
      <c r="O394" s="2" t="s">
        <v>78</v>
      </c>
      <c r="P394" s="2" t="s">
        <v>78</v>
      </c>
    </row>
    <row r="395" spans="1:16" x14ac:dyDescent="0.2">
      <c r="A395" s="2" t="s">
        <v>2370</v>
      </c>
      <c r="B395" s="2" t="s">
        <v>2371</v>
      </c>
      <c r="C395" s="4">
        <v>760.52</v>
      </c>
      <c r="D395" s="4">
        <f t="shared" si="12"/>
        <v>9126.24</v>
      </c>
      <c r="E395" s="2" t="s">
        <v>78</v>
      </c>
      <c r="F395" s="4">
        <v>0</v>
      </c>
      <c r="G395" s="4">
        <v>0</v>
      </c>
      <c r="H395" s="3">
        <v>46046</v>
      </c>
      <c r="I395" s="4">
        <v>875.83</v>
      </c>
      <c r="J395" s="2" t="s">
        <v>4823</v>
      </c>
      <c r="K395" s="3">
        <v>46054</v>
      </c>
      <c r="L395" s="2">
        <f>IF(G395&lt;=0,0,MAX(0,Assumptions!$B$3-K395))</f>
        <v>0</v>
      </c>
      <c r="M395" s="2" t="str">
        <f t="shared" si="13"/>
        <v>Current</v>
      </c>
      <c r="N395" s="4">
        <v>0</v>
      </c>
      <c r="O395" s="2" t="s">
        <v>78</v>
      </c>
      <c r="P395" s="2" t="s">
        <v>36</v>
      </c>
    </row>
    <row r="396" spans="1:16" x14ac:dyDescent="0.2">
      <c r="A396" s="2" t="s">
        <v>2376</v>
      </c>
      <c r="B396" s="2" t="s">
        <v>2377</v>
      </c>
      <c r="C396" s="4">
        <v>760.52</v>
      </c>
      <c r="D396" s="4">
        <f t="shared" si="12"/>
        <v>9126.24</v>
      </c>
      <c r="E396" s="2" t="s">
        <v>78</v>
      </c>
      <c r="F396" s="4">
        <v>0</v>
      </c>
      <c r="G396" s="4">
        <v>3209.51</v>
      </c>
      <c r="H396" s="3">
        <v>45997</v>
      </c>
      <c r="I396" s="4">
        <v>745.84</v>
      </c>
      <c r="J396" s="2" t="s">
        <v>4824</v>
      </c>
      <c r="K396" s="3">
        <v>45934</v>
      </c>
      <c r="L396" s="2">
        <f>IF(G396&lt;=0,0,MAX(0,Assumptions!$B$3-K396))</f>
        <v>0</v>
      </c>
      <c r="M396" s="2" t="str">
        <f t="shared" si="13"/>
        <v>30 days</v>
      </c>
      <c r="N396" s="4">
        <v>0</v>
      </c>
      <c r="O396" s="2" t="s">
        <v>78</v>
      </c>
      <c r="P396" s="2" t="s">
        <v>78</v>
      </c>
    </row>
    <row r="397" spans="1:16" x14ac:dyDescent="0.2">
      <c r="A397" s="2" t="s">
        <v>2381</v>
      </c>
      <c r="B397" s="2" t="s">
        <v>1779</v>
      </c>
      <c r="C397" s="4">
        <v>760.52</v>
      </c>
      <c r="D397" s="4">
        <f t="shared" si="12"/>
        <v>9126.24</v>
      </c>
      <c r="E397" s="2" t="s">
        <v>36</v>
      </c>
      <c r="F397" s="4">
        <v>5235.59</v>
      </c>
      <c r="G397" s="4">
        <v>-50</v>
      </c>
      <c r="H397" s="3">
        <v>46067</v>
      </c>
      <c r="I397" s="4">
        <v>659.68</v>
      </c>
      <c r="J397" s="2" t="s">
        <v>4824</v>
      </c>
      <c r="K397" s="3">
        <v>46054</v>
      </c>
      <c r="L397" s="2">
        <f>IF(G397&lt;=0,0,MAX(0,Assumptions!$B$3-K397))</f>
        <v>0</v>
      </c>
      <c r="M397" s="2" t="str">
        <f t="shared" si="13"/>
        <v>Current</v>
      </c>
      <c r="N397" s="4">
        <v>0</v>
      </c>
      <c r="O397" s="2" t="s">
        <v>78</v>
      </c>
      <c r="P397" s="2" t="s">
        <v>78</v>
      </c>
    </row>
    <row r="398" spans="1:16" x14ac:dyDescent="0.2">
      <c r="A398" s="2" t="s">
        <v>2385</v>
      </c>
      <c r="B398" s="2" t="s">
        <v>2386</v>
      </c>
      <c r="C398" s="4">
        <v>760.52</v>
      </c>
      <c r="D398" s="4">
        <f t="shared" si="12"/>
        <v>9126.24</v>
      </c>
      <c r="E398" s="2" t="s">
        <v>78</v>
      </c>
      <c r="F398" s="4">
        <v>0</v>
      </c>
      <c r="G398" s="4">
        <v>2433.3200000000002</v>
      </c>
      <c r="H398" s="3">
        <v>45931</v>
      </c>
      <c r="I398" s="4">
        <v>145.83000000000001</v>
      </c>
      <c r="J398" s="2" t="s">
        <v>4826</v>
      </c>
      <c r="K398" s="3">
        <v>45964</v>
      </c>
      <c r="L398" s="2">
        <f>IF(G398&lt;=0,0,MAX(0,Assumptions!$B$3-K398))</f>
        <v>0</v>
      </c>
      <c r="M398" s="2" t="str">
        <f t="shared" si="13"/>
        <v>30 days</v>
      </c>
      <c r="N398" s="4">
        <v>0</v>
      </c>
      <c r="O398" s="2" t="s">
        <v>78</v>
      </c>
      <c r="P398" s="2" t="s">
        <v>78</v>
      </c>
    </row>
    <row r="399" spans="1:16" x14ac:dyDescent="0.2">
      <c r="A399" s="2" t="s">
        <v>2392</v>
      </c>
      <c r="B399" s="2" t="s">
        <v>707</v>
      </c>
      <c r="C399" s="4">
        <v>933.61</v>
      </c>
      <c r="D399" s="4">
        <f t="shared" si="12"/>
        <v>11203.32</v>
      </c>
      <c r="E399" s="2" t="s">
        <v>78</v>
      </c>
      <c r="F399" s="4">
        <v>0</v>
      </c>
      <c r="G399" s="4">
        <v>-50</v>
      </c>
      <c r="H399" s="3">
        <v>46067</v>
      </c>
      <c r="I399" s="4">
        <v>1072.57</v>
      </c>
      <c r="J399" s="2" t="s">
        <v>4826</v>
      </c>
      <c r="K399" s="3">
        <v>46054</v>
      </c>
      <c r="L399" s="2">
        <f>IF(G399&lt;=0,0,MAX(0,Assumptions!$B$3-K399))</f>
        <v>0</v>
      </c>
      <c r="M399" s="2" t="str">
        <f t="shared" si="13"/>
        <v>Current</v>
      </c>
      <c r="N399" s="4">
        <v>0</v>
      </c>
      <c r="O399" s="2" t="s">
        <v>78</v>
      </c>
      <c r="P399" s="2" t="s">
        <v>78</v>
      </c>
    </row>
    <row r="400" spans="1:16" x14ac:dyDescent="0.2">
      <c r="A400" s="2" t="s">
        <v>2398</v>
      </c>
      <c r="B400" s="2" t="s">
        <v>2399</v>
      </c>
      <c r="C400" s="4">
        <v>933.61</v>
      </c>
      <c r="D400" s="4">
        <f t="shared" si="12"/>
        <v>11203.32</v>
      </c>
      <c r="E400" s="2" t="s">
        <v>78</v>
      </c>
      <c r="F400" s="4">
        <v>0</v>
      </c>
      <c r="G400" s="4">
        <v>0</v>
      </c>
      <c r="H400" s="3">
        <v>46041</v>
      </c>
      <c r="I400" s="4">
        <v>802.48</v>
      </c>
      <c r="J400" s="2" t="s">
        <v>4823</v>
      </c>
      <c r="K400" s="3">
        <v>46054</v>
      </c>
      <c r="L400" s="2">
        <f>IF(G400&lt;=0,0,MAX(0,Assumptions!$B$3-K400))</f>
        <v>0</v>
      </c>
      <c r="M400" s="2" t="str">
        <f t="shared" si="13"/>
        <v>Current</v>
      </c>
      <c r="N400" s="4">
        <v>0</v>
      </c>
      <c r="O400" s="2" t="s">
        <v>78</v>
      </c>
      <c r="P400" s="2" t="s">
        <v>78</v>
      </c>
    </row>
    <row r="401" spans="1:16" x14ac:dyDescent="0.2">
      <c r="A401" s="2" t="s">
        <v>2405</v>
      </c>
      <c r="B401" s="2" t="s">
        <v>2406</v>
      </c>
      <c r="C401" s="4">
        <v>933.61</v>
      </c>
      <c r="D401" s="4">
        <f t="shared" si="12"/>
        <v>11203.32</v>
      </c>
      <c r="E401" s="2" t="s">
        <v>78</v>
      </c>
      <c r="F401" s="4">
        <v>0</v>
      </c>
      <c r="G401" s="4">
        <v>1140.23</v>
      </c>
      <c r="H401" s="3">
        <v>46001</v>
      </c>
      <c r="I401" s="4">
        <v>1096.07</v>
      </c>
      <c r="J401" s="2" t="s">
        <v>4827</v>
      </c>
      <c r="K401" s="3">
        <v>46024</v>
      </c>
      <c r="L401" s="2">
        <f>IF(G401&lt;=0,0,MAX(0,Assumptions!$B$3-K401))</f>
        <v>0</v>
      </c>
      <c r="M401" s="2" t="str">
        <f t="shared" si="13"/>
        <v>30 days</v>
      </c>
      <c r="N401" s="4">
        <v>0</v>
      </c>
      <c r="O401" s="2" t="s">
        <v>78</v>
      </c>
      <c r="P401" s="2" t="s">
        <v>78</v>
      </c>
    </row>
    <row r="402" spans="1:16" x14ac:dyDescent="0.2">
      <c r="A402" s="2" t="s">
        <v>2413</v>
      </c>
      <c r="B402" s="2" t="s">
        <v>2414</v>
      </c>
      <c r="C402" s="4">
        <v>933.61</v>
      </c>
      <c r="D402" s="4">
        <f t="shared" si="12"/>
        <v>11203.32</v>
      </c>
      <c r="E402" s="2" t="s">
        <v>78</v>
      </c>
      <c r="F402" s="4">
        <v>0</v>
      </c>
      <c r="G402" s="4">
        <v>0</v>
      </c>
      <c r="H402" s="3">
        <v>46042</v>
      </c>
      <c r="I402" s="4">
        <v>819.02</v>
      </c>
      <c r="J402" s="2" t="s">
        <v>4826</v>
      </c>
      <c r="K402" s="3">
        <v>46054</v>
      </c>
      <c r="L402" s="2">
        <f>IF(G402&lt;=0,0,MAX(0,Assumptions!$B$3-K402))</f>
        <v>0</v>
      </c>
      <c r="M402" s="2" t="str">
        <f t="shared" si="13"/>
        <v>Current</v>
      </c>
      <c r="N402" s="4">
        <v>0</v>
      </c>
      <c r="O402" s="2" t="s">
        <v>78</v>
      </c>
      <c r="P402" s="2" t="s">
        <v>78</v>
      </c>
    </row>
    <row r="403" spans="1:16" x14ac:dyDescent="0.2">
      <c r="A403" s="2" t="s">
        <v>2419</v>
      </c>
      <c r="B403" s="2" t="s">
        <v>2420</v>
      </c>
      <c r="C403" s="4">
        <v>933.61</v>
      </c>
      <c r="D403" s="4">
        <f t="shared" si="12"/>
        <v>11203.32</v>
      </c>
      <c r="E403" s="2" t="s">
        <v>78</v>
      </c>
      <c r="F403" s="4">
        <v>0</v>
      </c>
      <c r="G403" s="4">
        <v>15</v>
      </c>
      <c r="H403" s="3">
        <v>46049</v>
      </c>
      <c r="I403" s="4">
        <v>1039.69</v>
      </c>
      <c r="J403" s="2" t="s">
        <v>4825</v>
      </c>
      <c r="K403" s="3">
        <v>46054</v>
      </c>
      <c r="L403" s="2">
        <f>IF(G403&lt;=0,0,MAX(0,Assumptions!$B$3-K403))</f>
        <v>0</v>
      </c>
      <c r="M403" s="2" t="str">
        <f t="shared" si="13"/>
        <v>30 days</v>
      </c>
      <c r="N403" s="4">
        <v>0</v>
      </c>
      <c r="O403" s="2" t="s">
        <v>78</v>
      </c>
      <c r="P403" s="2" t="s">
        <v>78</v>
      </c>
    </row>
    <row r="404" spans="1:16" x14ac:dyDescent="0.2">
      <c r="A404" s="2" t="s">
        <v>2424</v>
      </c>
      <c r="B404" s="2" t="s">
        <v>1369</v>
      </c>
      <c r="C404" s="4">
        <v>933.61</v>
      </c>
      <c r="D404" s="4">
        <f t="shared" si="12"/>
        <v>11203.32</v>
      </c>
      <c r="E404" s="2" t="s">
        <v>78</v>
      </c>
      <c r="F404" s="4">
        <v>0</v>
      </c>
      <c r="G404" s="4">
        <v>0</v>
      </c>
      <c r="H404" s="3">
        <v>46058</v>
      </c>
      <c r="I404" s="4">
        <v>1105.54</v>
      </c>
      <c r="J404" s="2" t="s">
        <v>4823</v>
      </c>
      <c r="K404" s="3">
        <v>46054</v>
      </c>
      <c r="L404" s="2">
        <f>IF(G404&lt;=0,0,MAX(0,Assumptions!$B$3-K404))</f>
        <v>0</v>
      </c>
      <c r="M404" s="2" t="str">
        <f t="shared" si="13"/>
        <v>Current</v>
      </c>
      <c r="N404" s="4">
        <v>0</v>
      </c>
      <c r="O404" s="2" t="s">
        <v>78</v>
      </c>
      <c r="P404" s="2" t="s">
        <v>36</v>
      </c>
    </row>
    <row r="405" spans="1:16" x14ac:dyDescent="0.2">
      <c r="A405" s="2" t="s">
        <v>2430</v>
      </c>
      <c r="B405" s="2" t="s">
        <v>899</v>
      </c>
      <c r="C405" s="4">
        <v>1101.45</v>
      </c>
      <c r="D405" s="4">
        <f t="shared" si="12"/>
        <v>13217.400000000001</v>
      </c>
      <c r="E405" s="2" t="s">
        <v>78</v>
      </c>
      <c r="F405" s="4">
        <v>0</v>
      </c>
      <c r="G405" s="4">
        <v>0</v>
      </c>
      <c r="H405" s="3">
        <v>46031</v>
      </c>
      <c r="I405" s="4">
        <v>1192.93</v>
      </c>
      <c r="J405" s="2" t="s">
        <v>4824</v>
      </c>
      <c r="K405" s="3">
        <v>46054</v>
      </c>
      <c r="L405" s="2">
        <f>IF(G405&lt;=0,0,MAX(0,Assumptions!$B$3-K405))</f>
        <v>0</v>
      </c>
      <c r="M405" s="2" t="str">
        <f t="shared" si="13"/>
        <v>Current</v>
      </c>
      <c r="N405" s="4">
        <v>0</v>
      </c>
      <c r="O405" s="2" t="s">
        <v>78</v>
      </c>
      <c r="P405" s="2" t="s">
        <v>36</v>
      </c>
    </row>
    <row r="406" spans="1:16" x14ac:dyDescent="0.2">
      <c r="A406" s="2" t="s">
        <v>2434</v>
      </c>
      <c r="B406" s="2" t="s">
        <v>1027</v>
      </c>
      <c r="C406" s="4">
        <v>1101.45</v>
      </c>
      <c r="D406" s="4">
        <f t="shared" si="12"/>
        <v>13217.400000000001</v>
      </c>
      <c r="E406" s="2" t="s">
        <v>78</v>
      </c>
      <c r="F406" s="4">
        <v>0</v>
      </c>
      <c r="G406" s="4">
        <v>-50</v>
      </c>
      <c r="H406" s="3">
        <v>46040</v>
      </c>
      <c r="I406" s="4">
        <v>1129.21</v>
      </c>
      <c r="J406" s="2" t="s">
        <v>4824</v>
      </c>
      <c r="K406" s="3">
        <v>46054</v>
      </c>
      <c r="L406" s="2">
        <f>IF(G406&lt;=0,0,MAX(0,Assumptions!$B$3-K406))</f>
        <v>0</v>
      </c>
      <c r="M406" s="2" t="str">
        <f t="shared" si="13"/>
        <v>Current</v>
      </c>
      <c r="N406" s="4">
        <v>0</v>
      </c>
      <c r="O406" s="2" t="s">
        <v>78</v>
      </c>
      <c r="P406" s="2" t="s">
        <v>78</v>
      </c>
    </row>
    <row r="407" spans="1:16" x14ac:dyDescent="0.2">
      <c r="A407" s="2" t="s">
        <v>2439</v>
      </c>
      <c r="B407" s="2" t="s">
        <v>2440</v>
      </c>
      <c r="C407" s="4">
        <v>1101.45</v>
      </c>
      <c r="D407" s="4">
        <f t="shared" si="12"/>
        <v>13217.400000000001</v>
      </c>
      <c r="E407" s="2" t="s">
        <v>78</v>
      </c>
      <c r="F407" s="4">
        <v>0</v>
      </c>
      <c r="G407" s="4">
        <v>0</v>
      </c>
      <c r="H407" s="3">
        <v>46053</v>
      </c>
      <c r="I407" s="4">
        <v>940.85</v>
      </c>
      <c r="J407" s="2" t="s">
        <v>4826</v>
      </c>
      <c r="K407" s="3">
        <v>46054</v>
      </c>
      <c r="L407" s="2">
        <f>IF(G407&lt;=0,0,MAX(0,Assumptions!$B$3-K407))</f>
        <v>0</v>
      </c>
      <c r="M407" s="2" t="str">
        <f t="shared" si="13"/>
        <v>Current</v>
      </c>
      <c r="N407" s="4">
        <v>0</v>
      </c>
      <c r="O407" s="2" t="s">
        <v>78</v>
      </c>
      <c r="P407" s="2" t="s">
        <v>78</v>
      </c>
    </row>
    <row r="408" spans="1:16" x14ac:dyDescent="0.2">
      <c r="A408" s="2" t="s">
        <v>2445</v>
      </c>
      <c r="B408" s="2" t="s">
        <v>689</v>
      </c>
      <c r="C408" s="4">
        <v>1101.45</v>
      </c>
      <c r="D408" s="4">
        <f t="shared" si="12"/>
        <v>13217.400000000001</v>
      </c>
      <c r="E408" s="2" t="s">
        <v>78</v>
      </c>
      <c r="F408" s="4">
        <v>0</v>
      </c>
      <c r="G408" s="4">
        <v>0</v>
      </c>
      <c r="H408" s="3">
        <v>46068</v>
      </c>
      <c r="I408" s="4">
        <v>1097.25</v>
      </c>
      <c r="J408" s="2" t="s">
        <v>4823</v>
      </c>
      <c r="K408" s="3">
        <v>46054</v>
      </c>
      <c r="L408" s="2">
        <f>IF(G408&lt;=0,0,MAX(0,Assumptions!$B$3-K408))</f>
        <v>0</v>
      </c>
      <c r="M408" s="2" t="str">
        <f t="shared" si="13"/>
        <v>Current</v>
      </c>
      <c r="N408" s="4">
        <v>0</v>
      </c>
      <c r="O408" s="2" t="s">
        <v>78</v>
      </c>
      <c r="P408" s="2" t="s">
        <v>78</v>
      </c>
    </row>
    <row r="409" spans="1:16" x14ac:dyDescent="0.2">
      <c r="A409" s="2" t="s">
        <v>2449</v>
      </c>
      <c r="B409" s="2" t="s">
        <v>2450</v>
      </c>
      <c r="C409" s="4">
        <v>1521.05</v>
      </c>
      <c r="D409" s="4">
        <f t="shared" si="12"/>
        <v>18252.599999999999</v>
      </c>
      <c r="E409" s="2" t="s">
        <v>78</v>
      </c>
      <c r="F409" s="4">
        <v>0</v>
      </c>
      <c r="G409" s="4">
        <v>0</v>
      </c>
      <c r="H409" s="3">
        <v>46042</v>
      </c>
      <c r="I409" s="4">
        <v>1820.57</v>
      </c>
      <c r="J409" s="2" t="s">
        <v>4827</v>
      </c>
      <c r="K409" s="3">
        <v>46054</v>
      </c>
      <c r="L409" s="2">
        <f>IF(G409&lt;=0,0,MAX(0,Assumptions!$B$3-K409))</f>
        <v>0</v>
      </c>
      <c r="M409" s="2" t="str">
        <f t="shared" si="13"/>
        <v>Current</v>
      </c>
      <c r="N409" s="4">
        <v>0</v>
      </c>
      <c r="O409" s="2" t="s">
        <v>78</v>
      </c>
      <c r="P409" s="2" t="s">
        <v>78</v>
      </c>
    </row>
    <row r="410" spans="1:16" x14ac:dyDescent="0.2">
      <c r="A410" s="2" t="s">
        <v>2455</v>
      </c>
      <c r="B410" s="2" t="s">
        <v>2456</v>
      </c>
      <c r="C410" s="4">
        <v>763.06</v>
      </c>
      <c r="D410" s="4">
        <f t="shared" si="12"/>
        <v>9156.7199999999993</v>
      </c>
      <c r="E410" s="2" t="s">
        <v>78</v>
      </c>
      <c r="F410" s="4">
        <v>0</v>
      </c>
      <c r="G410" s="4">
        <v>0</v>
      </c>
      <c r="H410" s="3">
        <v>46061</v>
      </c>
      <c r="I410" s="4">
        <v>899.43</v>
      </c>
      <c r="J410" s="2" t="s">
        <v>4827</v>
      </c>
      <c r="K410" s="3">
        <v>46054</v>
      </c>
      <c r="L410" s="2">
        <f>IF(G410&lt;=0,0,MAX(0,Assumptions!$B$3-K410))</f>
        <v>0</v>
      </c>
      <c r="M410" s="2" t="str">
        <f t="shared" si="13"/>
        <v>Current</v>
      </c>
      <c r="N410" s="4">
        <v>0</v>
      </c>
      <c r="O410" s="2" t="s">
        <v>78</v>
      </c>
      <c r="P410" s="2" t="s">
        <v>78</v>
      </c>
    </row>
    <row r="411" spans="1:16" x14ac:dyDescent="0.2">
      <c r="A411" s="2" t="s">
        <v>2461</v>
      </c>
      <c r="B411" s="2" t="s">
        <v>2462</v>
      </c>
      <c r="C411" s="4">
        <v>763.06</v>
      </c>
      <c r="D411" s="4">
        <f t="shared" si="12"/>
        <v>9156.7199999999993</v>
      </c>
      <c r="E411" s="2" t="s">
        <v>78</v>
      </c>
      <c r="F411" s="4">
        <v>0</v>
      </c>
      <c r="G411" s="4">
        <v>0</v>
      </c>
      <c r="H411" s="3">
        <v>46032</v>
      </c>
      <c r="I411" s="4">
        <v>706.18</v>
      </c>
      <c r="J411" s="2" t="s">
        <v>4825</v>
      </c>
      <c r="K411" s="3">
        <v>46054</v>
      </c>
      <c r="L411" s="2">
        <f>IF(G411&lt;=0,0,MAX(0,Assumptions!$B$3-K411))</f>
        <v>0</v>
      </c>
      <c r="M411" s="2" t="str">
        <f t="shared" si="13"/>
        <v>Current</v>
      </c>
      <c r="N411" s="4">
        <v>0</v>
      </c>
      <c r="O411" s="2" t="s">
        <v>78</v>
      </c>
      <c r="P411" s="2" t="s">
        <v>78</v>
      </c>
    </row>
    <row r="412" spans="1:16" x14ac:dyDescent="0.2">
      <c r="A412" s="2" t="s">
        <v>2467</v>
      </c>
      <c r="B412" s="2" t="s">
        <v>2468</v>
      </c>
      <c r="C412" s="4">
        <v>763.06</v>
      </c>
      <c r="D412" s="4">
        <f t="shared" si="12"/>
        <v>9156.7199999999993</v>
      </c>
      <c r="E412" s="2" t="s">
        <v>78</v>
      </c>
      <c r="F412" s="4">
        <v>0</v>
      </c>
      <c r="G412" s="4">
        <v>25</v>
      </c>
      <c r="H412" s="3">
        <v>46051</v>
      </c>
      <c r="I412" s="4">
        <v>904.74</v>
      </c>
      <c r="J412" s="2" t="s">
        <v>4825</v>
      </c>
      <c r="K412" s="3">
        <v>46054</v>
      </c>
      <c r="L412" s="2">
        <f>IF(G412&lt;=0,0,MAX(0,Assumptions!$B$3-K412))</f>
        <v>0</v>
      </c>
      <c r="M412" s="2" t="str">
        <f t="shared" si="13"/>
        <v>30 days</v>
      </c>
      <c r="N412" s="4">
        <v>0</v>
      </c>
      <c r="O412" s="2" t="s">
        <v>78</v>
      </c>
      <c r="P412" s="2" t="s">
        <v>36</v>
      </c>
    </row>
    <row r="413" spans="1:16" x14ac:dyDescent="0.2">
      <c r="A413" s="2" t="s">
        <v>2473</v>
      </c>
      <c r="B413" s="2" t="s">
        <v>2474</v>
      </c>
      <c r="C413" s="4">
        <v>763.06</v>
      </c>
      <c r="D413" s="4">
        <f t="shared" si="12"/>
        <v>9156.7199999999993</v>
      </c>
      <c r="E413" s="2" t="s">
        <v>78</v>
      </c>
      <c r="F413" s="4">
        <v>0</v>
      </c>
      <c r="G413" s="4">
        <v>15</v>
      </c>
      <c r="H413" s="3">
        <v>46040</v>
      </c>
      <c r="I413" s="4">
        <v>869.65</v>
      </c>
      <c r="J413" s="2" t="s">
        <v>4824</v>
      </c>
      <c r="K413" s="3">
        <v>46054</v>
      </c>
      <c r="L413" s="2">
        <f>IF(G413&lt;=0,0,MAX(0,Assumptions!$B$3-K413))</f>
        <v>0</v>
      </c>
      <c r="M413" s="2" t="str">
        <f t="shared" si="13"/>
        <v>30 days</v>
      </c>
      <c r="N413" s="4">
        <v>0</v>
      </c>
      <c r="O413" s="2" t="s">
        <v>78</v>
      </c>
      <c r="P413" s="2" t="s">
        <v>78</v>
      </c>
    </row>
    <row r="414" spans="1:16" x14ac:dyDescent="0.2">
      <c r="A414" s="2" t="s">
        <v>2478</v>
      </c>
      <c r="B414" s="2" t="s">
        <v>875</v>
      </c>
      <c r="C414" s="4">
        <v>763.06</v>
      </c>
      <c r="D414" s="4">
        <f t="shared" si="12"/>
        <v>9156.7199999999993</v>
      </c>
      <c r="E414" s="2" t="s">
        <v>78</v>
      </c>
      <c r="F414" s="4">
        <v>0</v>
      </c>
      <c r="G414" s="4">
        <v>0</v>
      </c>
      <c r="H414" s="3">
        <v>46044</v>
      </c>
      <c r="I414" s="4">
        <v>900.4</v>
      </c>
      <c r="J414" s="2" t="s">
        <v>4826</v>
      </c>
      <c r="K414" s="3">
        <v>46054</v>
      </c>
      <c r="L414" s="2">
        <f>IF(G414&lt;=0,0,MAX(0,Assumptions!$B$3-K414))</f>
        <v>0</v>
      </c>
      <c r="M414" s="2" t="str">
        <f t="shared" si="13"/>
        <v>Current</v>
      </c>
      <c r="N414" s="4">
        <v>0</v>
      </c>
      <c r="O414" s="2" t="s">
        <v>78</v>
      </c>
      <c r="P414" s="2" t="s">
        <v>78</v>
      </c>
    </row>
    <row r="415" spans="1:16" x14ac:dyDescent="0.2">
      <c r="A415" s="2" t="s">
        <v>2483</v>
      </c>
      <c r="B415" s="2" t="s">
        <v>2484</v>
      </c>
      <c r="C415" s="4">
        <v>763.06</v>
      </c>
      <c r="D415" s="4">
        <f t="shared" si="12"/>
        <v>9156.7199999999993</v>
      </c>
      <c r="E415" s="2" t="s">
        <v>78</v>
      </c>
      <c r="F415" s="4">
        <v>0</v>
      </c>
      <c r="G415" s="4">
        <v>25</v>
      </c>
      <c r="H415" s="3">
        <v>46037</v>
      </c>
      <c r="I415" s="4">
        <v>805.92</v>
      </c>
      <c r="J415" s="2" t="s">
        <v>4825</v>
      </c>
      <c r="K415" s="3">
        <v>46054</v>
      </c>
      <c r="L415" s="2">
        <f>IF(G415&lt;=0,0,MAX(0,Assumptions!$B$3-K415))</f>
        <v>0</v>
      </c>
      <c r="M415" s="2" t="str">
        <f t="shared" si="13"/>
        <v>30 days</v>
      </c>
      <c r="N415" s="4">
        <v>0</v>
      </c>
      <c r="O415" s="2" t="s">
        <v>78</v>
      </c>
      <c r="P415" s="2" t="s">
        <v>36</v>
      </c>
    </row>
    <row r="416" spans="1:16" x14ac:dyDescent="0.2">
      <c r="A416" s="2" t="s">
        <v>2488</v>
      </c>
      <c r="B416" s="2" t="s">
        <v>2316</v>
      </c>
      <c r="C416" s="4">
        <v>936.73</v>
      </c>
      <c r="D416" s="4">
        <f t="shared" si="12"/>
        <v>11240.76</v>
      </c>
      <c r="E416" s="2" t="s">
        <v>36</v>
      </c>
      <c r="F416" s="4">
        <v>2968.75</v>
      </c>
      <c r="G416" s="4">
        <v>2046.87</v>
      </c>
      <c r="H416" s="3">
        <v>45923</v>
      </c>
      <c r="I416" s="4">
        <v>795.58</v>
      </c>
      <c r="J416" s="2" t="s">
        <v>4823</v>
      </c>
      <c r="K416" s="3">
        <v>45994</v>
      </c>
      <c r="L416" s="2">
        <f>IF(G416&lt;=0,0,MAX(0,Assumptions!$B$3-K416))</f>
        <v>0</v>
      </c>
      <c r="M416" s="2" t="str">
        <f t="shared" si="13"/>
        <v>30 days</v>
      </c>
      <c r="N416" s="4">
        <v>0</v>
      </c>
      <c r="O416" s="2" t="s">
        <v>78</v>
      </c>
      <c r="P416" s="2" t="s">
        <v>78</v>
      </c>
    </row>
    <row r="417" spans="1:16" x14ac:dyDescent="0.2">
      <c r="A417" s="2" t="s">
        <v>2493</v>
      </c>
      <c r="B417" s="2" t="s">
        <v>821</v>
      </c>
      <c r="C417" s="4">
        <v>936.73</v>
      </c>
      <c r="D417" s="4">
        <f t="shared" si="12"/>
        <v>11240.76</v>
      </c>
      <c r="E417" s="2" t="s">
        <v>78</v>
      </c>
      <c r="F417" s="4">
        <v>0</v>
      </c>
      <c r="G417" s="4">
        <v>0</v>
      </c>
      <c r="H417" s="3">
        <v>46064</v>
      </c>
      <c r="I417" s="4">
        <v>802.47</v>
      </c>
      <c r="J417" s="2" t="s">
        <v>4826</v>
      </c>
      <c r="K417" s="3">
        <v>46054</v>
      </c>
      <c r="L417" s="2">
        <f>IF(G417&lt;=0,0,MAX(0,Assumptions!$B$3-K417))</f>
        <v>0</v>
      </c>
      <c r="M417" s="2" t="str">
        <f t="shared" si="13"/>
        <v>Current</v>
      </c>
      <c r="N417" s="4">
        <v>0</v>
      </c>
      <c r="O417" s="2" t="s">
        <v>78</v>
      </c>
      <c r="P417" s="2" t="s">
        <v>36</v>
      </c>
    </row>
    <row r="418" spans="1:16" x14ac:dyDescent="0.2">
      <c r="A418" s="2" t="s">
        <v>2498</v>
      </c>
      <c r="B418" s="2" t="s">
        <v>363</v>
      </c>
      <c r="C418" s="4">
        <v>936.73</v>
      </c>
      <c r="D418" s="4">
        <f t="shared" si="12"/>
        <v>11240.76</v>
      </c>
      <c r="E418" s="2" t="s">
        <v>78</v>
      </c>
      <c r="F418" s="4">
        <v>0</v>
      </c>
      <c r="G418" s="4">
        <v>0</v>
      </c>
      <c r="H418" s="3">
        <v>46060</v>
      </c>
      <c r="I418" s="4">
        <v>1101.7</v>
      </c>
      <c r="J418" s="2" t="s">
        <v>4827</v>
      </c>
      <c r="K418" s="3">
        <v>46054</v>
      </c>
      <c r="L418" s="2">
        <f>IF(G418&lt;=0,0,MAX(0,Assumptions!$B$3-K418))</f>
        <v>0</v>
      </c>
      <c r="M418" s="2" t="str">
        <f t="shared" si="13"/>
        <v>Current</v>
      </c>
      <c r="N418" s="4">
        <v>0</v>
      </c>
      <c r="O418" s="2" t="s">
        <v>78</v>
      </c>
      <c r="P418" s="2" t="s">
        <v>36</v>
      </c>
    </row>
    <row r="419" spans="1:16" x14ac:dyDescent="0.2">
      <c r="A419" s="2" t="s">
        <v>2505</v>
      </c>
      <c r="B419" s="2" t="s">
        <v>2506</v>
      </c>
      <c r="C419" s="4">
        <v>936.73</v>
      </c>
      <c r="D419" s="4">
        <f t="shared" si="12"/>
        <v>11240.76</v>
      </c>
      <c r="E419" s="2" t="s">
        <v>78</v>
      </c>
      <c r="F419" s="4">
        <v>0</v>
      </c>
      <c r="G419" s="4">
        <v>0</v>
      </c>
      <c r="H419" s="3">
        <v>46056</v>
      </c>
      <c r="I419" s="4">
        <v>1065.1099999999999</v>
      </c>
      <c r="J419" s="2" t="s">
        <v>4826</v>
      </c>
      <c r="K419" s="3">
        <v>46054</v>
      </c>
      <c r="L419" s="2">
        <f>IF(G419&lt;=0,0,MAX(0,Assumptions!$B$3-K419))</f>
        <v>0</v>
      </c>
      <c r="M419" s="2" t="str">
        <f t="shared" si="13"/>
        <v>Current</v>
      </c>
      <c r="N419" s="4">
        <v>0</v>
      </c>
      <c r="O419" s="2" t="s">
        <v>78</v>
      </c>
      <c r="P419" s="2" t="s">
        <v>36</v>
      </c>
    </row>
    <row r="420" spans="1:16" x14ac:dyDescent="0.2">
      <c r="A420" s="2" t="s">
        <v>2513</v>
      </c>
      <c r="B420" s="2" t="s">
        <v>2514</v>
      </c>
      <c r="C420" s="4">
        <v>936.73</v>
      </c>
      <c r="D420" s="4">
        <f t="shared" si="12"/>
        <v>11240.76</v>
      </c>
      <c r="E420" s="2" t="s">
        <v>78</v>
      </c>
      <c r="F420" s="4">
        <v>0</v>
      </c>
      <c r="G420" s="4">
        <v>0</v>
      </c>
      <c r="H420" s="3">
        <v>46071</v>
      </c>
      <c r="I420" s="4">
        <v>1010.17</v>
      </c>
      <c r="J420" s="2" t="s">
        <v>4823</v>
      </c>
      <c r="K420" s="3">
        <v>46054</v>
      </c>
      <c r="L420" s="2">
        <f>IF(G420&lt;=0,0,MAX(0,Assumptions!$B$3-K420))</f>
        <v>0</v>
      </c>
      <c r="M420" s="2" t="str">
        <f t="shared" si="13"/>
        <v>Current</v>
      </c>
      <c r="N420" s="4">
        <v>0</v>
      </c>
      <c r="O420" s="2" t="s">
        <v>78</v>
      </c>
      <c r="P420" s="2" t="s">
        <v>78</v>
      </c>
    </row>
    <row r="421" spans="1:16" x14ac:dyDescent="0.2">
      <c r="A421" s="2" t="s">
        <v>2519</v>
      </c>
      <c r="B421" s="2" t="s">
        <v>532</v>
      </c>
      <c r="C421" s="4">
        <v>936.73</v>
      </c>
      <c r="D421" s="4">
        <f t="shared" si="12"/>
        <v>11240.76</v>
      </c>
      <c r="E421" s="2" t="s">
        <v>36</v>
      </c>
      <c r="F421" s="4">
        <v>1472.23</v>
      </c>
      <c r="G421" s="4">
        <v>0</v>
      </c>
      <c r="H421" s="3">
        <v>46042</v>
      </c>
      <c r="I421" s="4">
        <v>774.3</v>
      </c>
      <c r="J421" s="2" t="s">
        <v>4824</v>
      </c>
      <c r="K421" s="3">
        <v>46054</v>
      </c>
      <c r="L421" s="2">
        <f>IF(G421&lt;=0,0,MAX(0,Assumptions!$B$3-K421))</f>
        <v>0</v>
      </c>
      <c r="M421" s="2" t="str">
        <f t="shared" si="13"/>
        <v>Current</v>
      </c>
      <c r="N421" s="4">
        <v>0</v>
      </c>
      <c r="O421" s="2" t="s">
        <v>78</v>
      </c>
      <c r="P421" s="2" t="s">
        <v>78</v>
      </c>
    </row>
    <row r="422" spans="1:16" x14ac:dyDescent="0.2">
      <c r="A422" s="2" t="s">
        <v>2524</v>
      </c>
      <c r="B422" s="2" t="s">
        <v>2525</v>
      </c>
      <c r="C422" s="4">
        <v>1105.1199999999999</v>
      </c>
      <c r="D422" s="4">
        <f t="shared" si="12"/>
        <v>13261.439999999999</v>
      </c>
      <c r="E422" s="2" t="s">
        <v>78</v>
      </c>
      <c r="F422" s="4">
        <v>0</v>
      </c>
      <c r="G422" s="4">
        <v>0</v>
      </c>
      <c r="H422" s="3">
        <v>46055</v>
      </c>
      <c r="I422" s="4">
        <v>1121.1500000000001</v>
      </c>
      <c r="J422" s="2" t="s">
        <v>4827</v>
      </c>
      <c r="K422" s="3">
        <v>46054</v>
      </c>
      <c r="L422" s="2">
        <f>IF(G422&lt;=0,0,MAX(0,Assumptions!$B$3-K422))</f>
        <v>0</v>
      </c>
      <c r="M422" s="2" t="str">
        <f t="shared" si="13"/>
        <v>Current</v>
      </c>
      <c r="N422" s="4">
        <v>0</v>
      </c>
      <c r="O422" s="2" t="s">
        <v>78</v>
      </c>
      <c r="P422" s="2" t="s">
        <v>78</v>
      </c>
    </row>
    <row r="423" spans="1:16" x14ac:dyDescent="0.2">
      <c r="A423" s="2" t="s">
        <v>2530</v>
      </c>
      <c r="B423" s="2" t="s">
        <v>543</v>
      </c>
      <c r="C423" s="4">
        <v>1105.1199999999999</v>
      </c>
      <c r="D423" s="4">
        <f t="shared" si="12"/>
        <v>13261.439999999999</v>
      </c>
      <c r="E423" s="2" t="s">
        <v>78</v>
      </c>
      <c r="F423" s="4">
        <v>0</v>
      </c>
      <c r="G423" s="4">
        <v>0</v>
      </c>
      <c r="H423" s="3">
        <v>46061</v>
      </c>
      <c r="I423" s="4">
        <v>1304.1300000000001</v>
      </c>
      <c r="J423" s="2" t="s">
        <v>4824</v>
      </c>
      <c r="K423" s="3">
        <v>46054</v>
      </c>
      <c r="L423" s="2">
        <f>IF(G423&lt;=0,0,MAX(0,Assumptions!$B$3-K423))</f>
        <v>0</v>
      </c>
      <c r="M423" s="2" t="str">
        <f t="shared" si="13"/>
        <v>Current</v>
      </c>
      <c r="N423" s="4">
        <v>0</v>
      </c>
      <c r="O423" s="2" t="s">
        <v>78</v>
      </c>
      <c r="P423" s="2" t="s">
        <v>36</v>
      </c>
    </row>
    <row r="424" spans="1:16" x14ac:dyDescent="0.2">
      <c r="A424" s="2" t="s">
        <v>2535</v>
      </c>
      <c r="B424" s="2" t="s">
        <v>2536</v>
      </c>
      <c r="C424" s="4">
        <v>1105.1199999999999</v>
      </c>
      <c r="D424" s="4">
        <f t="shared" si="12"/>
        <v>13261.439999999999</v>
      </c>
      <c r="E424" s="2" t="s">
        <v>78</v>
      </c>
      <c r="F424" s="4">
        <v>0</v>
      </c>
      <c r="G424" s="4">
        <v>0</v>
      </c>
      <c r="H424" s="3">
        <v>46043</v>
      </c>
      <c r="I424" s="4">
        <v>1095.76</v>
      </c>
      <c r="J424" s="2" t="s">
        <v>4825</v>
      </c>
      <c r="K424" s="3">
        <v>46054</v>
      </c>
      <c r="L424" s="2">
        <f>IF(G424&lt;=0,0,MAX(0,Assumptions!$B$3-K424))</f>
        <v>0</v>
      </c>
      <c r="M424" s="2" t="str">
        <f t="shared" si="13"/>
        <v>Current</v>
      </c>
      <c r="N424" s="4">
        <v>0</v>
      </c>
      <c r="O424" s="2" t="s">
        <v>78</v>
      </c>
      <c r="P424" s="2" t="s">
        <v>36</v>
      </c>
    </row>
    <row r="425" spans="1:16" x14ac:dyDescent="0.2">
      <c r="A425" s="2" t="s">
        <v>2541</v>
      </c>
      <c r="B425" s="2" t="s">
        <v>2542</v>
      </c>
      <c r="C425" s="4">
        <v>1105.1199999999999</v>
      </c>
      <c r="D425" s="4">
        <f t="shared" si="12"/>
        <v>13261.439999999999</v>
      </c>
      <c r="E425" s="2" t="s">
        <v>78</v>
      </c>
      <c r="F425" s="4">
        <v>0</v>
      </c>
      <c r="G425" s="4">
        <v>0</v>
      </c>
      <c r="H425" s="3">
        <v>46058</v>
      </c>
      <c r="I425" s="4">
        <v>1076.81</v>
      </c>
      <c r="J425" s="2" t="s">
        <v>4827</v>
      </c>
      <c r="K425" s="3">
        <v>46054</v>
      </c>
      <c r="L425" s="2">
        <f>IF(G425&lt;=0,0,MAX(0,Assumptions!$B$3-K425))</f>
        <v>0</v>
      </c>
      <c r="M425" s="2" t="str">
        <f t="shared" si="13"/>
        <v>Current</v>
      </c>
      <c r="N425" s="4">
        <v>0</v>
      </c>
      <c r="O425" s="2" t="s">
        <v>78</v>
      </c>
      <c r="P425" s="2" t="s">
        <v>78</v>
      </c>
    </row>
    <row r="426" spans="1:16" x14ac:dyDescent="0.2">
      <c r="A426" s="2" t="s">
        <v>2548</v>
      </c>
      <c r="B426" s="2" t="s">
        <v>2549</v>
      </c>
      <c r="C426" s="4">
        <v>1526.12</v>
      </c>
      <c r="D426" s="4">
        <f t="shared" si="12"/>
        <v>18313.439999999999</v>
      </c>
      <c r="E426" s="2" t="s">
        <v>78</v>
      </c>
      <c r="F426" s="4">
        <v>0</v>
      </c>
      <c r="G426" s="4">
        <v>0</v>
      </c>
      <c r="H426" s="3">
        <v>46031</v>
      </c>
      <c r="I426" s="4">
        <v>1790.82</v>
      </c>
      <c r="J426" s="2" t="s">
        <v>4826</v>
      </c>
      <c r="K426" s="3">
        <v>46054</v>
      </c>
      <c r="L426" s="2">
        <f>IF(G426&lt;=0,0,MAX(0,Assumptions!$B$3-K426))</f>
        <v>0</v>
      </c>
      <c r="M426" s="2" t="str">
        <f t="shared" si="13"/>
        <v>Current</v>
      </c>
      <c r="N426" s="4">
        <v>0</v>
      </c>
      <c r="O426" s="2" t="s">
        <v>78</v>
      </c>
      <c r="P426" s="2" t="s">
        <v>36</v>
      </c>
    </row>
    <row r="427" spans="1:16" x14ac:dyDescent="0.2">
      <c r="A427" s="2" t="s">
        <v>2554</v>
      </c>
      <c r="B427" s="2" t="s">
        <v>193</v>
      </c>
      <c r="C427" s="4">
        <v>765.6</v>
      </c>
      <c r="D427" s="4">
        <f t="shared" si="12"/>
        <v>9187.2000000000007</v>
      </c>
      <c r="E427" s="2" t="s">
        <v>36</v>
      </c>
      <c r="F427" s="4">
        <v>620.79</v>
      </c>
      <c r="G427" s="4">
        <v>0</v>
      </c>
      <c r="H427" s="3">
        <v>46052</v>
      </c>
      <c r="I427" s="4">
        <v>875.69</v>
      </c>
      <c r="J427" s="2" t="s">
        <v>4827</v>
      </c>
      <c r="K427" s="3">
        <v>46054</v>
      </c>
      <c r="L427" s="2">
        <f>IF(G427&lt;=0,0,MAX(0,Assumptions!$B$3-K427))</f>
        <v>0</v>
      </c>
      <c r="M427" s="2" t="str">
        <f t="shared" si="13"/>
        <v>Current</v>
      </c>
      <c r="N427" s="4">
        <v>0</v>
      </c>
      <c r="O427" s="2" t="s">
        <v>78</v>
      </c>
      <c r="P427" s="2" t="s">
        <v>78</v>
      </c>
    </row>
    <row r="428" spans="1:16" x14ac:dyDescent="0.2">
      <c r="A428" s="2" t="s">
        <v>2559</v>
      </c>
      <c r="B428" s="2" t="s">
        <v>2113</v>
      </c>
      <c r="C428" s="4">
        <v>765.6</v>
      </c>
      <c r="D428" s="4">
        <f t="shared" si="12"/>
        <v>9187.2000000000007</v>
      </c>
      <c r="E428" s="2" t="s">
        <v>78</v>
      </c>
      <c r="F428" s="4">
        <v>0</v>
      </c>
      <c r="G428" s="4">
        <v>0</v>
      </c>
      <c r="H428" s="3">
        <v>46048</v>
      </c>
      <c r="I428" s="4">
        <v>728.86</v>
      </c>
      <c r="J428" s="2" t="s">
        <v>4827</v>
      </c>
      <c r="K428" s="3">
        <v>46054</v>
      </c>
      <c r="L428" s="2">
        <f>IF(G428&lt;=0,0,MAX(0,Assumptions!$B$3-K428))</f>
        <v>0</v>
      </c>
      <c r="M428" s="2" t="str">
        <f t="shared" si="13"/>
        <v>Current</v>
      </c>
      <c r="N428" s="4">
        <v>0</v>
      </c>
      <c r="O428" s="2" t="s">
        <v>78</v>
      </c>
      <c r="P428" s="2" t="s">
        <v>36</v>
      </c>
    </row>
    <row r="429" spans="1:16" x14ac:dyDescent="0.2">
      <c r="A429" s="2" t="s">
        <v>2564</v>
      </c>
      <c r="B429" s="2" t="s">
        <v>955</v>
      </c>
      <c r="C429" s="4">
        <v>765.6</v>
      </c>
      <c r="D429" s="4">
        <f t="shared" si="12"/>
        <v>9187.2000000000007</v>
      </c>
      <c r="E429" s="2" t="s">
        <v>78</v>
      </c>
      <c r="F429" s="4">
        <v>0</v>
      </c>
      <c r="G429" s="4">
        <v>-50</v>
      </c>
      <c r="H429" s="3">
        <v>46031</v>
      </c>
      <c r="I429" s="4">
        <v>833.33</v>
      </c>
      <c r="J429" s="2" t="s">
        <v>4825</v>
      </c>
      <c r="K429" s="3">
        <v>46054</v>
      </c>
      <c r="L429" s="2">
        <f>IF(G429&lt;=0,0,MAX(0,Assumptions!$B$3-K429))</f>
        <v>0</v>
      </c>
      <c r="M429" s="2" t="str">
        <f t="shared" si="13"/>
        <v>Current</v>
      </c>
      <c r="N429" s="4">
        <v>0</v>
      </c>
      <c r="O429" s="2" t="s">
        <v>78</v>
      </c>
      <c r="P429" s="2" t="s">
        <v>36</v>
      </c>
    </row>
    <row r="430" spans="1:16" x14ac:dyDescent="0.2">
      <c r="A430" s="2" t="s">
        <v>2570</v>
      </c>
      <c r="B430" s="2" t="s">
        <v>2571</v>
      </c>
      <c r="C430" s="4">
        <v>765.6</v>
      </c>
      <c r="D430" s="4">
        <f t="shared" si="12"/>
        <v>9187.2000000000007</v>
      </c>
      <c r="E430" s="2" t="s">
        <v>78</v>
      </c>
      <c r="F430" s="4">
        <v>0</v>
      </c>
      <c r="G430" s="4">
        <v>15</v>
      </c>
      <c r="H430" s="3">
        <v>46055</v>
      </c>
      <c r="I430" s="4">
        <v>783.01</v>
      </c>
      <c r="J430" s="2" t="s">
        <v>4826</v>
      </c>
      <c r="K430" s="3">
        <v>46054</v>
      </c>
      <c r="L430" s="2">
        <f>IF(G430&lt;=0,0,MAX(0,Assumptions!$B$3-K430))</f>
        <v>0</v>
      </c>
      <c r="M430" s="2" t="str">
        <f t="shared" si="13"/>
        <v>30 days</v>
      </c>
      <c r="N430" s="4">
        <v>0</v>
      </c>
      <c r="O430" s="2" t="s">
        <v>78</v>
      </c>
      <c r="P430" s="2" t="s">
        <v>36</v>
      </c>
    </row>
    <row r="431" spans="1:16" x14ac:dyDescent="0.2">
      <c r="A431" s="2" t="s">
        <v>2577</v>
      </c>
      <c r="B431" s="2" t="s">
        <v>1394</v>
      </c>
      <c r="C431" s="4">
        <v>765.6</v>
      </c>
      <c r="D431" s="4">
        <f t="shared" si="12"/>
        <v>9187.2000000000007</v>
      </c>
      <c r="E431" s="2" t="s">
        <v>36</v>
      </c>
      <c r="F431" s="4">
        <v>1053.6199999999999</v>
      </c>
      <c r="G431" s="4">
        <v>15</v>
      </c>
      <c r="H431" s="3">
        <v>46039</v>
      </c>
      <c r="I431" s="4">
        <v>617.83000000000004</v>
      </c>
      <c r="J431" s="2" t="s">
        <v>4826</v>
      </c>
      <c r="K431" s="3">
        <v>46054</v>
      </c>
      <c r="L431" s="2">
        <f>IF(G431&lt;=0,0,MAX(0,Assumptions!$B$3-K431))</f>
        <v>0</v>
      </c>
      <c r="M431" s="2" t="str">
        <f t="shared" si="13"/>
        <v>30 days</v>
      </c>
      <c r="N431" s="4">
        <v>0</v>
      </c>
      <c r="O431" s="2" t="s">
        <v>78</v>
      </c>
      <c r="P431" s="2" t="s">
        <v>36</v>
      </c>
    </row>
    <row r="432" spans="1:16" x14ac:dyDescent="0.2">
      <c r="A432" s="2" t="s">
        <v>2581</v>
      </c>
      <c r="B432" s="2" t="s">
        <v>2582</v>
      </c>
      <c r="C432" s="4">
        <v>765.6</v>
      </c>
      <c r="D432" s="4">
        <f t="shared" si="12"/>
        <v>9187.2000000000007</v>
      </c>
      <c r="E432" s="2" t="s">
        <v>36</v>
      </c>
      <c r="F432" s="4">
        <v>8162.92</v>
      </c>
      <c r="G432" s="4">
        <v>25</v>
      </c>
      <c r="H432" s="3">
        <v>46073</v>
      </c>
      <c r="I432" s="4">
        <v>729.22</v>
      </c>
      <c r="J432" s="2" t="s">
        <v>4824</v>
      </c>
      <c r="K432" s="3">
        <v>46054</v>
      </c>
      <c r="L432" s="2">
        <f>IF(G432&lt;=0,0,MAX(0,Assumptions!$B$3-K432))</f>
        <v>0</v>
      </c>
      <c r="M432" s="2" t="str">
        <f t="shared" si="13"/>
        <v>30 days</v>
      </c>
      <c r="N432" s="4">
        <v>0</v>
      </c>
      <c r="O432" s="2" t="s">
        <v>78</v>
      </c>
      <c r="P432" s="2" t="s">
        <v>36</v>
      </c>
    </row>
    <row r="433" spans="1:16" x14ac:dyDescent="0.2">
      <c r="A433" s="2" t="s">
        <v>2586</v>
      </c>
      <c r="B433" s="2" t="s">
        <v>2587</v>
      </c>
      <c r="C433" s="4">
        <v>939.84</v>
      </c>
      <c r="D433" s="4">
        <f t="shared" si="12"/>
        <v>11278.08</v>
      </c>
      <c r="E433" s="2" t="s">
        <v>78</v>
      </c>
      <c r="F433" s="4">
        <v>0</v>
      </c>
      <c r="G433" s="4">
        <v>3792.28</v>
      </c>
      <c r="H433" s="3">
        <v>45971</v>
      </c>
      <c r="I433" s="4">
        <v>779.66</v>
      </c>
      <c r="J433" s="2" t="s">
        <v>4824</v>
      </c>
      <c r="K433" s="3">
        <v>45934</v>
      </c>
      <c r="L433" s="2">
        <f>IF(G433&lt;=0,0,MAX(0,Assumptions!$B$3-K433))</f>
        <v>0</v>
      </c>
      <c r="M433" s="2" t="str">
        <f t="shared" si="13"/>
        <v>30 days</v>
      </c>
      <c r="N433" s="4">
        <v>100</v>
      </c>
      <c r="O433" s="2" t="s">
        <v>78</v>
      </c>
      <c r="P433" s="2" t="s">
        <v>78</v>
      </c>
    </row>
    <row r="434" spans="1:16" x14ac:dyDescent="0.2">
      <c r="A434" s="2" t="s">
        <v>2592</v>
      </c>
      <c r="B434" s="2" t="s">
        <v>2593</v>
      </c>
      <c r="C434" s="4">
        <v>939.84</v>
      </c>
      <c r="D434" s="4">
        <f t="shared" si="12"/>
        <v>11278.08</v>
      </c>
      <c r="E434" s="2" t="s">
        <v>78</v>
      </c>
      <c r="F434" s="4">
        <v>0</v>
      </c>
      <c r="G434" s="4">
        <v>0</v>
      </c>
      <c r="H434" s="3">
        <v>46058</v>
      </c>
      <c r="I434" s="4">
        <v>1008.59</v>
      </c>
      <c r="J434" s="2" t="s">
        <v>4824</v>
      </c>
      <c r="K434" s="3">
        <v>46054</v>
      </c>
      <c r="L434" s="2">
        <f>IF(G434&lt;=0,0,MAX(0,Assumptions!$B$3-K434))</f>
        <v>0</v>
      </c>
      <c r="M434" s="2" t="str">
        <f t="shared" si="13"/>
        <v>Current</v>
      </c>
      <c r="N434" s="4">
        <v>0</v>
      </c>
      <c r="O434" s="2" t="s">
        <v>78</v>
      </c>
      <c r="P434" s="2" t="s">
        <v>36</v>
      </c>
    </row>
    <row r="435" spans="1:16" x14ac:dyDescent="0.2">
      <c r="A435" s="2" t="s">
        <v>2598</v>
      </c>
      <c r="B435" s="2" t="s">
        <v>723</v>
      </c>
      <c r="C435" s="4">
        <v>939.84</v>
      </c>
      <c r="D435" s="4">
        <f t="shared" si="12"/>
        <v>11278.08</v>
      </c>
      <c r="E435" s="2" t="s">
        <v>78</v>
      </c>
      <c r="F435" s="4">
        <v>0</v>
      </c>
      <c r="G435" s="4">
        <v>0</v>
      </c>
      <c r="H435" s="3">
        <v>46064</v>
      </c>
      <c r="I435" s="4">
        <v>922.63</v>
      </c>
      <c r="J435" s="2" t="s">
        <v>4827</v>
      </c>
      <c r="K435" s="3">
        <v>46054</v>
      </c>
      <c r="L435" s="2">
        <f>IF(G435&lt;=0,0,MAX(0,Assumptions!$B$3-K435))</f>
        <v>0</v>
      </c>
      <c r="M435" s="2" t="str">
        <f t="shared" si="13"/>
        <v>Current</v>
      </c>
      <c r="N435" s="4">
        <v>0</v>
      </c>
      <c r="O435" s="2" t="s">
        <v>78</v>
      </c>
      <c r="P435" s="2" t="s">
        <v>78</v>
      </c>
    </row>
    <row r="436" spans="1:16" x14ac:dyDescent="0.2">
      <c r="A436" s="2" t="s">
        <v>2604</v>
      </c>
      <c r="B436" s="2" t="s">
        <v>2342</v>
      </c>
      <c r="C436" s="4">
        <v>939.84</v>
      </c>
      <c r="D436" s="4">
        <f t="shared" si="12"/>
        <v>11278.08</v>
      </c>
      <c r="E436" s="2" t="s">
        <v>78</v>
      </c>
      <c r="F436" s="4">
        <v>0</v>
      </c>
      <c r="G436" s="4">
        <v>0</v>
      </c>
      <c r="H436" s="3">
        <v>46057</v>
      </c>
      <c r="I436" s="4">
        <v>1083.42</v>
      </c>
      <c r="J436" s="2" t="s">
        <v>4827</v>
      </c>
      <c r="K436" s="3">
        <v>46054</v>
      </c>
      <c r="L436" s="2">
        <f>IF(G436&lt;=0,0,MAX(0,Assumptions!$B$3-K436))</f>
        <v>0</v>
      </c>
      <c r="M436" s="2" t="str">
        <f t="shared" si="13"/>
        <v>Current</v>
      </c>
      <c r="N436" s="4">
        <v>0</v>
      </c>
      <c r="O436" s="2" t="s">
        <v>78</v>
      </c>
      <c r="P436" s="2" t="s">
        <v>36</v>
      </c>
    </row>
    <row r="437" spans="1:16" x14ac:dyDescent="0.2">
      <c r="A437" s="2" t="s">
        <v>2609</v>
      </c>
      <c r="B437" s="2" t="s">
        <v>65</v>
      </c>
      <c r="C437" s="4">
        <v>939.84</v>
      </c>
      <c r="D437" s="4">
        <f t="shared" si="12"/>
        <v>11278.08</v>
      </c>
      <c r="E437" s="2" t="s">
        <v>78</v>
      </c>
      <c r="F437" s="4">
        <v>0</v>
      </c>
      <c r="G437" s="4">
        <v>0</v>
      </c>
      <c r="H437" s="3">
        <v>46044</v>
      </c>
      <c r="I437" s="4">
        <v>906.15</v>
      </c>
      <c r="J437" s="2" t="s">
        <v>4824</v>
      </c>
      <c r="K437" s="3">
        <v>46054</v>
      </c>
      <c r="L437" s="2">
        <f>IF(G437&lt;=0,0,MAX(0,Assumptions!$B$3-K437))</f>
        <v>0</v>
      </c>
      <c r="M437" s="2" t="str">
        <f t="shared" si="13"/>
        <v>Current</v>
      </c>
      <c r="N437" s="4">
        <v>0</v>
      </c>
      <c r="O437" s="2" t="s">
        <v>78</v>
      </c>
      <c r="P437" s="2" t="s">
        <v>36</v>
      </c>
    </row>
    <row r="438" spans="1:16" x14ac:dyDescent="0.2">
      <c r="A438" s="2" t="s">
        <v>2615</v>
      </c>
      <c r="B438" s="2" t="s">
        <v>2616</v>
      </c>
      <c r="C438" s="4">
        <v>939.84</v>
      </c>
      <c r="D438" s="4">
        <f t="shared" si="12"/>
        <v>11278.08</v>
      </c>
      <c r="E438" s="2" t="s">
        <v>36</v>
      </c>
      <c r="F438" s="4">
        <v>5825.25</v>
      </c>
      <c r="G438" s="4">
        <v>25</v>
      </c>
      <c r="H438" s="3">
        <v>46048</v>
      </c>
      <c r="I438" s="4">
        <v>910.19</v>
      </c>
      <c r="J438" s="2" t="s">
        <v>4823</v>
      </c>
      <c r="K438" s="3">
        <v>46054</v>
      </c>
      <c r="L438" s="2">
        <f>IF(G438&lt;=0,0,MAX(0,Assumptions!$B$3-K438))</f>
        <v>0</v>
      </c>
      <c r="M438" s="2" t="str">
        <f t="shared" si="13"/>
        <v>30 days</v>
      </c>
      <c r="N438" s="4">
        <v>0</v>
      </c>
      <c r="O438" s="2" t="s">
        <v>78</v>
      </c>
      <c r="P438" s="2" t="s">
        <v>78</v>
      </c>
    </row>
    <row r="439" spans="1:16" x14ac:dyDescent="0.2">
      <c r="A439" s="2" t="s">
        <v>2621</v>
      </c>
      <c r="B439" s="2" t="s">
        <v>385</v>
      </c>
      <c r="C439" s="4">
        <v>1108.8</v>
      </c>
      <c r="D439" s="4">
        <f t="shared" si="12"/>
        <v>13305.599999999999</v>
      </c>
      <c r="E439" s="2" t="s">
        <v>78</v>
      </c>
      <c r="F439" s="4">
        <v>0</v>
      </c>
      <c r="G439" s="4">
        <v>0</v>
      </c>
      <c r="H439" s="3">
        <v>46050</v>
      </c>
      <c r="I439" s="4">
        <v>1036.8599999999999</v>
      </c>
      <c r="J439" s="2" t="s">
        <v>4823</v>
      </c>
      <c r="K439" s="3">
        <v>46054</v>
      </c>
      <c r="L439" s="2">
        <f>IF(G439&lt;=0,0,MAX(0,Assumptions!$B$3-K439))</f>
        <v>0</v>
      </c>
      <c r="M439" s="2" t="str">
        <f t="shared" si="13"/>
        <v>Current</v>
      </c>
      <c r="N439" s="4">
        <v>0</v>
      </c>
      <c r="O439" s="2" t="s">
        <v>78</v>
      </c>
      <c r="P439" s="2" t="s">
        <v>36</v>
      </c>
    </row>
    <row r="440" spans="1:16" x14ac:dyDescent="0.2">
      <c r="A440" s="2" t="s">
        <v>2626</v>
      </c>
      <c r="B440" s="2" t="s">
        <v>2627</v>
      </c>
      <c r="C440" s="4">
        <v>1108.8</v>
      </c>
      <c r="D440" s="4">
        <f t="shared" si="12"/>
        <v>13305.599999999999</v>
      </c>
      <c r="E440" s="2" t="s">
        <v>78</v>
      </c>
      <c r="F440" s="4">
        <v>0</v>
      </c>
      <c r="G440" s="4">
        <v>25</v>
      </c>
      <c r="H440" s="3">
        <v>46037</v>
      </c>
      <c r="I440" s="4">
        <v>973.35</v>
      </c>
      <c r="J440" s="2" t="s">
        <v>4824</v>
      </c>
      <c r="K440" s="3">
        <v>46054</v>
      </c>
      <c r="L440" s="2">
        <f>IF(G440&lt;=0,0,MAX(0,Assumptions!$B$3-K440))</f>
        <v>0</v>
      </c>
      <c r="M440" s="2" t="str">
        <f t="shared" si="13"/>
        <v>30 days</v>
      </c>
      <c r="N440" s="4">
        <v>0</v>
      </c>
      <c r="O440" s="2" t="s">
        <v>78</v>
      </c>
      <c r="P440" s="2" t="s">
        <v>78</v>
      </c>
    </row>
    <row r="441" spans="1:16" x14ac:dyDescent="0.2">
      <c r="A441" s="2" t="s">
        <v>2631</v>
      </c>
      <c r="B441" s="2" t="s">
        <v>1452</v>
      </c>
      <c r="C441" s="4">
        <v>1108.8</v>
      </c>
      <c r="D441" s="4">
        <f t="shared" si="12"/>
        <v>13305.599999999999</v>
      </c>
      <c r="E441" s="2" t="s">
        <v>78</v>
      </c>
      <c r="F441" s="4">
        <v>0</v>
      </c>
      <c r="G441" s="4">
        <v>0</v>
      </c>
      <c r="H441" s="3">
        <v>46050</v>
      </c>
      <c r="I441" s="4">
        <v>1172.67</v>
      </c>
      <c r="J441" s="2" t="s">
        <v>4826</v>
      </c>
      <c r="K441" s="3">
        <v>46054</v>
      </c>
      <c r="L441" s="2">
        <f>IF(G441&lt;=0,0,MAX(0,Assumptions!$B$3-K441))</f>
        <v>0</v>
      </c>
      <c r="M441" s="2" t="str">
        <f t="shared" si="13"/>
        <v>Current</v>
      </c>
      <c r="N441" s="4">
        <v>0</v>
      </c>
      <c r="O441" s="2" t="s">
        <v>78</v>
      </c>
      <c r="P441" s="2" t="s">
        <v>78</v>
      </c>
    </row>
    <row r="442" spans="1:16" x14ac:dyDescent="0.2">
      <c r="A442" s="2" t="s">
        <v>2637</v>
      </c>
      <c r="B442" s="2" t="s">
        <v>1209</v>
      </c>
      <c r="C442" s="4">
        <v>1108.8</v>
      </c>
      <c r="D442" s="4">
        <f t="shared" si="12"/>
        <v>13305.599999999999</v>
      </c>
      <c r="E442" s="2" t="s">
        <v>78</v>
      </c>
      <c r="F442" s="4">
        <v>0</v>
      </c>
      <c r="G442" s="4">
        <v>0</v>
      </c>
      <c r="H442" s="3">
        <v>46054</v>
      </c>
      <c r="I442" s="4">
        <v>1288.28</v>
      </c>
      <c r="J442" s="2" t="s">
        <v>4824</v>
      </c>
      <c r="K442" s="3">
        <v>46054</v>
      </c>
      <c r="L442" s="2">
        <f>IF(G442&lt;=0,0,MAX(0,Assumptions!$B$3-K442))</f>
        <v>0</v>
      </c>
      <c r="M442" s="2" t="str">
        <f t="shared" si="13"/>
        <v>Current</v>
      </c>
      <c r="N442" s="4">
        <v>0</v>
      </c>
      <c r="O442" s="2" t="s">
        <v>78</v>
      </c>
      <c r="P442" s="2" t="s">
        <v>78</v>
      </c>
    </row>
    <row r="443" spans="1:16" x14ac:dyDescent="0.2">
      <c r="A443" s="2" t="s">
        <v>2643</v>
      </c>
      <c r="B443" s="2" t="s">
        <v>2644</v>
      </c>
      <c r="C443" s="4">
        <v>1531.2</v>
      </c>
      <c r="D443" s="4">
        <f t="shared" si="12"/>
        <v>18374.400000000001</v>
      </c>
      <c r="E443" s="2" t="s">
        <v>78</v>
      </c>
      <c r="F443" s="4">
        <v>0</v>
      </c>
      <c r="G443" s="4">
        <v>0</v>
      </c>
      <c r="H443" s="3">
        <v>46031</v>
      </c>
      <c r="I443" s="4">
        <v>1460.33</v>
      </c>
      <c r="J443" s="2" t="s">
        <v>4824</v>
      </c>
      <c r="K443" s="3">
        <v>46054</v>
      </c>
      <c r="L443" s="2">
        <f>IF(G443&lt;=0,0,MAX(0,Assumptions!$B$3-K443))</f>
        <v>0</v>
      </c>
      <c r="M443" s="2" t="str">
        <f t="shared" si="13"/>
        <v>Current</v>
      </c>
      <c r="N443" s="4">
        <v>0</v>
      </c>
      <c r="O443" s="2" t="s">
        <v>78</v>
      </c>
      <c r="P443" s="2" t="s">
        <v>36</v>
      </c>
    </row>
    <row r="444" spans="1:16" x14ac:dyDescent="0.2">
      <c r="A444" s="2" t="s">
        <v>2651</v>
      </c>
      <c r="B444" s="2" t="s">
        <v>556</v>
      </c>
      <c r="C444" s="4">
        <v>768.14</v>
      </c>
      <c r="D444" s="4">
        <f t="shared" si="12"/>
        <v>9217.68</v>
      </c>
      <c r="E444" s="2" t="s">
        <v>36</v>
      </c>
      <c r="F444" s="4">
        <v>2254.85</v>
      </c>
      <c r="G444" s="4">
        <v>0</v>
      </c>
      <c r="H444" s="3">
        <v>46056</v>
      </c>
      <c r="I444" s="4">
        <v>916.74</v>
      </c>
      <c r="J444" s="2" t="s">
        <v>4824</v>
      </c>
      <c r="K444" s="3">
        <v>46054</v>
      </c>
      <c r="L444" s="2">
        <f>IF(G444&lt;=0,0,MAX(0,Assumptions!$B$3-K444))</f>
        <v>0</v>
      </c>
      <c r="M444" s="2" t="str">
        <f t="shared" si="13"/>
        <v>Current</v>
      </c>
      <c r="N444" s="4">
        <v>0</v>
      </c>
      <c r="O444" s="2" t="s">
        <v>78</v>
      </c>
      <c r="P444" s="2" t="s">
        <v>78</v>
      </c>
    </row>
    <row r="445" spans="1:16" x14ac:dyDescent="0.2">
      <c r="A445" s="2" t="s">
        <v>2655</v>
      </c>
      <c r="B445" s="2" t="s">
        <v>412</v>
      </c>
      <c r="C445" s="4">
        <v>768.14</v>
      </c>
      <c r="D445" s="4">
        <f t="shared" si="12"/>
        <v>9217.68</v>
      </c>
      <c r="E445" s="2" t="s">
        <v>78</v>
      </c>
      <c r="F445" s="4">
        <v>0</v>
      </c>
      <c r="G445" s="4">
        <v>25</v>
      </c>
      <c r="H445" s="3">
        <v>46064</v>
      </c>
      <c r="I445" s="4">
        <v>740.88</v>
      </c>
      <c r="J445" s="2" t="s">
        <v>4823</v>
      </c>
      <c r="K445" s="3">
        <v>46054</v>
      </c>
      <c r="L445" s="2">
        <f>IF(G445&lt;=0,0,MAX(0,Assumptions!$B$3-K445))</f>
        <v>0</v>
      </c>
      <c r="M445" s="2" t="str">
        <f t="shared" si="13"/>
        <v>30 days</v>
      </c>
      <c r="N445" s="4">
        <v>0</v>
      </c>
      <c r="O445" s="2" t="s">
        <v>78</v>
      </c>
      <c r="P445" s="2" t="s">
        <v>78</v>
      </c>
    </row>
    <row r="446" spans="1:16" x14ac:dyDescent="0.2">
      <c r="A446" s="2" t="s">
        <v>2659</v>
      </c>
      <c r="B446" s="2" t="s">
        <v>2660</v>
      </c>
      <c r="C446" s="4">
        <v>768.14</v>
      </c>
      <c r="D446" s="4">
        <f t="shared" si="12"/>
        <v>9217.68</v>
      </c>
      <c r="E446" s="2" t="s">
        <v>78</v>
      </c>
      <c r="F446" s="4">
        <v>0</v>
      </c>
      <c r="G446" s="4">
        <v>0</v>
      </c>
      <c r="H446" s="3">
        <v>46053</v>
      </c>
      <c r="I446" s="4">
        <v>802.05</v>
      </c>
      <c r="J446" s="2" t="s">
        <v>4824</v>
      </c>
      <c r="K446" s="3">
        <v>46054</v>
      </c>
      <c r="L446" s="2">
        <f>IF(G446&lt;=0,0,MAX(0,Assumptions!$B$3-K446))</f>
        <v>0</v>
      </c>
      <c r="M446" s="2" t="str">
        <f t="shared" si="13"/>
        <v>Current</v>
      </c>
      <c r="N446" s="4">
        <v>0</v>
      </c>
      <c r="O446" s="2" t="s">
        <v>78</v>
      </c>
      <c r="P446" s="2" t="s">
        <v>78</v>
      </c>
    </row>
    <row r="447" spans="1:16" x14ac:dyDescent="0.2">
      <c r="A447" s="2" t="s">
        <v>2664</v>
      </c>
      <c r="B447" s="2" t="s">
        <v>2665</v>
      </c>
      <c r="C447" s="4">
        <v>768.14</v>
      </c>
      <c r="D447" s="4">
        <f t="shared" si="12"/>
        <v>9217.68</v>
      </c>
      <c r="E447" s="2" t="s">
        <v>36</v>
      </c>
      <c r="F447" s="4">
        <v>1325.05</v>
      </c>
      <c r="G447" s="4">
        <v>0</v>
      </c>
      <c r="H447" s="3">
        <v>46068</v>
      </c>
      <c r="I447" s="4">
        <v>621.11</v>
      </c>
      <c r="J447" s="2" t="s">
        <v>4825</v>
      </c>
      <c r="K447" s="3">
        <v>46054</v>
      </c>
      <c r="L447" s="2">
        <f>IF(G447&lt;=0,0,MAX(0,Assumptions!$B$3-K447))</f>
        <v>0</v>
      </c>
      <c r="M447" s="2" t="str">
        <f t="shared" si="13"/>
        <v>Current</v>
      </c>
      <c r="N447" s="4">
        <v>0</v>
      </c>
      <c r="O447" s="2" t="s">
        <v>78</v>
      </c>
      <c r="P447" s="2" t="s">
        <v>78</v>
      </c>
    </row>
    <row r="448" spans="1:16" x14ac:dyDescent="0.2">
      <c r="A448" s="2" t="s">
        <v>2671</v>
      </c>
      <c r="B448" s="2" t="s">
        <v>128</v>
      </c>
      <c r="C448" s="4">
        <v>768.14</v>
      </c>
      <c r="D448" s="4">
        <f t="shared" si="12"/>
        <v>9217.68</v>
      </c>
      <c r="E448" s="2" t="s">
        <v>78</v>
      </c>
      <c r="F448" s="4">
        <v>0</v>
      </c>
      <c r="G448" s="4">
        <v>-50</v>
      </c>
      <c r="H448" s="3">
        <v>46061</v>
      </c>
      <c r="I448" s="4">
        <v>842.98</v>
      </c>
      <c r="J448" s="2" t="s">
        <v>4826</v>
      </c>
      <c r="K448" s="3">
        <v>46054</v>
      </c>
      <c r="L448" s="2">
        <f>IF(G448&lt;=0,0,MAX(0,Assumptions!$B$3-K448))</f>
        <v>0</v>
      </c>
      <c r="M448" s="2" t="str">
        <f t="shared" si="13"/>
        <v>Current</v>
      </c>
      <c r="N448" s="4">
        <v>0</v>
      </c>
      <c r="O448" s="2" t="s">
        <v>78</v>
      </c>
      <c r="P448" s="2" t="s">
        <v>36</v>
      </c>
    </row>
    <row r="449" spans="1:16" x14ac:dyDescent="0.2">
      <c r="A449" s="2" t="s">
        <v>2675</v>
      </c>
      <c r="B449" s="2" t="s">
        <v>2676</v>
      </c>
      <c r="C449" s="4">
        <v>768.14</v>
      </c>
      <c r="D449" s="4">
        <f t="shared" si="12"/>
        <v>9217.68</v>
      </c>
      <c r="E449" s="2" t="s">
        <v>78</v>
      </c>
      <c r="F449" s="4">
        <v>0</v>
      </c>
      <c r="G449" s="4">
        <v>-50</v>
      </c>
      <c r="H449" s="3">
        <v>46036</v>
      </c>
      <c r="I449" s="4">
        <v>892.43</v>
      </c>
      <c r="J449" s="2" t="s">
        <v>4823</v>
      </c>
      <c r="K449" s="3">
        <v>46054</v>
      </c>
      <c r="L449" s="2">
        <f>IF(G449&lt;=0,0,MAX(0,Assumptions!$B$3-K449))</f>
        <v>0</v>
      </c>
      <c r="M449" s="2" t="str">
        <f t="shared" si="13"/>
        <v>Current</v>
      </c>
      <c r="N449" s="4">
        <v>0</v>
      </c>
      <c r="O449" s="2" t="s">
        <v>78</v>
      </c>
      <c r="P449" s="2" t="s">
        <v>36</v>
      </c>
    </row>
    <row r="450" spans="1:16" x14ac:dyDescent="0.2">
      <c r="A450" s="2" t="s">
        <v>2682</v>
      </c>
      <c r="B450" s="2" t="s">
        <v>528</v>
      </c>
      <c r="C450" s="4">
        <v>942.96</v>
      </c>
      <c r="D450" s="4">
        <f t="shared" ref="D450:D513" si="14">C450*12</f>
        <v>11315.52</v>
      </c>
      <c r="E450" s="2" t="s">
        <v>78</v>
      </c>
      <c r="F450" s="4">
        <v>0</v>
      </c>
      <c r="G450" s="4">
        <v>0</v>
      </c>
      <c r="H450" s="3">
        <v>46038</v>
      </c>
      <c r="I450" s="4">
        <v>814.65</v>
      </c>
      <c r="J450" s="2" t="s">
        <v>4826</v>
      </c>
      <c r="K450" s="3">
        <v>46054</v>
      </c>
      <c r="L450" s="2">
        <f>IF(G450&lt;=0,0,MAX(0,Assumptions!$B$3-K450))</f>
        <v>0</v>
      </c>
      <c r="M450" s="2" t="str">
        <f t="shared" ref="M450:M513" si="15">IF(G450&lt;=0,"Current",IF(L450&lt;=30,"30 days",IF(L450&lt;=60,"60 days",IF(L450&lt;=90,"90 days","90+ days"))))</f>
        <v>Current</v>
      </c>
      <c r="N450" s="4">
        <v>0</v>
      </c>
      <c r="O450" s="2" t="s">
        <v>78</v>
      </c>
      <c r="P450" s="2" t="s">
        <v>78</v>
      </c>
    </row>
    <row r="451" spans="1:16" x14ac:dyDescent="0.2">
      <c r="A451" s="2" t="s">
        <v>2687</v>
      </c>
      <c r="B451" s="2" t="s">
        <v>2688</v>
      </c>
      <c r="C451" s="4">
        <v>942.96</v>
      </c>
      <c r="D451" s="4">
        <f t="shared" si="14"/>
        <v>11315.52</v>
      </c>
      <c r="E451" s="2" t="s">
        <v>78</v>
      </c>
      <c r="F451" s="4">
        <v>0</v>
      </c>
      <c r="G451" s="4">
        <v>0</v>
      </c>
      <c r="H451" s="3">
        <v>46063</v>
      </c>
      <c r="I451" s="4">
        <v>966.22</v>
      </c>
      <c r="J451" s="2" t="s">
        <v>4823</v>
      </c>
      <c r="K451" s="3">
        <v>46054</v>
      </c>
      <c r="L451" s="2">
        <f>IF(G451&lt;=0,0,MAX(0,Assumptions!$B$3-K451))</f>
        <v>0</v>
      </c>
      <c r="M451" s="2" t="str">
        <f t="shared" si="15"/>
        <v>Current</v>
      </c>
      <c r="N451" s="4">
        <v>0</v>
      </c>
      <c r="O451" s="2" t="s">
        <v>78</v>
      </c>
      <c r="P451" s="2" t="s">
        <v>36</v>
      </c>
    </row>
    <row r="452" spans="1:16" x14ac:dyDescent="0.2">
      <c r="A452" s="2" t="s">
        <v>2692</v>
      </c>
      <c r="B452" s="2" t="s">
        <v>233</v>
      </c>
      <c r="C452" s="4">
        <v>942.96</v>
      </c>
      <c r="D452" s="4">
        <f t="shared" si="14"/>
        <v>11315.52</v>
      </c>
      <c r="E452" s="2" t="s">
        <v>78</v>
      </c>
      <c r="F452" s="4">
        <v>0</v>
      </c>
      <c r="G452" s="4">
        <v>25</v>
      </c>
      <c r="H452" s="3">
        <v>46066</v>
      </c>
      <c r="I452" s="4">
        <v>1004.77</v>
      </c>
      <c r="J452" s="2" t="s">
        <v>4826</v>
      </c>
      <c r="K452" s="3">
        <v>46054</v>
      </c>
      <c r="L452" s="2">
        <f>IF(G452&lt;=0,0,MAX(0,Assumptions!$B$3-K452))</f>
        <v>0</v>
      </c>
      <c r="M452" s="2" t="str">
        <f t="shared" si="15"/>
        <v>30 days</v>
      </c>
      <c r="N452" s="4">
        <v>0</v>
      </c>
      <c r="O452" s="2" t="s">
        <v>78</v>
      </c>
      <c r="P452" s="2" t="s">
        <v>36</v>
      </c>
    </row>
    <row r="453" spans="1:16" x14ac:dyDescent="0.2">
      <c r="A453" s="2" t="s">
        <v>2697</v>
      </c>
      <c r="B453" s="2" t="s">
        <v>2698</v>
      </c>
      <c r="C453" s="4">
        <v>942.96</v>
      </c>
      <c r="D453" s="4">
        <f t="shared" si="14"/>
        <v>11315.52</v>
      </c>
      <c r="E453" s="2" t="s">
        <v>36</v>
      </c>
      <c r="F453" s="4">
        <v>7981.97</v>
      </c>
      <c r="G453" s="4">
        <v>0</v>
      </c>
      <c r="H453" s="3">
        <v>46049</v>
      </c>
      <c r="I453" s="4">
        <v>934.24</v>
      </c>
      <c r="J453" s="2" t="s">
        <v>4825</v>
      </c>
      <c r="K453" s="3">
        <v>46054</v>
      </c>
      <c r="L453" s="2">
        <f>IF(G453&lt;=0,0,MAX(0,Assumptions!$B$3-K453))</f>
        <v>0</v>
      </c>
      <c r="M453" s="2" t="str">
        <f t="shared" si="15"/>
        <v>Current</v>
      </c>
      <c r="N453" s="4">
        <v>0</v>
      </c>
      <c r="O453" s="2" t="s">
        <v>78</v>
      </c>
      <c r="P453" s="2" t="s">
        <v>36</v>
      </c>
    </row>
    <row r="454" spans="1:16" x14ac:dyDescent="0.2">
      <c r="A454" s="2" t="s">
        <v>2702</v>
      </c>
      <c r="B454" s="2" t="s">
        <v>2703</v>
      </c>
      <c r="C454" s="4">
        <v>942.96</v>
      </c>
      <c r="D454" s="4">
        <f t="shared" si="14"/>
        <v>11315.52</v>
      </c>
      <c r="E454" s="2" t="s">
        <v>78</v>
      </c>
      <c r="F454" s="4">
        <v>0</v>
      </c>
      <c r="G454" s="4">
        <v>0</v>
      </c>
      <c r="H454" s="3">
        <v>46036</v>
      </c>
      <c r="I454" s="4">
        <v>970.08</v>
      </c>
      <c r="J454" s="2" t="s">
        <v>4823</v>
      </c>
      <c r="K454" s="3">
        <v>46054</v>
      </c>
      <c r="L454" s="2">
        <f>IF(G454&lt;=0,0,MAX(0,Assumptions!$B$3-K454))</f>
        <v>0</v>
      </c>
      <c r="M454" s="2" t="str">
        <f t="shared" si="15"/>
        <v>Current</v>
      </c>
      <c r="N454" s="4">
        <v>0</v>
      </c>
      <c r="O454" s="2" t="s">
        <v>78</v>
      </c>
      <c r="P454" s="2" t="s">
        <v>78</v>
      </c>
    </row>
    <row r="455" spans="1:16" x14ac:dyDescent="0.2">
      <c r="A455" s="2" t="s">
        <v>2709</v>
      </c>
      <c r="B455" s="2" t="s">
        <v>325</v>
      </c>
      <c r="C455" s="4">
        <v>942.96</v>
      </c>
      <c r="D455" s="4">
        <f t="shared" si="14"/>
        <v>11315.52</v>
      </c>
      <c r="E455" s="2" t="s">
        <v>78</v>
      </c>
      <c r="F455" s="4">
        <v>0</v>
      </c>
      <c r="G455" s="4">
        <v>-50</v>
      </c>
      <c r="H455" s="3">
        <v>46052</v>
      </c>
      <c r="I455" s="4">
        <v>1126.96</v>
      </c>
      <c r="J455" s="2" t="s">
        <v>4827</v>
      </c>
      <c r="K455" s="3">
        <v>46054</v>
      </c>
      <c r="L455" s="2">
        <f>IF(G455&lt;=0,0,MAX(0,Assumptions!$B$3-K455))</f>
        <v>0</v>
      </c>
      <c r="M455" s="2" t="str">
        <f t="shared" si="15"/>
        <v>Current</v>
      </c>
      <c r="N455" s="4">
        <v>0</v>
      </c>
      <c r="O455" s="2" t="s">
        <v>78</v>
      </c>
      <c r="P455" s="2" t="s">
        <v>78</v>
      </c>
    </row>
    <row r="456" spans="1:16" x14ac:dyDescent="0.2">
      <c r="A456" s="2" t="s">
        <v>2714</v>
      </c>
      <c r="B456" s="2" t="s">
        <v>491</v>
      </c>
      <c r="C456" s="4">
        <v>1112.48</v>
      </c>
      <c r="D456" s="4">
        <f t="shared" si="14"/>
        <v>13349.76</v>
      </c>
      <c r="E456" s="2" t="s">
        <v>78</v>
      </c>
      <c r="F456" s="4">
        <v>0</v>
      </c>
      <c r="G456" s="4">
        <v>2274.9299999999998</v>
      </c>
      <c r="H456" s="3">
        <v>45921</v>
      </c>
      <c r="I456" s="4">
        <v>900.84</v>
      </c>
      <c r="J456" s="2" t="s">
        <v>4827</v>
      </c>
      <c r="K456" s="3">
        <v>45994</v>
      </c>
      <c r="L456" s="2">
        <f>IF(G456&lt;=0,0,MAX(0,Assumptions!$B$3-K456))</f>
        <v>0</v>
      </c>
      <c r="M456" s="2" t="str">
        <f t="shared" si="15"/>
        <v>30 days</v>
      </c>
      <c r="N456" s="4">
        <v>25</v>
      </c>
      <c r="O456" s="2" t="s">
        <v>78</v>
      </c>
      <c r="P456" s="2" t="s">
        <v>78</v>
      </c>
    </row>
    <row r="457" spans="1:16" x14ac:dyDescent="0.2">
      <c r="A457" s="2" t="s">
        <v>2720</v>
      </c>
      <c r="B457" s="2" t="s">
        <v>39</v>
      </c>
      <c r="C457" s="4">
        <v>1112.48</v>
      </c>
      <c r="D457" s="4">
        <f t="shared" si="14"/>
        <v>13349.76</v>
      </c>
      <c r="E457" s="2" t="s">
        <v>78</v>
      </c>
      <c r="F457" s="4">
        <v>0</v>
      </c>
      <c r="G457" s="4">
        <v>-50</v>
      </c>
      <c r="H457" s="3">
        <v>46035</v>
      </c>
      <c r="I457" s="4">
        <v>1327.67</v>
      </c>
      <c r="J457" s="2" t="s">
        <v>4823</v>
      </c>
      <c r="K457" s="3">
        <v>46054</v>
      </c>
      <c r="L457" s="2">
        <f>IF(G457&lt;=0,0,MAX(0,Assumptions!$B$3-K457))</f>
        <v>0</v>
      </c>
      <c r="M457" s="2" t="str">
        <f t="shared" si="15"/>
        <v>Current</v>
      </c>
      <c r="N457" s="4">
        <v>0</v>
      </c>
      <c r="O457" s="2" t="s">
        <v>78</v>
      </c>
      <c r="P457" s="2" t="s">
        <v>78</v>
      </c>
    </row>
    <row r="458" spans="1:16" x14ac:dyDescent="0.2">
      <c r="A458" s="2" t="s">
        <v>2724</v>
      </c>
      <c r="B458" s="2" t="s">
        <v>2725</v>
      </c>
      <c r="C458" s="4">
        <v>1112.48</v>
      </c>
      <c r="D458" s="4">
        <f t="shared" si="14"/>
        <v>13349.76</v>
      </c>
      <c r="E458" s="2" t="s">
        <v>78</v>
      </c>
      <c r="F458" s="4">
        <v>0</v>
      </c>
      <c r="G458" s="4">
        <v>2293.17</v>
      </c>
      <c r="H458" s="3">
        <v>46005</v>
      </c>
      <c r="I458" s="4">
        <v>1326.98</v>
      </c>
      <c r="J458" s="2" t="s">
        <v>4823</v>
      </c>
      <c r="K458" s="3">
        <v>45994</v>
      </c>
      <c r="L458" s="2">
        <f>IF(G458&lt;=0,0,MAX(0,Assumptions!$B$3-K458))</f>
        <v>0</v>
      </c>
      <c r="M458" s="2" t="str">
        <f t="shared" si="15"/>
        <v>30 days</v>
      </c>
      <c r="N458" s="4">
        <v>0</v>
      </c>
      <c r="O458" s="2" t="s">
        <v>78</v>
      </c>
      <c r="P458" s="2" t="s">
        <v>78</v>
      </c>
    </row>
    <row r="459" spans="1:16" x14ac:dyDescent="0.2">
      <c r="A459" s="2" t="s">
        <v>2730</v>
      </c>
      <c r="B459" s="2" t="s">
        <v>2731</v>
      </c>
      <c r="C459" s="4">
        <v>1112.48</v>
      </c>
      <c r="D459" s="4">
        <f t="shared" si="14"/>
        <v>13349.76</v>
      </c>
      <c r="E459" s="2" t="s">
        <v>78</v>
      </c>
      <c r="F459" s="4">
        <v>0</v>
      </c>
      <c r="G459" s="4">
        <v>0</v>
      </c>
      <c r="H459" s="3">
        <v>46057</v>
      </c>
      <c r="I459" s="4">
        <v>1089.75</v>
      </c>
      <c r="J459" s="2" t="s">
        <v>4823</v>
      </c>
      <c r="K459" s="3">
        <v>46054</v>
      </c>
      <c r="L459" s="2">
        <f>IF(G459&lt;=0,0,MAX(0,Assumptions!$B$3-K459))</f>
        <v>0</v>
      </c>
      <c r="M459" s="2" t="str">
        <f t="shared" si="15"/>
        <v>Current</v>
      </c>
      <c r="N459" s="4">
        <v>0</v>
      </c>
      <c r="O459" s="2" t="s">
        <v>78</v>
      </c>
      <c r="P459" s="2" t="s">
        <v>36</v>
      </c>
    </row>
    <row r="460" spans="1:16" x14ac:dyDescent="0.2">
      <c r="A460" s="2" t="s">
        <v>2738</v>
      </c>
      <c r="B460" s="2" t="s">
        <v>2739</v>
      </c>
      <c r="C460" s="4">
        <v>1536.28</v>
      </c>
      <c r="D460" s="4">
        <f t="shared" si="14"/>
        <v>18435.36</v>
      </c>
      <c r="E460" s="2" t="s">
        <v>78</v>
      </c>
      <c r="F460" s="4">
        <v>0</v>
      </c>
      <c r="G460" s="4">
        <v>0</v>
      </c>
      <c r="H460" s="3">
        <v>46031</v>
      </c>
      <c r="I460" s="4">
        <v>1278.3399999999999</v>
      </c>
      <c r="J460" s="2" t="s">
        <v>4824</v>
      </c>
      <c r="K460" s="3">
        <v>46054</v>
      </c>
      <c r="L460" s="2">
        <f>IF(G460&lt;=0,0,MAX(0,Assumptions!$B$3-K460))</f>
        <v>0</v>
      </c>
      <c r="M460" s="2" t="str">
        <f t="shared" si="15"/>
        <v>Current</v>
      </c>
      <c r="N460" s="4">
        <v>0</v>
      </c>
      <c r="O460" s="2" t="s">
        <v>78</v>
      </c>
      <c r="P460" s="2" t="s">
        <v>36</v>
      </c>
    </row>
    <row r="461" spans="1:16" x14ac:dyDescent="0.2">
      <c r="A461" s="2" t="s">
        <v>2746</v>
      </c>
      <c r="B461" s="2" t="s">
        <v>923</v>
      </c>
      <c r="C461" s="4">
        <v>770.67</v>
      </c>
      <c r="D461" s="4">
        <f t="shared" si="14"/>
        <v>9248.0399999999991</v>
      </c>
      <c r="E461" s="2" t="s">
        <v>36</v>
      </c>
      <c r="F461" s="4">
        <v>5376.05</v>
      </c>
      <c r="G461" s="4">
        <v>1651.99</v>
      </c>
      <c r="H461" s="3">
        <v>45925</v>
      </c>
      <c r="I461" s="4">
        <v>415.3</v>
      </c>
      <c r="J461" s="2" t="s">
        <v>4825</v>
      </c>
      <c r="K461" s="3">
        <v>45994</v>
      </c>
      <c r="L461" s="2">
        <f>IF(G461&lt;=0,0,MAX(0,Assumptions!$B$3-K461))</f>
        <v>0</v>
      </c>
      <c r="M461" s="2" t="str">
        <f t="shared" si="15"/>
        <v>30 days</v>
      </c>
      <c r="N461" s="4">
        <v>75</v>
      </c>
      <c r="O461" s="2" t="s">
        <v>78</v>
      </c>
      <c r="P461" s="2" t="s">
        <v>78</v>
      </c>
    </row>
    <row r="462" spans="1:16" x14ac:dyDescent="0.2">
      <c r="A462" s="2" t="s">
        <v>2751</v>
      </c>
      <c r="B462" s="2" t="s">
        <v>449</v>
      </c>
      <c r="C462" s="4">
        <v>770.67</v>
      </c>
      <c r="D462" s="4">
        <f t="shared" si="14"/>
        <v>9248.0399999999991</v>
      </c>
      <c r="E462" s="2" t="s">
        <v>78</v>
      </c>
      <c r="F462" s="4">
        <v>0</v>
      </c>
      <c r="G462" s="4">
        <v>-50</v>
      </c>
      <c r="H462" s="3">
        <v>46041</v>
      </c>
      <c r="I462" s="4">
        <v>879.68</v>
      </c>
      <c r="J462" s="2" t="s">
        <v>4823</v>
      </c>
      <c r="K462" s="3">
        <v>46054</v>
      </c>
      <c r="L462" s="2">
        <f>IF(G462&lt;=0,0,MAX(0,Assumptions!$B$3-K462))</f>
        <v>0</v>
      </c>
      <c r="M462" s="2" t="str">
        <f t="shared" si="15"/>
        <v>Current</v>
      </c>
      <c r="N462" s="4">
        <v>0</v>
      </c>
      <c r="O462" s="2" t="s">
        <v>78</v>
      </c>
      <c r="P462" s="2" t="s">
        <v>36</v>
      </c>
    </row>
    <row r="463" spans="1:16" x14ac:dyDescent="0.2">
      <c r="A463" s="2" t="s">
        <v>2755</v>
      </c>
      <c r="B463" s="2" t="s">
        <v>944</v>
      </c>
      <c r="C463" s="4">
        <v>770.67</v>
      </c>
      <c r="D463" s="4">
        <f t="shared" si="14"/>
        <v>9248.0399999999991</v>
      </c>
      <c r="E463" s="2" t="s">
        <v>78</v>
      </c>
      <c r="F463" s="4">
        <v>0</v>
      </c>
      <c r="G463" s="4">
        <v>0</v>
      </c>
      <c r="H463" s="3">
        <v>46038</v>
      </c>
      <c r="I463" s="4">
        <v>676</v>
      </c>
      <c r="J463" s="2" t="s">
        <v>4827</v>
      </c>
      <c r="K463" s="3">
        <v>46054</v>
      </c>
      <c r="L463" s="2">
        <f>IF(G463&lt;=0,0,MAX(0,Assumptions!$B$3-K463))</f>
        <v>0</v>
      </c>
      <c r="M463" s="2" t="str">
        <f t="shared" si="15"/>
        <v>Current</v>
      </c>
      <c r="N463" s="4">
        <v>0</v>
      </c>
      <c r="O463" s="2" t="s">
        <v>78</v>
      </c>
      <c r="P463" s="2" t="s">
        <v>36</v>
      </c>
    </row>
    <row r="464" spans="1:16" x14ac:dyDescent="0.2">
      <c r="A464" s="2" t="s">
        <v>2761</v>
      </c>
      <c r="B464" s="2" t="s">
        <v>1052</v>
      </c>
      <c r="C464" s="4">
        <v>770.67</v>
      </c>
      <c r="D464" s="4">
        <f t="shared" si="14"/>
        <v>9248.0399999999991</v>
      </c>
      <c r="E464" s="2" t="s">
        <v>78</v>
      </c>
      <c r="F464" s="4">
        <v>0</v>
      </c>
      <c r="G464" s="4">
        <v>0</v>
      </c>
      <c r="H464" s="3">
        <v>46031</v>
      </c>
      <c r="I464" s="4">
        <v>898.09</v>
      </c>
      <c r="J464" s="2" t="s">
        <v>4824</v>
      </c>
      <c r="K464" s="3">
        <v>46054</v>
      </c>
      <c r="L464" s="2">
        <f>IF(G464&lt;=0,0,MAX(0,Assumptions!$B$3-K464))</f>
        <v>0</v>
      </c>
      <c r="M464" s="2" t="str">
        <f t="shared" si="15"/>
        <v>Current</v>
      </c>
      <c r="N464" s="4">
        <v>0</v>
      </c>
      <c r="O464" s="2" t="s">
        <v>78</v>
      </c>
      <c r="P464" s="2" t="s">
        <v>78</v>
      </c>
    </row>
    <row r="465" spans="1:16" x14ac:dyDescent="0.2">
      <c r="A465" s="2" t="s">
        <v>2766</v>
      </c>
      <c r="B465" s="2" t="s">
        <v>2767</v>
      </c>
      <c r="C465" s="4">
        <v>770.67</v>
      </c>
      <c r="D465" s="4">
        <f t="shared" si="14"/>
        <v>9248.0399999999991</v>
      </c>
      <c r="E465" s="2" t="s">
        <v>36</v>
      </c>
      <c r="F465" s="4">
        <v>6977.54</v>
      </c>
      <c r="G465" s="4">
        <v>25</v>
      </c>
      <c r="H465" s="3">
        <v>46069</v>
      </c>
      <c r="I465" s="4">
        <v>671.13</v>
      </c>
      <c r="J465" s="2" t="s">
        <v>4825</v>
      </c>
      <c r="K465" s="3">
        <v>46054</v>
      </c>
      <c r="L465" s="2">
        <f>IF(G465&lt;=0,0,MAX(0,Assumptions!$B$3-K465))</f>
        <v>0</v>
      </c>
      <c r="M465" s="2" t="str">
        <f t="shared" si="15"/>
        <v>30 days</v>
      </c>
      <c r="N465" s="4">
        <v>0</v>
      </c>
      <c r="O465" s="2" t="s">
        <v>78</v>
      </c>
      <c r="P465" s="2" t="s">
        <v>36</v>
      </c>
    </row>
    <row r="466" spans="1:16" x14ac:dyDescent="0.2">
      <c r="A466" s="2" t="s">
        <v>2772</v>
      </c>
      <c r="B466" s="2" t="s">
        <v>1918</v>
      </c>
      <c r="C466" s="4">
        <v>770.67</v>
      </c>
      <c r="D466" s="4">
        <f t="shared" si="14"/>
        <v>9248.0399999999991</v>
      </c>
      <c r="E466" s="2" t="s">
        <v>78</v>
      </c>
      <c r="F466" s="4">
        <v>0</v>
      </c>
      <c r="G466" s="4">
        <v>0</v>
      </c>
      <c r="H466" s="3">
        <v>46073</v>
      </c>
      <c r="I466" s="4">
        <v>839.45</v>
      </c>
      <c r="J466" s="2" t="s">
        <v>4827</v>
      </c>
      <c r="K466" s="3">
        <v>46054</v>
      </c>
      <c r="L466" s="2">
        <f>IF(G466&lt;=0,0,MAX(0,Assumptions!$B$3-K466))</f>
        <v>0</v>
      </c>
      <c r="M466" s="2" t="str">
        <f t="shared" si="15"/>
        <v>Current</v>
      </c>
      <c r="N466" s="4">
        <v>0</v>
      </c>
      <c r="O466" s="2" t="s">
        <v>78</v>
      </c>
      <c r="P466" s="2" t="s">
        <v>78</v>
      </c>
    </row>
    <row r="467" spans="1:16" x14ac:dyDescent="0.2">
      <c r="A467" s="2" t="s">
        <v>2777</v>
      </c>
      <c r="B467" s="2" t="s">
        <v>2778</v>
      </c>
      <c r="C467" s="4">
        <v>946.07</v>
      </c>
      <c r="D467" s="4">
        <f t="shared" si="14"/>
        <v>11352.84</v>
      </c>
      <c r="E467" s="2" t="s">
        <v>78</v>
      </c>
      <c r="F467" s="4">
        <v>0</v>
      </c>
      <c r="G467" s="4">
        <v>0</v>
      </c>
      <c r="H467" s="3">
        <v>46033</v>
      </c>
      <c r="I467" s="4">
        <v>1087.3800000000001</v>
      </c>
      <c r="J467" s="2" t="s">
        <v>4825</v>
      </c>
      <c r="K467" s="3">
        <v>46054</v>
      </c>
      <c r="L467" s="2">
        <f>IF(G467&lt;=0,0,MAX(0,Assumptions!$B$3-K467))</f>
        <v>0</v>
      </c>
      <c r="M467" s="2" t="str">
        <f t="shared" si="15"/>
        <v>Current</v>
      </c>
      <c r="N467" s="4">
        <v>0</v>
      </c>
      <c r="O467" s="2" t="s">
        <v>78</v>
      </c>
      <c r="P467" s="2" t="s">
        <v>78</v>
      </c>
    </row>
    <row r="468" spans="1:16" x14ac:dyDescent="0.2">
      <c r="A468" s="2" t="s">
        <v>2784</v>
      </c>
      <c r="B468" s="2" t="s">
        <v>401</v>
      </c>
      <c r="C468" s="4">
        <v>946.07</v>
      </c>
      <c r="D468" s="4">
        <f t="shared" si="14"/>
        <v>11352.84</v>
      </c>
      <c r="E468" s="2" t="s">
        <v>36</v>
      </c>
      <c r="F468" s="4">
        <v>8303.02</v>
      </c>
      <c r="G468" s="4">
        <v>0</v>
      </c>
      <c r="H468" s="3">
        <v>46062</v>
      </c>
      <c r="I468" s="4">
        <v>791.56</v>
      </c>
      <c r="J468" s="2" t="s">
        <v>4825</v>
      </c>
      <c r="K468" s="3">
        <v>46054</v>
      </c>
      <c r="L468" s="2">
        <f>IF(G468&lt;=0,0,MAX(0,Assumptions!$B$3-K468))</f>
        <v>0</v>
      </c>
      <c r="M468" s="2" t="str">
        <f t="shared" si="15"/>
        <v>Current</v>
      </c>
      <c r="N468" s="4">
        <v>0</v>
      </c>
      <c r="O468" s="2" t="s">
        <v>78</v>
      </c>
      <c r="P468" s="2" t="s">
        <v>36</v>
      </c>
    </row>
    <row r="469" spans="1:16" x14ac:dyDescent="0.2">
      <c r="A469" s="2" t="s">
        <v>2789</v>
      </c>
      <c r="B469" s="2" t="s">
        <v>580</v>
      </c>
      <c r="C469" s="4">
        <v>946.07</v>
      </c>
      <c r="D469" s="4">
        <f t="shared" si="14"/>
        <v>11352.84</v>
      </c>
      <c r="E469" s="2" t="s">
        <v>36</v>
      </c>
      <c r="F469" s="4">
        <v>1175</v>
      </c>
      <c r="G469" s="4">
        <v>2057.87</v>
      </c>
      <c r="H469" s="3">
        <v>46016</v>
      </c>
      <c r="I469" s="4">
        <v>937</v>
      </c>
      <c r="J469" s="2" t="s">
        <v>4823</v>
      </c>
      <c r="K469" s="3">
        <v>45994</v>
      </c>
      <c r="L469" s="2">
        <f>IF(G469&lt;=0,0,MAX(0,Assumptions!$B$3-K469))</f>
        <v>0</v>
      </c>
      <c r="M469" s="2" t="str">
        <f t="shared" si="15"/>
        <v>30 days</v>
      </c>
      <c r="N469" s="4">
        <v>25</v>
      </c>
      <c r="O469" s="2" t="s">
        <v>78</v>
      </c>
      <c r="P469" s="2" t="s">
        <v>78</v>
      </c>
    </row>
    <row r="470" spans="1:16" x14ac:dyDescent="0.2">
      <c r="A470" s="2" t="s">
        <v>2794</v>
      </c>
      <c r="B470" s="2" t="s">
        <v>2060</v>
      </c>
      <c r="C470" s="4">
        <v>946.07</v>
      </c>
      <c r="D470" s="4">
        <f t="shared" si="14"/>
        <v>11352.84</v>
      </c>
      <c r="E470" s="2" t="s">
        <v>78</v>
      </c>
      <c r="F470" s="4">
        <v>0</v>
      </c>
      <c r="G470" s="4">
        <v>0</v>
      </c>
      <c r="H470" s="3">
        <v>46045</v>
      </c>
      <c r="I470" s="4">
        <v>826.84</v>
      </c>
      <c r="J470" s="2" t="s">
        <v>4825</v>
      </c>
      <c r="K470" s="3">
        <v>46054</v>
      </c>
      <c r="L470" s="2">
        <f>IF(G470&lt;=0,0,MAX(0,Assumptions!$B$3-K470))</f>
        <v>0</v>
      </c>
      <c r="M470" s="2" t="str">
        <f t="shared" si="15"/>
        <v>Current</v>
      </c>
      <c r="N470" s="4">
        <v>0</v>
      </c>
      <c r="O470" s="2" t="s">
        <v>78</v>
      </c>
      <c r="P470" s="2" t="s">
        <v>36</v>
      </c>
    </row>
    <row r="471" spans="1:16" x14ac:dyDescent="0.2">
      <c r="A471" s="2" t="s">
        <v>2800</v>
      </c>
      <c r="B471" s="2" t="s">
        <v>757</v>
      </c>
      <c r="C471" s="4">
        <v>946.07</v>
      </c>
      <c r="D471" s="4">
        <f t="shared" si="14"/>
        <v>11352.84</v>
      </c>
      <c r="E471" s="2" t="s">
        <v>78</v>
      </c>
      <c r="F471" s="4">
        <v>0</v>
      </c>
      <c r="G471" s="4">
        <v>3082.07</v>
      </c>
      <c r="H471" s="3">
        <v>45951</v>
      </c>
      <c r="I471" s="4">
        <v>204.92</v>
      </c>
      <c r="J471" s="2" t="s">
        <v>4826</v>
      </c>
      <c r="K471" s="3">
        <v>45964</v>
      </c>
      <c r="L471" s="2">
        <f>IF(G471&lt;=0,0,MAX(0,Assumptions!$B$3-K471))</f>
        <v>0</v>
      </c>
      <c r="M471" s="2" t="str">
        <f t="shared" si="15"/>
        <v>30 days</v>
      </c>
      <c r="N471" s="4">
        <v>0</v>
      </c>
      <c r="O471" s="2" t="s">
        <v>78</v>
      </c>
      <c r="P471" s="2" t="s">
        <v>78</v>
      </c>
    </row>
    <row r="472" spans="1:16" x14ac:dyDescent="0.2">
      <c r="A472" s="2" t="s">
        <v>2804</v>
      </c>
      <c r="B472" s="2" t="s">
        <v>899</v>
      </c>
      <c r="C472" s="4">
        <v>946.07</v>
      </c>
      <c r="D472" s="4">
        <f t="shared" si="14"/>
        <v>11352.84</v>
      </c>
      <c r="E472" s="2" t="s">
        <v>78</v>
      </c>
      <c r="F472" s="4">
        <v>0</v>
      </c>
      <c r="G472" s="4">
        <v>0</v>
      </c>
      <c r="H472" s="3">
        <v>46048</v>
      </c>
      <c r="I472" s="4">
        <v>997.27</v>
      </c>
      <c r="J472" s="2" t="s">
        <v>4824</v>
      </c>
      <c r="K472" s="3">
        <v>46054</v>
      </c>
      <c r="L472" s="2">
        <f>IF(G472&lt;=0,0,MAX(0,Assumptions!$B$3-K472))</f>
        <v>0</v>
      </c>
      <c r="M472" s="2" t="str">
        <f t="shared" si="15"/>
        <v>Current</v>
      </c>
      <c r="N472" s="4">
        <v>0</v>
      </c>
      <c r="O472" s="2" t="s">
        <v>78</v>
      </c>
      <c r="P472" s="2" t="s">
        <v>36</v>
      </c>
    </row>
    <row r="473" spans="1:16" x14ac:dyDescent="0.2">
      <c r="A473" s="2" t="s">
        <v>2810</v>
      </c>
      <c r="B473" s="2" t="s">
        <v>2811</v>
      </c>
      <c r="C473" s="4">
        <v>1116.1500000000001</v>
      </c>
      <c r="D473" s="4">
        <f t="shared" si="14"/>
        <v>13393.800000000001</v>
      </c>
      <c r="E473" s="2" t="s">
        <v>78</v>
      </c>
      <c r="F473" s="4">
        <v>0</v>
      </c>
      <c r="G473" s="4">
        <v>25</v>
      </c>
      <c r="H473" s="3">
        <v>46046</v>
      </c>
      <c r="I473" s="4">
        <v>1004.96</v>
      </c>
      <c r="J473" s="2" t="s">
        <v>4827</v>
      </c>
      <c r="K473" s="3">
        <v>46054</v>
      </c>
      <c r="L473" s="2">
        <f>IF(G473&lt;=0,0,MAX(0,Assumptions!$B$3-K473))</f>
        <v>0</v>
      </c>
      <c r="M473" s="2" t="str">
        <f t="shared" si="15"/>
        <v>30 days</v>
      </c>
      <c r="N473" s="4">
        <v>0</v>
      </c>
      <c r="O473" s="2" t="s">
        <v>78</v>
      </c>
      <c r="P473" s="2" t="s">
        <v>36</v>
      </c>
    </row>
    <row r="474" spans="1:16" x14ac:dyDescent="0.2">
      <c r="A474" s="2" t="s">
        <v>2816</v>
      </c>
      <c r="B474" s="2" t="s">
        <v>200</v>
      </c>
      <c r="C474" s="4">
        <v>1116.1500000000001</v>
      </c>
      <c r="D474" s="4">
        <f t="shared" si="14"/>
        <v>13393.800000000001</v>
      </c>
      <c r="E474" s="2" t="s">
        <v>78</v>
      </c>
      <c r="F474" s="4">
        <v>0</v>
      </c>
      <c r="G474" s="4">
        <v>0</v>
      </c>
      <c r="H474" s="3">
        <v>46055</v>
      </c>
      <c r="I474" s="4">
        <v>1229.68</v>
      </c>
      <c r="J474" s="2" t="s">
        <v>4825</v>
      </c>
      <c r="K474" s="3">
        <v>46054</v>
      </c>
      <c r="L474" s="2">
        <f>IF(G474&lt;=0,0,MAX(0,Assumptions!$B$3-K474))</f>
        <v>0</v>
      </c>
      <c r="M474" s="2" t="str">
        <f t="shared" si="15"/>
        <v>Current</v>
      </c>
      <c r="N474" s="4">
        <v>0</v>
      </c>
      <c r="O474" s="2" t="s">
        <v>78</v>
      </c>
      <c r="P474" s="2" t="s">
        <v>78</v>
      </c>
    </row>
    <row r="475" spans="1:16" x14ac:dyDescent="0.2">
      <c r="A475" s="2" t="s">
        <v>2820</v>
      </c>
      <c r="B475" s="2" t="s">
        <v>2821</v>
      </c>
      <c r="C475" s="4">
        <v>1116.1500000000001</v>
      </c>
      <c r="D475" s="4">
        <f t="shared" si="14"/>
        <v>13393.800000000001</v>
      </c>
      <c r="E475" s="2" t="s">
        <v>36</v>
      </c>
      <c r="F475" s="4">
        <v>6923.03</v>
      </c>
      <c r="G475" s="4">
        <v>3391.44</v>
      </c>
      <c r="H475" s="3">
        <v>45943</v>
      </c>
      <c r="I475" s="4">
        <v>1013.15</v>
      </c>
      <c r="J475" s="2" t="s">
        <v>4825</v>
      </c>
      <c r="K475" s="3">
        <v>45964</v>
      </c>
      <c r="L475" s="2">
        <f>IF(G475&lt;=0,0,MAX(0,Assumptions!$B$3-K475))</f>
        <v>0</v>
      </c>
      <c r="M475" s="2" t="str">
        <f t="shared" si="15"/>
        <v>30 days</v>
      </c>
      <c r="N475" s="4">
        <v>100</v>
      </c>
      <c r="O475" s="2" t="s">
        <v>78</v>
      </c>
      <c r="P475" s="2" t="s">
        <v>78</v>
      </c>
    </row>
    <row r="476" spans="1:16" x14ac:dyDescent="0.2">
      <c r="A476" s="2" t="s">
        <v>2825</v>
      </c>
      <c r="B476" s="2" t="s">
        <v>2826</v>
      </c>
      <c r="C476" s="4">
        <v>1116.1500000000001</v>
      </c>
      <c r="D476" s="4">
        <f t="shared" si="14"/>
        <v>13393.800000000001</v>
      </c>
      <c r="E476" s="2" t="s">
        <v>78</v>
      </c>
      <c r="F476" s="4">
        <v>0</v>
      </c>
      <c r="G476" s="4">
        <v>-50</v>
      </c>
      <c r="H476" s="3">
        <v>46030</v>
      </c>
      <c r="I476" s="4">
        <v>1163.25</v>
      </c>
      <c r="J476" s="2" t="s">
        <v>4825</v>
      </c>
      <c r="K476" s="3">
        <v>46054</v>
      </c>
      <c r="L476" s="2">
        <f>IF(G476&lt;=0,0,MAX(0,Assumptions!$B$3-K476))</f>
        <v>0</v>
      </c>
      <c r="M476" s="2" t="str">
        <f t="shared" si="15"/>
        <v>Current</v>
      </c>
      <c r="N476" s="4">
        <v>0</v>
      </c>
      <c r="O476" s="2" t="s">
        <v>78</v>
      </c>
      <c r="P476" s="2" t="s">
        <v>78</v>
      </c>
    </row>
    <row r="477" spans="1:16" x14ac:dyDescent="0.2">
      <c r="A477" s="2" t="s">
        <v>2832</v>
      </c>
      <c r="B477" s="2" t="s">
        <v>2833</v>
      </c>
      <c r="C477" s="4">
        <v>1541.35</v>
      </c>
      <c r="D477" s="4">
        <f t="shared" si="14"/>
        <v>18496.199999999997</v>
      </c>
      <c r="E477" s="2" t="s">
        <v>78</v>
      </c>
      <c r="F477" s="4">
        <v>0</v>
      </c>
      <c r="G477" s="4">
        <v>-50</v>
      </c>
      <c r="H477" s="3">
        <v>46043</v>
      </c>
      <c r="I477" s="4">
        <v>1461.47</v>
      </c>
      <c r="J477" s="2" t="s">
        <v>4827</v>
      </c>
      <c r="K477" s="3">
        <v>46054</v>
      </c>
      <c r="L477" s="2">
        <f>IF(G477&lt;=0,0,MAX(0,Assumptions!$B$3-K477))</f>
        <v>0</v>
      </c>
      <c r="M477" s="2" t="str">
        <f t="shared" si="15"/>
        <v>Current</v>
      </c>
      <c r="N477" s="4">
        <v>0</v>
      </c>
      <c r="O477" s="2" t="s">
        <v>78</v>
      </c>
      <c r="P477" s="2" t="s">
        <v>78</v>
      </c>
    </row>
    <row r="478" spans="1:16" x14ac:dyDescent="0.2">
      <c r="A478" s="2" t="s">
        <v>2839</v>
      </c>
      <c r="B478" s="2" t="s">
        <v>2840</v>
      </c>
      <c r="C478" s="4">
        <v>773.21</v>
      </c>
      <c r="D478" s="4">
        <f t="shared" si="14"/>
        <v>9278.52</v>
      </c>
      <c r="E478" s="2" t="s">
        <v>78</v>
      </c>
      <c r="F478" s="4">
        <v>0</v>
      </c>
      <c r="G478" s="4">
        <v>25</v>
      </c>
      <c r="H478" s="3">
        <v>46059</v>
      </c>
      <c r="I478" s="4">
        <v>800.19</v>
      </c>
      <c r="J478" s="2" t="s">
        <v>4825</v>
      </c>
      <c r="K478" s="3">
        <v>46054</v>
      </c>
      <c r="L478" s="2">
        <f>IF(G478&lt;=0,0,MAX(0,Assumptions!$B$3-K478))</f>
        <v>0</v>
      </c>
      <c r="M478" s="2" t="str">
        <f t="shared" si="15"/>
        <v>30 days</v>
      </c>
      <c r="N478" s="4">
        <v>0</v>
      </c>
      <c r="O478" s="2" t="s">
        <v>78</v>
      </c>
      <c r="P478" s="2" t="s">
        <v>36</v>
      </c>
    </row>
    <row r="479" spans="1:16" x14ac:dyDescent="0.2">
      <c r="A479" s="2" t="s">
        <v>2846</v>
      </c>
      <c r="B479" s="2" t="s">
        <v>2847</v>
      </c>
      <c r="C479" s="4">
        <v>773.21</v>
      </c>
      <c r="D479" s="4">
        <f t="shared" si="14"/>
        <v>9278.52</v>
      </c>
      <c r="E479" s="2" t="s">
        <v>78</v>
      </c>
      <c r="F479" s="4">
        <v>0</v>
      </c>
      <c r="G479" s="4">
        <v>-50</v>
      </c>
      <c r="H479" s="3">
        <v>46048</v>
      </c>
      <c r="I479" s="4">
        <v>761.96</v>
      </c>
      <c r="J479" s="2" t="s">
        <v>4823</v>
      </c>
      <c r="K479" s="3">
        <v>46054</v>
      </c>
      <c r="L479" s="2">
        <f>IF(G479&lt;=0,0,MAX(0,Assumptions!$B$3-K479))</f>
        <v>0</v>
      </c>
      <c r="M479" s="2" t="str">
        <f t="shared" si="15"/>
        <v>Current</v>
      </c>
      <c r="N479" s="4">
        <v>0</v>
      </c>
      <c r="O479" s="2" t="s">
        <v>78</v>
      </c>
      <c r="P479" s="2" t="s">
        <v>36</v>
      </c>
    </row>
    <row r="480" spans="1:16" x14ac:dyDescent="0.2">
      <c r="A480" s="2" t="s">
        <v>2851</v>
      </c>
      <c r="B480" s="2" t="s">
        <v>723</v>
      </c>
      <c r="C480" s="4">
        <v>773.21</v>
      </c>
      <c r="D480" s="4">
        <f t="shared" si="14"/>
        <v>9278.52</v>
      </c>
      <c r="E480" s="2" t="s">
        <v>78</v>
      </c>
      <c r="F480" s="4">
        <v>0</v>
      </c>
      <c r="G480" s="4">
        <v>0</v>
      </c>
      <c r="H480" s="3">
        <v>46072</v>
      </c>
      <c r="I480" s="4">
        <v>888.68</v>
      </c>
      <c r="J480" s="2" t="s">
        <v>4827</v>
      </c>
      <c r="K480" s="3">
        <v>46054</v>
      </c>
      <c r="L480" s="2">
        <f>IF(G480&lt;=0,0,MAX(0,Assumptions!$B$3-K480))</f>
        <v>0</v>
      </c>
      <c r="M480" s="2" t="str">
        <f t="shared" si="15"/>
        <v>Current</v>
      </c>
      <c r="N480" s="4">
        <v>0</v>
      </c>
      <c r="O480" s="2" t="s">
        <v>78</v>
      </c>
      <c r="P480" s="2" t="s">
        <v>36</v>
      </c>
    </row>
    <row r="481" spans="1:16" x14ac:dyDescent="0.2">
      <c r="A481" s="2" t="s">
        <v>2855</v>
      </c>
      <c r="B481" s="2" t="s">
        <v>2856</v>
      </c>
      <c r="C481" s="4">
        <v>773.21</v>
      </c>
      <c r="D481" s="4">
        <f t="shared" si="14"/>
        <v>9278.52</v>
      </c>
      <c r="E481" s="2" t="s">
        <v>36</v>
      </c>
      <c r="F481" s="4">
        <v>3608.54</v>
      </c>
      <c r="G481" s="4">
        <v>0</v>
      </c>
      <c r="H481" s="3">
        <v>46031</v>
      </c>
      <c r="I481" s="4">
        <v>898.58</v>
      </c>
      <c r="J481" s="2" t="s">
        <v>4826</v>
      </c>
      <c r="K481" s="3">
        <v>46054</v>
      </c>
      <c r="L481" s="2">
        <f>IF(G481&lt;=0,0,MAX(0,Assumptions!$B$3-K481))</f>
        <v>0</v>
      </c>
      <c r="M481" s="2" t="str">
        <f t="shared" si="15"/>
        <v>Current</v>
      </c>
      <c r="N481" s="4">
        <v>0</v>
      </c>
      <c r="O481" s="2" t="s">
        <v>78</v>
      </c>
      <c r="P481" s="2" t="s">
        <v>78</v>
      </c>
    </row>
    <row r="482" spans="1:16" x14ac:dyDescent="0.2">
      <c r="A482" s="2" t="s">
        <v>2861</v>
      </c>
      <c r="B482" s="2" t="s">
        <v>935</v>
      </c>
      <c r="C482" s="4">
        <v>773.21</v>
      </c>
      <c r="D482" s="4">
        <f t="shared" si="14"/>
        <v>9278.52</v>
      </c>
      <c r="E482" s="2" t="s">
        <v>36</v>
      </c>
      <c r="F482" s="4">
        <v>3825.98</v>
      </c>
      <c r="G482" s="4">
        <v>0</v>
      </c>
      <c r="H482" s="3">
        <v>46056</v>
      </c>
      <c r="I482" s="4">
        <v>722.89</v>
      </c>
      <c r="J482" s="2" t="s">
        <v>4825</v>
      </c>
      <c r="K482" s="3">
        <v>46054</v>
      </c>
      <c r="L482" s="2">
        <f>IF(G482&lt;=0,0,MAX(0,Assumptions!$B$3-K482))</f>
        <v>0</v>
      </c>
      <c r="M482" s="2" t="str">
        <f t="shared" si="15"/>
        <v>Current</v>
      </c>
      <c r="N482" s="4">
        <v>0</v>
      </c>
      <c r="O482" s="2" t="s">
        <v>78</v>
      </c>
      <c r="P482" s="2" t="s">
        <v>36</v>
      </c>
    </row>
    <row r="483" spans="1:16" x14ac:dyDescent="0.2">
      <c r="A483" s="2" t="s">
        <v>2865</v>
      </c>
      <c r="B483" s="2" t="s">
        <v>2866</v>
      </c>
      <c r="C483" s="4">
        <v>773.21</v>
      </c>
      <c r="D483" s="4">
        <f t="shared" si="14"/>
        <v>9278.52</v>
      </c>
      <c r="E483" s="2" t="s">
        <v>78</v>
      </c>
      <c r="F483" s="4">
        <v>0</v>
      </c>
      <c r="G483" s="4">
        <v>15</v>
      </c>
      <c r="H483" s="3">
        <v>46056</v>
      </c>
      <c r="I483" s="4">
        <v>689</v>
      </c>
      <c r="J483" s="2" t="s">
        <v>4823</v>
      </c>
      <c r="K483" s="3">
        <v>46054</v>
      </c>
      <c r="L483" s="2">
        <f>IF(G483&lt;=0,0,MAX(0,Assumptions!$B$3-K483))</f>
        <v>0</v>
      </c>
      <c r="M483" s="2" t="str">
        <f t="shared" si="15"/>
        <v>30 days</v>
      </c>
      <c r="N483" s="4">
        <v>0</v>
      </c>
      <c r="O483" s="2" t="s">
        <v>78</v>
      </c>
      <c r="P483" s="2" t="s">
        <v>36</v>
      </c>
    </row>
    <row r="484" spans="1:16" x14ac:dyDescent="0.2">
      <c r="A484" s="2" t="s">
        <v>2870</v>
      </c>
      <c r="B484" s="2" t="s">
        <v>2402</v>
      </c>
      <c r="C484" s="4">
        <v>949.19</v>
      </c>
      <c r="D484" s="4">
        <f t="shared" si="14"/>
        <v>11390.28</v>
      </c>
      <c r="E484" s="2" t="s">
        <v>78</v>
      </c>
      <c r="F484" s="4">
        <v>0</v>
      </c>
      <c r="G484" s="4">
        <v>0</v>
      </c>
      <c r="H484" s="3">
        <v>46042</v>
      </c>
      <c r="I484" s="4">
        <v>1127.3</v>
      </c>
      <c r="J484" s="2" t="s">
        <v>4825</v>
      </c>
      <c r="K484" s="3">
        <v>46054</v>
      </c>
      <c r="L484" s="2">
        <f>IF(G484&lt;=0,0,MAX(0,Assumptions!$B$3-K484))</f>
        <v>0</v>
      </c>
      <c r="M484" s="2" t="str">
        <f t="shared" si="15"/>
        <v>Current</v>
      </c>
      <c r="N484" s="4">
        <v>0</v>
      </c>
      <c r="O484" s="2" t="s">
        <v>78</v>
      </c>
      <c r="P484" s="2" t="s">
        <v>78</v>
      </c>
    </row>
    <row r="485" spans="1:16" x14ac:dyDescent="0.2">
      <c r="A485" s="2" t="s">
        <v>2876</v>
      </c>
      <c r="B485" s="2" t="s">
        <v>131</v>
      </c>
      <c r="C485" s="4">
        <v>949.19</v>
      </c>
      <c r="D485" s="4">
        <f t="shared" si="14"/>
        <v>11390.28</v>
      </c>
      <c r="E485" s="2" t="s">
        <v>78</v>
      </c>
      <c r="F485" s="4">
        <v>0</v>
      </c>
      <c r="G485" s="4">
        <v>0</v>
      </c>
      <c r="H485" s="3">
        <v>46035</v>
      </c>
      <c r="I485" s="4">
        <v>869.2</v>
      </c>
      <c r="J485" s="2" t="s">
        <v>4826</v>
      </c>
      <c r="K485" s="3">
        <v>46054</v>
      </c>
      <c r="L485" s="2">
        <f>IF(G485&lt;=0,0,MAX(0,Assumptions!$B$3-K485))</f>
        <v>0</v>
      </c>
      <c r="M485" s="2" t="str">
        <f t="shared" si="15"/>
        <v>Current</v>
      </c>
      <c r="N485" s="4">
        <v>0</v>
      </c>
      <c r="O485" s="2" t="s">
        <v>78</v>
      </c>
      <c r="P485" s="2" t="s">
        <v>36</v>
      </c>
    </row>
    <row r="486" spans="1:16" x14ac:dyDescent="0.2">
      <c r="A486" s="2" t="s">
        <v>2881</v>
      </c>
      <c r="B486" s="2" t="s">
        <v>2882</v>
      </c>
      <c r="C486" s="4">
        <v>949.19</v>
      </c>
      <c r="D486" s="4">
        <f t="shared" si="14"/>
        <v>11390.28</v>
      </c>
      <c r="E486" s="2" t="s">
        <v>78</v>
      </c>
      <c r="F486" s="4">
        <v>0</v>
      </c>
      <c r="G486" s="4">
        <v>0</v>
      </c>
      <c r="H486" s="3">
        <v>46073</v>
      </c>
      <c r="I486" s="4">
        <v>1122.6500000000001</v>
      </c>
      <c r="J486" s="2" t="s">
        <v>4826</v>
      </c>
      <c r="K486" s="3">
        <v>46054</v>
      </c>
      <c r="L486" s="2">
        <f>IF(G486&lt;=0,0,MAX(0,Assumptions!$B$3-K486))</f>
        <v>0</v>
      </c>
      <c r="M486" s="2" t="str">
        <f t="shared" si="15"/>
        <v>Current</v>
      </c>
      <c r="N486" s="4">
        <v>0</v>
      </c>
      <c r="O486" s="2" t="s">
        <v>78</v>
      </c>
      <c r="P486" s="2" t="s">
        <v>78</v>
      </c>
    </row>
    <row r="487" spans="1:16" x14ac:dyDescent="0.2">
      <c r="A487" s="2" t="s">
        <v>2887</v>
      </c>
      <c r="B487" s="2" t="s">
        <v>401</v>
      </c>
      <c r="C487" s="4">
        <v>949.19</v>
      </c>
      <c r="D487" s="4">
        <f t="shared" si="14"/>
        <v>11390.28</v>
      </c>
      <c r="E487" s="2" t="s">
        <v>78</v>
      </c>
      <c r="F487" s="4">
        <v>0</v>
      </c>
      <c r="G487" s="4">
        <v>0</v>
      </c>
      <c r="H487" s="3">
        <v>46035</v>
      </c>
      <c r="I487" s="4">
        <v>808.49</v>
      </c>
      <c r="J487" s="2" t="s">
        <v>4827</v>
      </c>
      <c r="K487" s="3">
        <v>46054</v>
      </c>
      <c r="L487" s="2">
        <f>IF(G487&lt;=0,0,MAX(0,Assumptions!$B$3-K487))</f>
        <v>0</v>
      </c>
      <c r="M487" s="2" t="str">
        <f t="shared" si="15"/>
        <v>Current</v>
      </c>
      <c r="N487" s="4">
        <v>0</v>
      </c>
      <c r="O487" s="2" t="s">
        <v>78</v>
      </c>
      <c r="P487" s="2" t="s">
        <v>36</v>
      </c>
    </row>
    <row r="488" spans="1:16" x14ac:dyDescent="0.2">
      <c r="A488" s="2" t="s">
        <v>2894</v>
      </c>
      <c r="B488" s="2" t="s">
        <v>2717</v>
      </c>
      <c r="C488" s="4">
        <v>949.19</v>
      </c>
      <c r="D488" s="4">
        <f t="shared" si="14"/>
        <v>11390.28</v>
      </c>
      <c r="E488" s="2" t="s">
        <v>78</v>
      </c>
      <c r="F488" s="4">
        <v>0</v>
      </c>
      <c r="G488" s="4">
        <v>0</v>
      </c>
      <c r="H488" s="3">
        <v>46050</v>
      </c>
      <c r="I488" s="4">
        <v>973.99</v>
      </c>
      <c r="J488" s="2" t="s">
        <v>4823</v>
      </c>
      <c r="K488" s="3">
        <v>46054</v>
      </c>
      <c r="L488" s="2">
        <f>IF(G488&lt;=0,0,MAX(0,Assumptions!$B$3-K488))</f>
        <v>0</v>
      </c>
      <c r="M488" s="2" t="str">
        <f t="shared" si="15"/>
        <v>Current</v>
      </c>
      <c r="N488" s="4">
        <v>0</v>
      </c>
      <c r="O488" s="2" t="s">
        <v>78</v>
      </c>
      <c r="P488" s="2" t="s">
        <v>36</v>
      </c>
    </row>
    <row r="489" spans="1:16" x14ac:dyDescent="0.2">
      <c r="A489" s="2" t="s">
        <v>2899</v>
      </c>
      <c r="B489" s="2" t="s">
        <v>2900</v>
      </c>
      <c r="C489" s="4">
        <v>949.19</v>
      </c>
      <c r="D489" s="4">
        <f t="shared" si="14"/>
        <v>11390.28</v>
      </c>
      <c r="E489" s="2" t="s">
        <v>78</v>
      </c>
      <c r="F489" s="4">
        <v>0</v>
      </c>
      <c r="G489" s="4">
        <v>2078.2399999999998</v>
      </c>
      <c r="H489" s="3">
        <v>45924</v>
      </c>
      <c r="I489" s="4">
        <v>840.39</v>
      </c>
      <c r="J489" s="2" t="s">
        <v>4823</v>
      </c>
      <c r="K489" s="3">
        <v>45994</v>
      </c>
      <c r="L489" s="2">
        <f>IF(G489&lt;=0,0,MAX(0,Assumptions!$B$3-K489))</f>
        <v>0</v>
      </c>
      <c r="M489" s="2" t="str">
        <f t="shared" si="15"/>
        <v>30 days</v>
      </c>
      <c r="N489" s="4">
        <v>50</v>
      </c>
      <c r="O489" s="2" t="s">
        <v>78</v>
      </c>
      <c r="P489" s="2" t="s">
        <v>78</v>
      </c>
    </row>
    <row r="490" spans="1:16" x14ac:dyDescent="0.2">
      <c r="A490" s="2" t="s">
        <v>2904</v>
      </c>
      <c r="B490" s="2" t="s">
        <v>2905</v>
      </c>
      <c r="C490" s="4">
        <v>1119.83</v>
      </c>
      <c r="D490" s="4">
        <f t="shared" si="14"/>
        <v>13437.96</v>
      </c>
      <c r="E490" s="2" t="s">
        <v>78</v>
      </c>
      <c r="F490" s="4">
        <v>0</v>
      </c>
      <c r="G490" s="4">
        <v>-50</v>
      </c>
      <c r="H490" s="3">
        <v>46061</v>
      </c>
      <c r="I490" s="4">
        <v>1299.83</v>
      </c>
      <c r="J490" s="2" t="s">
        <v>4827</v>
      </c>
      <c r="K490" s="3">
        <v>46054</v>
      </c>
      <c r="L490" s="2">
        <f>IF(G490&lt;=0,0,MAX(0,Assumptions!$B$3-K490))</f>
        <v>0</v>
      </c>
      <c r="M490" s="2" t="str">
        <f t="shared" si="15"/>
        <v>Current</v>
      </c>
      <c r="N490" s="4">
        <v>0</v>
      </c>
      <c r="O490" s="2" t="s">
        <v>78</v>
      </c>
      <c r="P490" s="2" t="s">
        <v>78</v>
      </c>
    </row>
    <row r="491" spans="1:16" x14ac:dyDescent="0.2">
      <c r="A491" s="2" t="s">
        <v>2912</v>
      </c>
      <c r="B491" s="2" t="s">
        <v>2913</v>
      </c>
      <c r="C491" s="4">
        <v>1119.83</v>
      </c>
      <c r="D491" s="4">
        <f t="shared" si="14"/>
        <v>13437.96</v>
      </c>
      <c r="E491" s="2" t="s">
        <v>78</v>
      </c>
      <c r="F491" s="4">
        <v>0</v>
      </c>
      <c r="G491" s="4">
        <v>25</v>
      </c>
      <c r="H491" s="3">
        <v>46058</v>
      </c>
      <c r="I491" s="4">
        <v>1114.72</v>
      </c>
      <c r="J491" s="2" t="s">
        <v>4823</v>
      </c>
      <c r="K491" s="3">
        <v>46054</v>
      </c>
      <c r="L491" s="2">
        <f>IF(G491&lt;=0,0,MAX(0,Assumptions!$B$3-K491))</f>
        <v>0</v>
      </c>
      <c r="M491" s="2" t="str">
        <f t="shared" si="15"/>
        <v>30 days</v>
      </c>
      <c r="N491" s="4">
        <v>0</v>
      </c>
      <c r="O491" s="2" t="s">
        <v>78</v>
      </c>
      <c r="P491" s="2" t="s">
        <v>78</v>
      </c>
    </row>
    <row r="492" spans="1:16" x14ac:dyDescent="0.2">
      <c r="A492" s="2" t="s">
        <v>2919</v>
      </c>
      <c r="B492" s="2" t="s">
        <v>2920</v>
      </c>
      <c r="C492" s="4">
        <v>1119.83</v>
      </c>
      <c r="D492" s="4">
        <f t="shared" si="14"/>
        <v>13437.96</v>
      </c>
      <c r="E492" s="2" t="s">
        <v>78</v>
      </c>
      <c r="F492" s="4">
        <v>0</v>
      </c>
      <c r="G492" s="4">
        <v>0</v>
      </c>
      <c r="H492" s="3">
        <v>46064</v>
      </c>
      <c r="I492" s="4">
        <v>1175.2</v>
      </c>
      <c r="J492" s="2" t="s">
        <v>4825</v>
      </c>
      <c r="K492" s="3">
        <v>46054</v>
      </c>
      <c r="L492" s="2">
        <f>IF(G492&lt;=0,0,MAX(0,Assumptions!$B$3-K492))</f>
        <v>0</v>
      </c>
      <c r="M492" s="2" t="str">
        <f t="shared" si="15"/>
        <v>Current</v>
      </c>
      <c r="N492" s="4">
        <v>0</v>
      </c>
      <c r="O492" s="2" t="s">
        <v>78</v>
      </c>
      <c r="P492" s="2" t="s">
        <v>36</v>
      </c>
    </row>
    <row r="493" spans="1:16" x14ac:dyDescent="0.2">
      <c r="A493" s="2" t="s">
        <v>2925</v>
      </c>
      <c r="B493" s="2" t="s">
        <v>2926</v>
      </c>
      <c r="C493" s="4">
        <v>1119.83</v>
      </c>
      <c r="D493" s="4">
        <f t="shared" si="14"/>
        <v>13437.96</v>
      </c>
      <c r="E493" s="2" t="s">
        <v>78</v>
      </c>
      <c r="F493" s="4">
        <v>0</v>
      </c>
      <c r="G493" s="4">
        <v>0</v>
      </c>
      <c r="H493" s="3">
        <v>46069</v>
      </c>
      <c r="I493" s="4">
        <v>1097.2</v>
      </c>
      <c r="J493" s="2" t="s">
        <v>4826</v>
      </c>
      <c r="K493" s="3">
        <v>46054</v>
      </c>
      <c r="L493" s="2">
        <f>IF(G493&lt;=0,0,MAX(0,Assumptions!$B$3-K493))</f>
        <v>0</v>
      </c>
      <c r="M493" s="2" t="str">
        <f t="shared" si="15"/>
        <v>Current</v>
      </c>
      <c r="N493" s="4">
        <v>0</v>
      </c>
      <c r="O493" s="2" t="s">
        <v>78</v>
      </c>
      <c r="P493" s="2" t="s">
        <v>78</v>
      </c>
    </row>
    <row r="494" spans="1:16" x14ac:dyDescent="0.2">
      <c r="A494" s="2" t="s">
        <v>2931</v>
      </c>
      <c r="B494" s="2" t="s">
        <v>1565</v>
      </c>
      <c r="C494" s="4">
        <v>1546.42</v>
      </c>
      <c r="D494" s="4">
        <f t="shared" si="14"/>
        <v>18557.04</v>
      </c>
      <c r="E494" s="2" t="s">
        <v>36</v>
      </c>
      <c r="F494" s="4">
        <v>7706.07</v>
      </c>
      <c r="G494" s="4">
        <v>0</v>
      </c>
      <c r="H494" s="3">
        <v>46043</v>
      </c>
      <c r="I494" s="4">
        <v>1389.67</v>
      </c>
      <c r="J494" s="2" t="s">
        <v>4825</v>
      </c>
      <c r="K494" s="3">
        <v>46054</v>
      </c>
      <c r="L494" s="2">
        <f>IF(G494&lt;=0,0,MAX(0,Assumptions!$B$3-K494))</f>
        <v>0</v>
      </c>
      <c r="M494" s="2" t="str">
        <f t="shared" si="15"/>
        <v>Current</v>
      </c>
      <c r="N494" s="4">
        <v>0</v>
      </c>
      <c r="O494" s="2" t="s">
        <v>78</v>
      </c>
      <c r="P494" s="2" t="s">
        <v>36</v>
      </c>
    </row>
    <row r="495" spans="1:16" x14ac:dyDescent="0.2">
      <c r="A495" s="2" t="s">
        <v>2937</v>
      </c>
      <c r="B495" s="2" t="s">
        <v>1619</v>
      </c>
      <c r="C495" s="4">
        <v>775.75</v>
      </c>
      <c r="D495" s="4">
        <f t="shared" si="14"/>
        <v>9309</v>
      </c>
      <c r="E495" s="2" t="s">
        <v>78</v>
      </c>
      <c r="F495" s="4">
        <v>0</v>
      </c>
      <c r="G495" s="4">
        <v>0</v>
      </c>
      <c r="H495" s="3">
        <v>46056</v>
      </c>
      <c r="I495" s="4">
        <v>917.45</v>
      </c>
      <c r="J495" s="2" t="s">
        <v>4823</v>
      </c>
      <c r="K495" s="3">
        <v>46054</v>
      </c>
      <c r="L495" s="2">
        <f>IF(G495&lt;=0,0,MAX(0,Assumptions!$B$3-K495))</f>
        <v>0</v>
      </c>
      <c r="M495" s="2" t="str">
        <f t="shared" si="15"/>
        <v>Current</v>
      </c>
      <c r="N495" s="4">
        <v>0</v>
      </c>
      <c r="O495" s="2" t="s">
        <v>78</v>
      </c>
      <c r="P495" s="2" t="s">
        <v>78</v>
      </c>
    </row>
    <row r="496" spans="1:16" x14ac:dyDescent="0.2">
      <c r="A496" s="2" t="s">
        <v>2941</v>
      </c>
      <c r="B496" s="2" t="s">
        <v>2856</v>
      </c>
      <c r="C496" s="4">
        <v>775.75</v>
      </c>
      <c r="D496" s="4">
        <f t="shared" si="14"/>
        <v>9309</v>
      </c>
      <c r="E496" s="2" t="s">
        <v>78</v>
      </c>
      <c r="F496" s="4">
        <v>0</v>
      </c>
      <c r="G496" s="4">
        <v>25</v>
      </c>
      <c r="H496" s="3">
        <v>46035</v>
      </c>
      <c r="I496" s="4">
        <v>808.36</v>
      </c>
      <c r="J496" s="2" t="s">
        <v>4827</v>
      </c>
      <c r="K496" s="3">
        <v>46054</v>
      </c>
      <c r="L496" s="2">
        <f>IF(G496&lt;=0,0,MAX(0,Assumptions!$B$3-K496))</f>
        <v>0</v>
      </c>
      <c r="M496" s="2" t="str">
        <f t="shared" si="15"/>
        <v>30 days</v>
      </c>
      <c r="N496" s="4">
        <v>0</v>
      </c>
      <c r="O496" s="2" t="s">
        <v>78</v>
      </c>
      <c r="P496" s="2" t="s">
        <v>78</v>
      </c>
    </row>
    <row r="497" spans="1:16" x14ac:dyDescent="0.2">
      <c r="A497" s="2" t="s">
        <v>2947</v>
      </c>
      <c r="B497" s="2" t="s">
        <v>2948</v>
      </c>
      <c r="C497" s="4">
        <v>775.75</v>
      </c>
      <c r="D497" s="4">
        <f t="shared" si="14"/>
        <v>9309</v>
      </c>
      <c r="E497" s="2" t="s">
        <v>78</v>
      </c>
      <c r="F497" s="4">
        <v>0</v>
      </c>
      <c r="G497" s="4">
        <v>15</v>
      </c>
      <c r="H497" s="3">
        <v>46055</v>
      </c>
      <c r="I497" s="4">
        <v>697.62</v>
      </c>
      <c r="J497" s="2" t="s">
        <v>4823</v>
      </c>
      <c r="K497" s="3">
        <v>46054</v>
      </c>
      <c r="L497" s="2">
        <f>IF(G497&lt;=0,0,MAX(0,Assumptions!$B$3-K497))</f>
        <v>0</v>
      </c>
      <c r="M497" s="2" t="str">
        <f t="shared" si="15"/>
        <v>30 days</v>
      </c>
      <c r="N497" s="4">
        <v>0</v>
      </c>
      <c r="O497" s="2" t="s">
        <v>78</v>
      </c>
      <c r="P497" s="2" t="s">
        <v>78</v>
      </c>
    </row>
    <row r="498" spans="1:16" x14ac:dyDescent="0.2">
      <c r="A498" s="2" t="s">
        <v>2953</v>
      </c>
      <c r="B498" s="2" t="s">
        <v>2954</v>
      </c>
      <c r="C498" s="4">
        <v>775.75</v>
      </c>
      <c r="D498" s="4">
        <f t="shared" si="14"/>
        <v>9309</v>
      </c>
      <c r="E498" s="2" t="s">
        <v>36</v>
      </c>
      <c r="F498" s="4">
        <v>2718.4</v>
      </c>
      <c r="G498" s="4">
        <v>0</v>
      </c>
      <c r="H498" s="3">
        <v>46055</v>
      </c>
      <c r="I498" s="4">
        <v>628.45000000000005</v>
      </c>
      <c r="J498" s="2" t="s">
        <v>4823</v>
      </c>
      <c r="K498" s="3">
        <v>46054</v>
      </c>
      <c r="L498" s="2">
        <f>IF(G498&lt;=0,0,MAX(0,Assumptions!$B$3-K498))</f>
        <v>0</v>
      </c>
      <c r="M498" s="2" t="str">
        <f t="shared" si="15"/>
        <v>Current</v>
      </c>
      <c r="N498" s="4">
        <v>0</v>
      </c>
      <c r="O498" s="2" t="s">
        <v>78</v>
      </c>
      <c r="P498" s="2" t="s">
        <v>78</v>
      </c>
    </row>
    <row r="499" spans="1:16" x14ac:dyDescent="0.2">
      <c r="A499" s="2" t="s">
        <v>2958</v>
      </c>
      <c r="B499" s="2" t="s">
        <v>1055</v>
      </c>
      <c r="C499" s="4">
        <v>775.75</v>
      </c>
      <c r="D499" s="4">
        <f t="shared" si="14"/>
        <v>9309</v>
      </c>
      <c r="E499" s="2" t="s">
        <v>36</v>
      </c>
      <c r="F499" s="4">
        <v>5820.06</v>
      </c>
      <c r="G499" s="4">
        <v>2387.5700000000002</v>
      </c>
      <c r="H499" s="3">
        <v>45984</v>
      </c>
      <c r="I499" s="4">
        <v>855.95</v>
      </c>
      <c r="J499" s="2" t="s">
        <v>4827</v>
      </c>
      <c r="K499" s="3">
        <v>45964</v>
      </c>
      <c r="L499" s="2">
        <f>IF(G499&lt;=0,0,MAX(0,Assumptions!$B$3-K499))</f>
        <v>0</v>
      </c>
      <c r="M499" s="2" t="str">
        <f t="shared" si="15"/>
        <v>30 days</v>
      </c>
      <c r="N499" s="4">
        <v>0</v>
      </c>
      <c r="O499" s="2" t="s">
        <v>78</v>
      </c>
      <c r="P499" s="2" t="s">
        <v>78</v>
      </c>
    </row>
    <row r="500" spans="1:16" x14ac:dyDescent="0.2">
      <c r="A500" s="2" t="s">
        <v>2962</v>
      </c>
      <c r="B500" s="2" t="s">
        <v>2948</v>
      </c>
      <c r="C500" s="4">
        <v>775.75</v>
      </c>
      <c r="D500" s="4">
        <f t="shared" si="14"/>
        <v>9309</v>
      </c>
      <c r="E500" s="2" t="s">
        <v>78</v>
      </c>
      <c r="F500" s="4">
        <v>0</v>
      </c>
      <c r="G500" s="4">
        <v>0</v>
      </c>
      <c r="H500" s="3">
        <v>46063</v>
      </c>
      <c r="I500" s="4">
        <v>802.58</v>
      </c>
      <c r="J500" s="2" t="s">
        <v>4827</v>
      </c>
      <c r="K500" s="3">
        <v>46054</v>
      </c>
      <c r="L500" s="2">
        <f>IF(G500&lt;=0,0,MAX(0,Assumptions!$B$3-K500))</f>
        <v>0</v>
      </c>
      <c r="M500" s="2" t="str">
        <f t="shared" si="15"/>
        <v>Current</v>
      </c>
      <c r="N500" s="4">
        <v>0</v>
      </c>
      <c r="O500" s="2" t="s">
        <v>78</v>
      </c>
      <c r="P500" s="2" t="s">
        <v>36</v>
      </c>
    </row>
    <row r="501" spans="1:16" x14ac:dyDescent="0.2">
      <c r="A501" s="2" t="s">
        <v>2966</v>
      </c>
      <c r="B501" s="2" t="s">
        <v>1375</v>
      </c>
      <c r="C501" s="4">
        <v>952.3</v>
      </c>
      <c r="D501" s="4">
        <f t="shared" si="14"/>
        <v>11427.599999999999</v>
      </c>
      <c r="E501" s="2" t="s">
        <v>78</v>
      </c>
      <c r="F501" s="4">
        <v>0</v>
      </c>
      <c r="G501" s="4">
        <v>15</v>
      </c>
      <c r="H501" s="3">
        <v>46043</v>
      </c>
      <c r="I501" s="4">
        <v>902.33</v>
      </c>
      <c r="J501" s="2" t="s">
        <v>4827</v>
      </c>
      <c r="K501" s="3">
        <v>46054</v>
      </c>
      <c r="L501" s="2">
        <f>IF(G501&lt;=0,0,MAX(0,Assumptions!$B$3-K501))</f>
        <v>0</v>
      </c>
      <c r="M501" s="2" t="str">
        <f t="shared" si="15"/>
        <v>30 days</v>
      </c>
      <c r="N501" s="4">
        <v>0</v>
      </c>
      <c r="O501" s="2" t="s">
        <v>78</v>
      </c>
      <c r="P501" s="2" t="s">
        <v>36</v>
      </c>
    </row>
    <row r="502" spans="1:16" x14ac:dyDescent="0.2">
      <c r="A502" s="2" t="s">
        <v>2972</v>
      </c>
      <c r="B502" s="2" t="s">
        <v>273</v>
      </c>
      <c r="C502" s="4">
        <v>952.3</v>
      </c>
      <c r="D502" s="4">
        <f t="shared" si="14"/>
        <v>11427.599999999999</v>
      </c>
      <c r="E502" s="2" t="s">
        <v>36</v>
      </c>
      <c r="F502" s="4">
        <v>4191.21</v>
      </c>
      <c r="G502" s="4">
        <v>-50</v>
      </c>
      <c r="H502" s="3">
        <v>46048</v>
      </c>
      <c r="I502" s="4">
        <v>829.64</v>
      </c>
      <c r="J502" s="2" t="s">
        <v>4824</v>
      </c>
      <c r="K502" s="3">
        <v>46054</v>
      </c>
      <c r="L502" s="2">
        <f>IF(G502&lt;=0,0,MAX(0,Assumptions!$B$3-K502))</f>
        <v>0</v>
      </c>
      <c r="M502" s="2" t="str">
        <f t="shared" si="15"/>
        <v>Current</v>
      </c>
      <c r="N502" s="4">
        <v>0</v>
      </c>
      <c r="O502" s="2" t="s">
        <v>78</v>
      </c>
      <c r="P502" s="2" t="s">
        <v>36</v>
      </c>
    </row>
    <row r="503" spans="1:16" x14ac:dyDescent="0.2">
      <c r="A503" s="2" t="s">
        <v>2977</v>
      </c>
      <c r="B503" s="2" t="s">
        <v>2978</v>
      </c>
      <c r="C503" s="4">
        <v>952.3</v>
      </c>
      <c r="D503" s="4">
        <f t="shared" si="14"/>
        <v>11427.599999999999</v>
      </c>
      <c r="E503" s="2" t="s">
        <v>78</v>
      </c>
      <c r="F503" s="4">
        <v>0</v>
      </c>
      <c r="G503" s="4">
        <v>0</v>
      </c>
      <c r="H503" s="3">
        <v>46041</v>
      </c>
      <c r="I503" s="4">
        <v>783.12</v>
      </c>
      <c r="J503" s="2" t="s">
        <v>4826</v>
      </c>
      <c r="K503" s="3">
        <v>46054</v>
      </c>
      <c r="L503" s="2">
        <f>IF(G503&lt;=0,0,MAX(0,Assumptions!$B$3-K503))</f>
        <v>0</v>
      </c>
      <c r="M503" s="2" t="str">
        <f t="shared" si="15"/>
        <v>Current</v>
      </c>
      <c r="N503" s="4">
        <v>0</v>
      </c>
      <c r="O503" s="2" t="s">
        <v>78</v>
      </c>
      <c r="P503" s="2" t="s">
        <v>36</v>
      </c>
    </row>
    <row r="504" spans="1:16" x14ac:dyDescent="0.2">
      <c r="A504" s="2" t="s">
        <v>2983</v>
      </c>
      <c r="B504" s="2" t="s">
        <v>1572</v>
      </c>
      <c r="C504" s="4">
        <v>952.3</v>
      </c>
      <c r="D504" s="4">
        <f t="shared" si="14"/>
        <v>11427.599999999999</v>
      </c>
      <c r="E504" s="2" t="s">
        <v>36</v>
      </c>
      <c r="F504" s="4">
        <v>1369.15</v>
      </c>
      <c r="G504" s="4">
        <v>0</v>
      </c>
      <c r="H504" s="3">
        <v>46058</v>
      </c>
      <c r="I504" s="4">
        <v>796.83</v>
      </c>
      <c r="J504" s="2" t="s">
        <v>4827</v>
      </c>
      <c r="K504" s="3">
        <v>46054</v>
      </c>
      <c r="L504" s="2">
        <f>IF(G504&lt;=0,0,MAX(0,Assumptions!$B$3-K504))</f>
        <v>0</v>
      </c>
      <c r="M504" s="2" t="str">
        <f t="shared" si="15"/>
        <v>Current</v>
      </c>
      <c r="N504" s="4">
        <v>0</v>
      </c>
      <c r="O504" s="2" t="s">
        <v>78</v>
      </c>
      <c r="P504" s="2" t="s">
        <v>78</v>
      </c>
    </row>
    <row r="505" spans="1:16" x14ac:dyDescent="0.2">
      <c r="A505" s="2" t="s">
        <v>2989</v>
      </c>
      <c r="B505" s="2" t="s">
        <v>2399</v>
      </c>
      <c r="C505" s="4">
        <v>952.3</v>
      </c>
      <c r="D505" s="4">
        <f t="shared" si="14"/>
        <v>11427.599999999999</v>
      </c>
      <c r="E505" s="2" t="s">
        <v>78</v>
      </c>
      <c r="F505" s="4">
        <v>0</v>
      </c>
      <c r="G505" s="4">
        <v>0</v>
      </c>
      <c r="H505" s="3">
        <v>46042</v>
      </c>
      <c r="I505" s="4">
        <v>914.42</v>
      </c>
      <c r="J505" s="2" t="s">
        <v>4825</v>
      </c>
      <c r="K505" s="3">
        <v>46054</v>
      </c>
      <c r="L505" s="2">
        <f>IF(G505&lt;=0,0,MAX(0,Assumptions!$B$3-K505))</f>
        <v>0</v>
      </c>
      <c r="M505" s="2" t="str">
        <f t="shared" si="15"/>
        <v>Current</v>
      </c>
      <c r="N505" s="4">
        <v>0</v>
      </c>
      <c r="O505" s="2" t="s">
        <v>78</v>
      </c>
      <c r="P505" s="2" t="s">
        <v>36</v>
      </c>
    </row>
    <row r="506" spans="1:16" x14ac:dyDescent="0.2">
      <c r="A506" s="2" t="s">
        <v>2996</v>
      </c>
      <c r="B506" s="2" t="s">
        <v>1650</v>
      </c>
      <c r="C506" s="4">
        <v>952.3</v>
      </c>
      <c r="D506" s="4">
        <f t="shared" si="14"/>
        <v>11427.599999999999</v>
      </c>
      <c r="E506" s="2" t="s">
        <v>78</v>
      </c>
      <c r="F506" s="4">
        <v>0</v>
      </c>
      <c r="G506" s="4">
        <v>0</v>
      </c>
      <c r="H506" s="3">
        <v>46038</v>
      </c>
      <c r="I506" s="4">
        <v>1075.28</v>
      </c>
      <c r="J506" s="2" t="s">
        <v>4826</v>
      </c>
      <c r="K506" s="3">
        <v>46054</v>
      </c>
      <c r="L506" s="2">
        <f>IF(G506&lt;=0,0,MAX(0,Assumptions!$B$3-K506))</f>
        <v>0</v>
      </c>
      <c r="M506" s="2" t="str">
        <f t="shared" si="15"/>
        <v>Current</v>
      </c>
      <c r="N506" s="4">
        <v>0</v>
      </c>
      <c r="O506" s="2" t="s">
        <v>78</v>
      </c>
      <c r="P506" s="2" t="s">
        <v>78</v>
      </c>
    </row>
    <row r="507" spans="1:16" x14ac:dyDescent="0.2">
      <c r="A507" s="2" t="s">
        <v>3002</v>
      </c>
      <c r="B507" s="2" t="s">
        <v>923</v>
      </c>
      <c r="C507" s="4">
        <v>1123.5</v>
      </c>
      <c r="D507" s="4">
        <f t="shared" si="14"/>
        <v>13482</v>
      </c>
      <c r="E507" s="2" t="s">
        <v>78</v>
      </c>
      <c r="F507" s="4">
        <v>0</v>
      </c>
      <c r="G507" s="4">
        <v>0</v>
      </c>
      <c r="H507" s="3">
        <v>46059</v>
      </c>
      <c r="I507" s="4">
        <v>1006.33</v>
      </c>
      <c r="J507" s="2" t="s">
        <v>4824</v>
      </c>
      <c r="K507" s="3">
        <v>46054</v>
      </c>
      <c r="L507" s="2">
        <f>IF(G507&lt;=0,0,MAX(0,Assumptions!$B$3-K507))</f>
        <v>0</v>
      </c>
      <c r="M507" s="2" t="str">
        <f t="shared" si="15"/>
        <v>Current</v>
      </c>
      <c r="N507" s="4">
        <v>0</v>
      </c>
      <c r="O507" s="2" t="s">
        <v>78</v>
      </c>
      <c r="P507" s="2" t="s">
        <v>36</v>
      </c>
    </row>
    <row r="508" spans="1:16" x14ac:dyDescent="0.2">
      <c r="A508" s="2" t="s">
        <v>3008</v>
      </c>
      <c r="B508" s="2" t="s">
        <v>919</v>
      </c>
      <c r="C508" s="4">
        <v>1123.5</v>
      </c>
      <c r="D508" s="4">
        <f t="shared" si="14"/>
        <v>13482</v>
      </c>
      <c r="E508" s="2" t="s">
        <v>78</v>
      </c>
      <c r="F508" s="4">
        <v>0</v>
      </c>
      <c r="G508" s="4">
        <v>1197.78</v>
      </c>
      <c r="H508" s="3">
        <v>46011</v>
      </c>
      <c r="I508" s="4">
        <v>1325.71</v>
      </c>
      <c r="J508" s="2" t="s">
        <v>4824</v>
      </c>
      <c r="K508" s="3">
        <v>46024</v>
      </c>
      <c r="L508" s="2">
        <f>IF(G508&lt;=0,0,MAX(0,Assumptions!$B$3-K508))</f>
        <v>0</v>
      </c>
      <c r="M508" s="2" t="str">
        <f t="shared" si="15"/>
        <v>30 days</v>
      </c>
      <c r="N508" s="4">
        <v>0</v>
      </c>
      <c r="O508" s="2" t="s">
        <v>78</v>
      </c>
      <c r="P508" s="2" t="s">
        <v>78</v>
      </c>
    </row>
    <row r="509" spans="1:16" x14ac:dyDescent="0.2">
      <c r="A509" s="2" t="s">
        <v>3014</v>
      </c>
      <c r="B509" s="2" t="s">
        <v>3015</v>
      </c>
      <c r="C509" s="4">
        <v>1123.5</v>
      </c>
      <c r="D509" s="4">
        <f t="shared" si="14"/>
        <v>13482</v>
      </c>
      <c r="E509" s="2" t="s">
        <v>78</v>
      </c>
      <c r="F509" s="4">
        <v>0</v>
      </c>
      <c r="G509" s="4">
        <v>0</v>
      </c>
      <c r="H509" s="3">
        <v>46072</v>
      </c>
      <c r="I509" s="4">
        <v>1128.0999999999999</v>
      </c>
      <c r="J509" s="2" t="s">
        <v>4827</v>
      </c>
      <c r="K509" s="3">
        <v>46054</v>
      </c>
      <c r="L509" s="2">
        <f>IF(G509&lt;=0,0,MAX(0,Assumptions!$B$3-K509))</f>
        <v>0</v>
      </c>
      <c r="M509" s="2" t="str">
        <f t="shared" si="15"/>
        <v>Current</v>
      </c>
      <c r="N509" s="4">
        <v>0</v>
      </c>
      <c r="O509" s="2" t="s">
        <v>78</v>
      </c>
      <c r="P509" s="2" t="s">
        <v>36</v>
      </c>
    </row>
    <row r="510" spans="1:16" x14ac:dyDescent="0.2">
      <c r="A510" s="2" t="s">
        <v>3021</v>
      </c>
      <c r="B510" s="2" t="s">
        <v>3022</v>
      </c>
      <c r="C510" s="4">
        <v>1123.5</v>
      </c>
      <c r="D510" s="4">
        <f t="shared" si="14"/>
        <v>13482</v>
      </c>
      <c r="E510" s="2" t="s">
        <v>78</v>
      </c>
      <c r="F510" s="4">
        <v>0</v>
      </c>
      <c r="G510" s="4">
        <v>15</v>
      </c>
      <c r="H510" s="3">
        <v>46069</v>
      </c>
      <c r="I510" s="4">
        <v>916.83</v>
      </c>
      <c r="J510" s="2" t="s">
        <v>4824</v>
      </c>
      <c r="K510" s="3">
        <v>46054</v>
      </c>
      <c r="L510" s="2">
        <f>IF(G510&lt;=0,0,MAX(0,Assumptions!$B$3-K510))</f>
        <v>0</v>
      </c>
      <c r="M510" s="2" t="str">
        <f t="shared" si="15"/>
        <v>30 days</v>
      </c>
      <c r="N510" s="4">
        <v>0</v>
      </c>
      <c r="O510" s="2" t="s">
        <v>78</v>
      </c>
      <c r="P510" s="2" t="s">
        <v>78</v>
      </c>
    </row>
    <row r="511" spans="1:16" x14ac:dyDescent="0.2">
      <c r="A511" s="2" t="s">
        <v>3028</v>
      </c>
      <c r="B511" s="2" t="s">
        <v>3029</v>
      </c>
      <c r="C511" s="4">
        <v>1551.5</v>
      </c>
      <c r="D511" s="4">
        <f t="shared" si="14"/>
        <v>18618</v>
      </c>
      <c r="E511" s="2" t="s">
        <v>78</v>
      </c>
      <c r="F511" s="4">
        <v>0</v>
      </c>
      <c r="G511" s="4">
        <v>1707.36</v>
      </c>
      <c r="H511" s="3">
        <v>45993</v>
      </c>
      <c r="I511" s="4">
        <v>1557.18</v>
      </c>
      <c r="J511" s="2" t="s">
        <v>4823</v>
      </c>
      <c r="K511" s="3">
        <v>46024</v>
      </c>
      <c r="L511" s="2">
        <f>IF(G511&lt;=0,0,MAX(0,Assumptions!$B$3-K511))</f>
        <v>0</v>
      </c>
      <c r="M511" s="2" t="str">
        <f t="shared" si="15"/>
        <v>30 days</v>
      </c>
      <c r="N511" s="4">
        <v>0</v>
      </c>
      <c r="O511" s="2" t="s">
        <v>78</v>
      </c>
      <c r="P511" s="2" t="s">
        <v>78</v>
      </c>
    </row>
    <row r="512" spans="1:16" x14ac:dyDescent="0.2">
      <c r="A512" s="2" t="s">
        <v>3034</v>
      </c>
      <c r="B512" s="2" t="s">
        <v>2821</v>
      </c>
      <c r="C512" s="4">
        <v>778.29</v>
      </c>
      <c r="D512" s="4">
        <f t="shared" si="14"/>
        <v>9339.48</v>
      </c>
      <c r="E512" s="2" t="s">
        <v>78</v>
      </c>
      <c r="F512" s="4">
        <v>0</v>
      </c>
      <c r="G512" s="4">
        <v>0</v>
      </c>
      <c r="H512" s="3">
        <v>46056</v>
      </c>
      <c r="I512" s="4">
        <v>795.81</v>
      </c>
      <c r="J512" s="2" t="s">
        <v>4824</v>
      </c>
      <c r="K512" s="3">
        <v>46054</v>
      </c>
      <c r="L512" s="2">
        <f>IF(G512&lt;=0,0,MAX(0,Assumptions!$B$3-K512))</f>
        <v>0</v>
      </c>
      <c r="M512" s="2" t="str">
        <f t="shared" si="15"/>
        <v>Current</v>
      </c>
      <c r="N512" s="4">
        <v>0</v>
      </c>
      <c r="O512" s="2" t="s">
        <v>78</v>
      </c>
      <c r="P512" s="2" t="s">
        <v>78</v>
      </c>
    </row>
    <row r="513" spans="1:16" x14ac:dyDescent="0.2">
      <c r="A513" s="2" t="s">
        <v>3039</v>
      </c>
      <c r="B513" s="2" t="s">
        <v>3040</v>
      </c>
      <c r="C513" s="4">
        <v>778.29</v>
      </c>
      <c r="D513" s="4">
        <f t="shared" si="14"/>
        <v>9339.48</v>
      </c>
      <c r="E513" s="2" t="s">
        <v>78</v>
      </c>
      <c r="F513" s="4">
        <v>0</v>
      </c>
      <c r="G513" s="4">
        <v>0</v>
      </c>
      <c r="H513" s="3">
        <v>46052</v>
      </c>
      <c r="I513" s="4">
        <v>683.58</v>
      </c>
      <c r="J513" s="2" t="s">
        <v>4827</v>
      </c>
      <c r="K513" s="3">
        <v>46054</v>
      </c>
      <c r="L513" s="2">
        <f>IF(G513&lt;=0,0,MAX(0,Assumptions!$B$3-K513))</f>
        <v>0</v>
      </c>
      <c r="M513" s="2" t="str">
        <f t="shared" si="15"/>
        <v>Current</v>
      </c>
      <c r="N513" s="4">
        <v>0</v>
      </c>
      <c r="O513" s="2" t="s">
        <v>78</v>
      </c>
      <c r="P513" s="2" t="s">
        <v>78</v>
      </c>
    </row>
    <row r="514" spans="1:16" x14ac:dyDescent="0.2">
      <c r="A514" s="2" t="s">
        <v>3045</v>
      </c>
      <c r="B514" s="2" t="s">
        <v>2856</v>
      </c>
      <c r="C514" s="4">
        <v>778.29</v>
      </c>
      <c r="D514" s="4">
        <f t="shared" ref="D514:D577" si="16">C514*12</f>
        <v>9339.48</v>
      </c>
      <c r="E514" s="2" t="s">
        <v>78</v>
      </c>
      <c r="F514" s="4">
        <v>0</v>
      </c>
      <c r="G514" s="4">
        <v>0</v>
      </c>
      <c r="H514" s="3">
        <v>46035</v>
      </c>
      <c r="I514" s="4">
        <v>923.9</v>
      </c>
      <c r="J514" s="2" t="s">
        <v>4824</v>
      </c>
      <c r="K514" s="3">
        <v>46054</v>
      </c>
      <c r="L514" s="2">
        <f>IF(G514&lt;=0,0,MAX(0,Assumptions!$B$3-K514))</f>
        <v>0</v>
      </c>
      <c r="M514" s="2" t="str">
        <f t="shared" ref="M514:M577" si="17">IF(G514&lt;=0,"Current",IF(L514&lt;=30,"30 days",IF(L514&lt;=60,"60 days",IF(L514&lt;=90,"90 days","90+ days"))))</f>
        <v>Current</v>
      </c>
      <c r="N514" s="4">
        <v>0</v>
      </c>
      <c r="O514" s="2" t="s">
        <v>78</v>
      </c>
      <c r="P514" s="2" t="s">
        <v>78</v>
      </c>
    </row>
    <row r="515" spans="1:16" x14ac:dyDescent="0.2">
      <c r="A515" s="2" t="s">
        <v>3050</v>
      </c>
      <c r="B515" s="2" t="s">
        <v>3051</v>
      </c>
      <c r="C515" s="4">
        <v>778.29</v>
      </c>
      <c r="D515" s="4">
        <f t="shared" si="16"/>
        <v>9339.48</v>
      </c>
      <c r="E515" s="2" t="s">
        <v>36</v>
      </c>
      <c r="F515" s="4">
        <v>3793.34</v>
      </c>
      <c r="G515" s="4">
        <v>0</v>
      </c>
      <c r="H515" s="3">
        <v>46060</v>
      </c>
      <c r="I515" s="4">
        <v>684.94</v>
      </c>
      <c r="J515" s="2" t="s">
        <v>4824</v>
      </c>
      <c r="K515" s="3">
        <v>46054</v>
      </c>
      <c r="L515" s="2">
        <f>IF(G515&lt;=0,0,MAX(0,Assumptions!$B$3-K515))</f>
        <v>0</v>
      </c>
      <c r="M515" s="2" t="str">
        <f t="shared" si="17"/>
        <v>Current</v>
      </c>
      <c r="N515" s="4">
        <v>0</v>
      </c>
      <c r="O515" s="2" t="s">
        <v>78</v>
      </c>
      <c r="P515" s="2" t="s">
        <v>36</v>
      </c>
    </row>
    <row r="516" spans="1:16" x14ac:dyDescent="0.2">
      <c r="A516" s="2" t="s">
        <v>3058</v>
      </c>
      <c r="B516" s="2" t="s">
        <v>3059</v>
      </c>
      <c r="C516" s="4">
        <v>778.29</v>
      </c>
      <c r="D516" s="4">
        <f t="shared" si="16"/>
        <v>9339.48</v>
      </c>
      <c r="E516" s="2" t="s">
        <v>78</v>
      </c>
      <c r="F516" s="4">
        <v>0</v>
      </c>
      <c r="G516" s="4">
        <v>25</v>
      </c>
      <c r="H516" s="3">
        <v>46036</v>
      </c>
      <c r="I516" s="4">
        <v>877.24</v>
      </c>
      <c r="J516" s="2" t="s">
        <v>4827</v>
      </c>
      <c r="K516" s="3">
        <v>46054</v>
      </c>
      <c r="L516" s="2">
        <f>IF(G516&lt;=0,0,MAX(0,Assumptions!$B$3-K516))</f>
        <v>0</v>
      </c>
      <c r="M516" s="2" t="str">
        <f t="shared" si="17"/>
        <v>30 days</v>
      </c>
      <c r="N516" s="4">
        <v>0</v>
      </c>
      <c r="O516" s="2" t="s">
        <v>78</v>
      </c>
      <c r="P516" s="2" t="s">
        <v>36</v>
      </c>
    </row>
    <row r="517" spans="1:16" x14ac:dyDescent="0.2">
      <c r="A517" s="2" t="s">
        <v>3063</v>
      </c>
      <c r="B517" s="2" t="s">
        <v>2371</v>
      </c>
      <c r="C517" s="4">
        <v>778.29</v>
      </c>
      <c r="D517" s="4">
        <f t="shared" si="16"/>
        <v>9339.48</v>
      </c>
      <c r="E517" s="2" t="s">
        <v>78</v>
      </c>
      <c r="F517" s="4">
        <v>0</v>
      </c>
      <c r="G517" s="4">
        <v>0</v>
      </c>
      <c r="H517" s="3">
        <v>46060</v>
      </c>
      <c r="I517" s="4">
        <v>781.75</v>
      </c>
      <c r="J517" s="2" t="s">
        <v>4827</v>
      </c>
      <c r="K517" s="3">
        <v>46054</v>
      </c>
      <c r="L517" s="2">
        <f>IF(G517&lt;=0,0,MAX(0,Assumptions!$B$3-K517))</f>
        <v>0</v>
      </c>
      <c r="M517" s="2" t="str">
        <f t="shared" si="17"/>
        <v>Current</v>
      </c>
      <c r="N517" s="4">
        <v>0</v>
      </c>
      <c r="O517" s="2" t="s">
        <v>78</v>
      </c>
      <c r="P517" s="2" t="s">
        <v>78</v>
      </c>
    </row>
    <row r="518" spans="1:16" x14ac:dyDescent="0.2">
      <c r="A518" s="2" t="s">
        <v>3068</v>
      </c>
      <c r="B518" s="2" t="s">
        <v>3069</v>
      </c>
      <c r="C518" s="4">
        <v>955.41</v>
      </c>
      <c r="D518" s="4">
        <f t="shared" si="16"/>
        <v>11464.92</v>
      </c>
      <c r="E518" s="2" t="s">
        <v>78</v>
      </c>
      <c r="F518" s="4">
        <v>0</v>
      </c>
      <c r="G518" s="4">
        <v>3934.07</v>
      </c>
      <c r="H518" s="3">
        <v>45999</v>
      </c>
      <c r="I518" s="4">
        <v>939.31</v>
      </c>
      <c r="J518" s="2" t="s">
        <v>4824</v>
      </c>
      <c r="K518" s="3">
        <v>45934</v>
      </c>
      <c r="L518" s="2">
        <f>IF(G518&lt;=0,0,MAX(0,Assumptions!$B$3-K518))</f>
        <v>0</v>
      </c>
      <c r="M518" s="2" t="str">
        <f t="shared" si="17"/>
        <v>30 days</v>
      </c>
      <c r="N518" s="4">
        <v>75</v>
      </c>
      <c r="O518" s="2" t="s">
        <v>78</v>
      </c>
      <c r="P518" s="2" t="s">
        <v>78</v>
      </c>
    </row>
    <row r="519" spans="1:16" x14ac:dyDescent="0.2">
      <c r="A519" s="2" t="s">
        <v>3075</v>
      </c>
      <c r="B519" s="2" t="s">
        <v>3076</v>
      </c>
      <c r="C519" s="4">
        <v>955.41</v>
      </c>
      <c r="D519" s="4">
        <f t="shared" si="16"/>
        <v>11464.92</v>
      </c>
      <c r="E519" s="2" t="s">
        <v>78</v>
      </c>
      <c r="F519" s="4">
        <v>0</v>
      </c>
      <c r="G519" s="4">
        <v>0</v>
      </c>
      <c r="H519" s="3">
        <v>46031</v>
      </c>
      <c r="I519" s="4">
        <v>1091.98</v>
      </c>
      <c r="J519" s="2" t="s">
        <v>4826</v>
      </c>
      <c r="K519" s="3">
        <v>46054</v>
      </c>
      <c r="L519" s="2">
        <f>IF(G519&lt;=0,0,MAX(0,Assumptions!$B$3-K519))</f>
        <v>0</v>
      </c>
      <c r="M519" s="2" t="str">
        <f t="shared" si="17"/>
        <v>Current</v>
      </c>
      <c r="N519" s="4">
        <v>0</v>
      </c>
      <c r="O519" s="2" t="s">
        <v>78</v>
      </c>
      <c r="P519" s="2" t="s">
        <v>78</v>
      </c>
    </row>
    <row r="520" spans="1:16" x14ac:dyDescent="0.2">
      <c r="A520" s="2" t="s">
        <v>3080</v>
      </c>
      <c r="B520" s="2" t="s">
        <v>443</v>
      </c>
      <c r="C520" s="4">
        <v>955.41</v>
      </c>
      <c r="D520" s="4">
        <f t="shared" si="16"/>
        <v>11464.92</v>
      </c>
      <c r="E520" s="2" t="s">
        <v>36</v>
      </c>
      <c r="F520" s="4">
        <v>925.24</v>
      </c>
      <c r="G520" s="4">
        <v>1193.44</v>
      </c>
      <c r="H520" s="3">
        <v>45921</v>
      </c>
      <c r="I520" s="4">
        <v>100.01</v>
      </c>
      <c r="J520" s="2" t="s">
        <v>4823</v>
      </c>
      <c r="K520" s="3">
        <v>46024</v>
      </c>
      <c r="L520" s="2">
        <f>IF(G520&lt;=0,0,MAX(0,Assumptions!$B$3-K520))</f>
        <v>0</v>
      </c>
      <c r="M520" s="2" t="str">
        <f t="shared" si="17"/>
        <v>30 days</v>
      </c>
      <c r="N520" s="4">
        <v>100</v>
      </c>
      <c r="O520" s="2" t="s">
        <v>36</v>
      </c>
      <c r="P520" s="2" t="s">
        <v>78</v>
      </c>
    </row>
    <row r="521" spans="1:16" x14ac:dyDescent="0.2">
      <c r="A521" s="2" t="s">
        <v>3085</v>
      </c>
      <c r="B521" s="2" t="s">
        <v>3086</v>
      </c>
      <c r="C521" s="4">
        <v>955.41</v>
      </c>
      <c r="D521" s="4">
        <f t="shared" si="16"/>
        <v>11464.92</v>
      </c>
      <c r="E521" s="2" t="s">
        <v>36</v>
      </c>
      <c r="F521" s="4">
        <v>3628.42</v>
      </c>
      <c r="G521" s="4">
        <v>25</v>
      </c>
      <c r="H521" s="3">
        <v>46046</v>
      </c>
      <c r="I521" s="4">
        <v>1047.8399999999999</v>
      </c>
      <c r="J521" s="2" t="s">
        <v>4827</v>
      </c>
      <c r="K521" s="3">
        <v>46054</v>
      </c>
      <c r="L521" s="2">
        <f>IF(G521&lt;=0,0,MAX(0,Assumptions!$B$3-K521))</f>
        <v>0</v>
      </c>
      <c r="M521" s="2" t="str">
        <f t="shared" si="17"/>
        <v>30 days</v>
      </c>
      <c r="N521" s="4">
        <v>0</v>
      </c>
      <c r="O521" s="2" t="s">
        <v>78</v>
      </c>
      <c r="P521" s="2" t="s">
        <v>78</v>
      </c>
    </row>
    <row r="522" spans="1:16" x14ac:dyDescent="0.2">
      <c r="A522" s="2" t="s">
        <v>3092</v>
      </c>
      <c r="B522" s="2" t="s">
        <v>3093</v>
      </c>
      <c r="C522" s="4">
        <v>955.41</v>
      </c>
      <c r="D522" s="4">
        <f t="shared" si="16"/>
        <v>11464.92</v>
      </c>
      <c r="E522" s="2" t="s">
        <v>78</v>
      </c>
      <c r="F522" s="4">
        <v>0</v>
      </c>
      <c r="G522" s="4">
        <v>1048.3699999999999</v>
      </c>
      <c r="H522" s="3">
        <v>46007</v>
      </c>
      <c r="I522" s="4">
        <v>938.95</v>
      </c>
      <c r="J522" s="2" t="s">
        <v>4825</v>
      </c>
      <c r="K522" s="3">
        <v>46024</v>
      </c>
      <c r="L522" s="2">
        <f>IF(G522&lt;=0,0,MAX(0,Assumptions!$B$3-K522))</f>
        <v>0</v>
      </c>
      <c r="M522" s="2" t="str">
        <f t="shared" si="17"/>
        <v>30 days</v>
      </c>
      <c r="N522" s="4">
        <v>25</v>
      </c>
      <c r="O522" s="2" t="s">
        <v>36</v>
      </c>
      <c r="P522" s="2" t="s">
        <v>78</v>
      </c>
    </row>
    <row r="523" spans="1:16" x14ac:dyDescent="0.2">
      <c r="A523" s="2" t="s">
        <v>3098</v>
      </c>
      <c r="B523" s="2" t="s">
        <v>2954</v>
      </c>
      <c r="C523" s="4">
        <v>955.41</v>
      </c>
      <c r="D523" s="4">
        <f t="shared" si="16"/>
        <v>11464.92</v>
      </c>
      <c r="E523" s="2" t="s">
        <v>78</v>
      </c>
      <c r="F523" s="4">
        <v>0</v>
      </c>
      <c r="G523" s="4">
        <v>0</v>
      </c>
      <c r="H523" s="3">
        <v>46043</v>
      </c>
      <c r="I523" s="4">
        <v>831.05</v>
      </c>
      <c r="J523" s="2" t="s">
        <v>4825</v>
      </c>
      <c r="K523" s="3">
        <v>46054</v>
      </c>
      <c r="L523" s="2">
        <f>IF(G523&lt;=0,0,MAX(0,Assumptions!$B$3-K523))</f>
        <v>0</v>
      </c>
      <c r="M523" s="2" t="str">
        <f t="shared" si="17"/>
        <v>Current</v>
      </c>
      <c r="N523" s="4">
        <v>0</v>
      </c>
      <c r="O523" s="2" t="s">
        <v>78</v>
      </c>
      <c r="P523" s="2" t="s">
        <v>78</v>
      </c>
    </row>
    <row r="524" spans="1:16" x14ac:dyDescent="0.2">
      <c r="A524" s="2" t="s">
        <v>3102</v>
      </c>
      <c r="B524" s="2" t="s">
        <v>3103</v>
      </c>
      <c r="C524" s="4">
        <v>1127.17</v>
      </c>
      <c r="D524" s="4">
        <f t="shared" si="16"/>
        <v>13526.04</v>
      </c>
      <c r="E524" s="2" t="s">
        <v>78</v>
      </c>
      <c r="F524" s="4">
        <v>0</v>
      </c>
      <c r="G524" s="4">
        <v>3467.97</v>
      </c>
      <c r="H524" s="3">
        <v>46038</v>
      </c>
      <c r="I524" s="4">
        <v>1218.6400000000001</v>
      </c>
      <c r="J524" s="2" t="s">
        <v>4825</v>
      </c>
      <c r="K524" s="3">
        <v>45964</v>
      </c>
      <c r="L524" s="2">
        <f>IF(G524&lt;=0,0,MAX(0,Assumptions!$B$3-K524))</f>
        <v>0</v>
      </c>
      <c r="M524" s="2" t="str">
        <f t="shared" si="17"/>
        <v>30 days</v>
      </c>
      <c r="N524" s="4">
        <v>100</v>
      </c>
      <c r="O524" s="2" t="s">
        <v>78</v>
      </c>
      <c r="P524" s="2" t="s">
        <v>78</v>
      </c>
    </row>
    <row r="525" spans="1:16" x14ac:dyDescent="0.2">
      <c r="A525" s="2" t="s">
        <v>3108</v>
      </c>
      <c r="B525" s="2" t="s">
        <v>3109</v>
      </c>
      <c r="C525" s="4">
        <v>1127.17</v>
      </c>
      <c r="D525" s="4">
        <f t="shared" si="16"/>
        <v>13526.04</v>
      </c>
      <c r="E525" s="2" t="s">
        <v>36</v>
      </c>
      <c r="F525" s="4">
        <v>6263.16</v>
      </c>
      <c r="G525" s="4">
        <v>0</v>
      </c>
      <c r="H525" s="3">
        <v>46071</v>
      </c>
      <c r="I525" s="4">
        <v>1126.01</v>
      </c>
      <c r="J525" s="2" t="s">
        <v>4823</v>
      </c>
      <c r="K525" s="3">
        <v>46054</v>
      </c>
      <c r="L525" s="2">
        <f>IF(G525&lt;=0,0,MAX(0,Assumptions!$B$3-K525))</f>
        <v>0</v>
      </c>
      <c r="M525" s="2" t="str">
        <f t="shared" si="17"/>
        <v>Current</v>
      </c>
      <c r="N525" s="4">
        <v>0</v>
      </c>
      <c r="O525" s="2" t="s">
        <v>78</v>
      </c>
      <c r="P525" s="2" t="s">
        <v>36</v>
      </c>
    </row>
    <row r="526" spans="1:16" x14ac:dyDescent="0.2">
      <c r="A526" s="2" t="s">
        <v>3115</v>
      </c>
      <c r="B526" s="2" t="s">
        <v>791</v>
      </c>
      <c r="C526" s="4">
        <v>1127.17</v>
      </c>
      <c r="D526" s="4">
        <f t="shared" si="16"/>
        <v>13526.04</v>
      </c>
      <c r="E526" s="2" t="s">
        <v>78</v>
      </c>
      <c r="F526" s="4">
        <v>0</v>
      </c>
      <c r="G526" s="4">
        <v>0</v>
      </c>
      <c r="H526" s="3">
        <v>46031</v>
      </c>
      <c r="I526" s="4">
        <v>930.15</v>
      </c>
      <c r="J526" s="2" t="s">
        <v>4827</v>
      </c>
      <c r="K526" s="3">
        <v>46054</v>
      </c>
      <c r="L526" s="2">
        <f>IF(G526&lt;=0,0,MAX(0,Assumptions!$B$3-K526))</f>
        <v>0</v>
      </c>
      <c r="M526" s="2" t="str">
        <f t="shared" si="17"/>
        <v>Current</v>
      </c>
      <c r="N526" s="4">
        <v>0</v>
      </c>
      <c r="O526" s="2" t="s">
        <v>78</v>
      </c>
      <c r="P526" s="2" t="s">
        <v>78</v>
      </c>
    </row>
    <row r="527" spans="1:16" x14ac:dyDescent="0.2">
      <c r="A527" s="2" t="s">
        <v>3120</v>
      </c>
      <c r="B527" s="2" t="s">
        <v>3121</v>
      </c>
      <c r="C527" s="4">
        <v>1127.17</v>
      </c>
      <c r="D527" s="4">
        <f t="shared" si="16"/>
        <v>13526.04</v>
      </c>
      <c r="E527" s="2" t="s">
        <v>78</v>
      </c>
      <c r="F527" s="4">
        <v>0</v>
      </c>
      <c r="G527" s="4">
        <v>0</v>
      </c>
      <c r="H527" s="3">
        <v>46072</v>
      </c>
      <c r="I527" s="4">
        <v>1204.3800000000001</v>
      </c>
      <c r="J527" s="2" t="s">
        <v>4826</v>
      </c>
      <c r="K527" s="3">
        <v>46054</v>
      </c>
      <c r="L527" s="2">
        <f>IF(G527&lt;=0,0,MAX(0,Assumptions!$B$3-K527))</f>
        <v>0</v>
      </c>
      <c r="M527" s="2" t="str">
        <f t="shared" si="17"/>
        <v>Current</v>
      </c>
      <c r="N527" s="4">
        <v>0</v>
      </c>
      <c r="O527" s="2" t="s">
        <v>78</v>
      </c>
      <c r="P527" s="2" t="s">
        <v>78</v>
      </c>
    </row>
    <row r="528" spans="1:16" x14ac:dyDescent="0.2">
      <c r="A528" s="2" t="s">
        <v>3125</v>
      </c>
      <c r="B528" s="2" t="s">
        <v>3069</v>
      </c>
      <c r="C528" s="4">
        <v>1556.57</v>
      </c>
      <c r="D528" s="4">
        <f t="shared" si="16"/>
        <v>18678.84</v>
      </c>
      <c r="E528" s="2" t="s">
        <v>36</v>
      </c>
      <c r="F528" s="4">
        <v>6026.55</v>
      </c>
      <c r="G528" s="4">
        <v>0</v>
      </c>
      <c r="H528" s="3">
        <v>46038</v>
      </c>
      <c r="I528" s="4">
        <v>1838.09</v>
      </c>
      <c r="J528" s="2" t="s">
        <v>4823</v>
      </c>
      <c r="K528" s="3">
        <v>46054</v>
      </c>
      <c r="L528" s="2">
        <f>IF(G528&lt;=0,0,MAX(0,Assumptions!$B$3-K528))</f>
        <v>0</v>
      </c>
      <c r="M528" s="2" t="str">
        <f t="shared" si="17"/>
        <v>Current</v>
      </c>
      <c r="N528" s="4">
        <v>0</v>
      </c>
      <c r="O528" s="2" t="s">
        <v>78</v>
      </c>
      <c r="P528" s="2" t="s">
        <v>36</v>
      </c>
    </row>
    <row r="529" spans="1:16" x14ac:dyDescent="0.2">
      <c r="A529" s="2" t="s">
        <v>3132</v>
      </c>
      <c r="B529" s="2" t="s">
        <v>3133</v>
      </c>
      <c r="C529" s="4">
        <v>780.82</v>
      </c>
      <c r="D529" s="4">
        <f t="shared" si="16"/>
        <v>9369.84</v>
      </c>
      <c r="E529" s="2" t="s">
        <v>78</v>
      </c>
      <c r="F529" s="4">
        <v>0</v>
      </c>
      <c r="G529" s="4">
        <v>0</v>
      </c>
      <c r="H529" s="3">
        <v>46050</v>
      </c>
      <c r="I529" s="4">
        <v>652.27</v>
      </c>
      <c r="J529" s="2" t="s">
        <v>4827</v>
      </c>
      <c r="K529" s="3">
        <v>46054</v>
      </c>
      <c r="L529" s="2">
        <f>IF(G529&lt;=0,0,MAX(0,Assumptions!$B$3-K529))</f>
        <v>0</v>
      </c>
      <c r="M529" s="2" t="str">
        <f t="shared" si="17"/>
        <v>Current</v>
      </c>
      <c r="N529" s="4">
        <v>0</v>
      </c>
      <c r="O529" s="2" t="s">
        <v>78</v>
      </c>
      <c r="P529" s="2" t="s">
        <v>78</v>
      </c>
    </row>
    <row r="530" spans="1:16" x14ac:dyDescent="0.2">
      <c r="A530" s="2" t="s">
        <v>3137</v>
      </c>
      <c r="B530" s="2" t="s">
        <v>236</v>
      </c>
      <c r="C530" s="4">
        <v>780.82</v>
      </c>
      <c r="D530" s="4">
        <f t="shared" si="16"/>
        <v>9369.84</v>
      </c>
      <c r="E530" s="2" t="s">
        <v>78</v>
      </c>
      <c r="F530" s="4">
        <v>0</v>
      </c>
      <c r="G530" s="4">
        <v>-50</v>
      </c>
      <c r="H530" s="3">
        <v>46038</v>
      </c>
      <c r="I530" s="4">
        <v>793.55</v>
      </c>
      <c r="J530" s="2" t="s">
        <v>4827</v>
      </c>
      <c r="K530" s="3">
        <v>46054</v>
      </c>
      <c r="L530" s="2">
        <f>IF(G530&lt;=0,0,MAX(0,Assumptions!$B$3-K530))</f>
        <v>0</v>
      </c>
      <c r="M530" s="2" t="str">
        <f t="shared" si="17"/>
        <v>Current</v>
      </c>
      <c r="N530" s="4">
        <v>0</v>
      </c>
      <c r="O530" s="2" t="s">
        <v>78</v>
      </c>
      <c r="P530" s="2" t="s">
        <v>78</v>
      </c>
    </row>
    <row r="531" spans="1:16" x14ac:dyDescent="0.2">
      <c r="A531" s="2" t="s">
        <v>3143</v>
      </c>
      <c r="B531" s="2" t="s">
        <v>2739</v>
      </c>
      <c r="C531" s="4">
        <v>780.82</v>
      </c>
      <c r="D531" s="4">
        <f t="shared" si="16"/>
        <v>9369.84</v>
      </c>
      <c r="E531" s="2" t="s">
        <v>78</v>
      </c>
      <c r="F531" s="4">
        <v>0</v>
      </c>
      <c r="G531" s="4">
        <v>0</v>
      </c>
      <c r="H531" s="3">
        <v>46050</v>
      </c>
      <c r="I531" s="4">
        <v>770.66</v>
      </c>
      <c r="J531" s="2" t="s">
        <v>4827</v>
      </c>
      <c r="K531" s="3">
        <v>46054</v>
      </c>
      <c r="L531" s="2">
        <f>IF(G531&lt;=0,0,MAX(0,Assumptions!$B$3-K531))</f>
        <v>0</v>
      </c>
      <c r="M531" s="2" t="str">
        <f t="shared" si="17"/>
        <v>Current</v>
      </c>
      <c r="N531" s="4">
        <v>0</v>
      </c>
      <c r="O531" s="2" t="s">
        <v>78</v>
      </c>
      <c r="P531" s="2" t="s">
        <v>36</v>
      </c>
    </row>
    <row r="532" spans="1:16" x14ac:dyDescent="0.2">
      <c r="A532" s="2" t="s">
        <v>3147</v>
      </c>
      <c r="B532" s="2" t="s">
        <v>3148</v>
      </c>
      <c r="C532" s="4">
        <v>780.82</v>
      </c>
      <c r="D532" s="4">
        <f t="shared" si="16"/>
        <v>9369.84</v>
      </c>
      <c r="E532" s="2" t="s">
        <v>78</v>
      </c>
      <c r="F532" s="4">
        <v>0</v>
      </c>
      <c r="G532" s="4">
        <v>0</v>
      </c>
      <c r="H532" s="3">
        <v>46030</v>
      </c>
      <c r="I532" s="4">
        <v>794.02</v>
      </c>
      <c r="J532" s="2" t="s">
        <v>4827</v>
      </c>
      <c r="K532" s="3">
        <v>46054</v>
      </c>
      <c r="L532" s="2">
        <f>IF(G532&lt;=0,0,MAX(0,Assumptions!$B$3-K532))</f>
        <v>0</v>
      </c>
      <c r="M532" s="2" t="str">
        <f t="shared" si="17"/>
        <v>Current</v>
      </c>
      <c r="N532" s="4">
        <v>0</v>
      </c>
      <c r="O532" s="2" t="s">
        <v>78</v>
      </c>
      <c r="P532" s="2" t="s">
        <v>36</v>
      </c>
    </row>
    <row r="533" spans="1:16" x14ac:dyDescent="0.2">
      <c r="A533" s="2" t="s">
        <v>3153</v>
      </c>
      <c r="B533" s="2" t="s">
        <v>3154</v>
      </c>
      <c r="C533" s="4">
        <v>780.82</v>
      </c>
      <c r="D533" s="4">
        <f t="shared" si="16"/>
        <v>9369.84</v>
      </c>
      <c r="E533" s="2" t="s">
        <v>78</v>
      </c>
      <c r="F533" s="4">
        <v>0</v>
      </c>
      <c r="G533" s="4">
        <v>0</v>
      </c>
      <c r="H533" s="3">
        <v>46052</v>
      </c>
      <c r="I533" s="4">
        <v>913.47</v>
      </c>
      <c r="J533" s="2" t="s">
        <v>4823</v>
      </c>
      <c r="K533" s="3">
        <v>46054</v>
      </c>
      <c r="L533" s="2">
        <f>IF(G533&lt;=0,0,MAX(0,Assumptions!$B$3-K533))</f>
        <v>0</v>
      </c>
      <c r="M533" s="2" t="str">
        <f t="shared" si="17"/>
        <v>Current</v>
      </c>
      <c r="N533" s="4">
        <v>0</v>
      </c>
      <c r="O533" s="2" t="s">
        <v>78</v>
      </c>
      <c r="P533" s="2" t="s">
        <v>36</v>
      </c>
    </row>
    <row r="534" spans="1:16" x14ac:dyDescent="0.2">
      <c r="A534" s="2" t="s">
        <v>3159</v>
      </c>
      <c r="B534" s="2" t="s">
        <v>3160</v>
      </c>
      <c r="C534" s="4">
        <v>780.82</v>
      </c>
      <c r="D534" s="4">
        <f t="shared" si="16"/>
        <v>9369.84</v>
      </c>
      <c r="E534" s="2" t="s">
        <v>78</v>
      </c>
      <c r="F534" s="4">
        <v>0</v>
      </c>
      <c r="G534" s="4">
        <v>0</v>
      </c>
      <c r="H534" s="3">
        <v>46052</v>
      </c>
      <c r="I534" s="4">
        <v>782.8</v>
      </c>
      <c r="J534" s="2" t="s">
        <v>4826</v>
      </c>
      <c r="K534" s="3">
        <v>46054</v>
      </c>
      <c r="L534" s="2">
        <f>IF(G534&lt;=0,0,MAX(0,Assumptions!$B$3-K534))</f>
        <v>0</v>
      </c>
      <c r="M534" s="2" t="str">
        <f t="shared" si="17"/>
        <v>Current</v>
      </c>
      <c r="N534" s="4">
        <v>0</v>
      </c>
      <c r="O534" s="2" t="s">
        <v>78</v>
      </c>
      <c r="P534" s="2" t="s">
        <v>78</v>
      </c>
    </row>
    <row r="535" spans="1:16" x14ac:dyDescent="0.2">
      <c r="A535" s="2" t="s">
        <v>3165</v>
      </c>
      <c r="B535" s="2" t="s">
        <v>3166</v>
      </c>
      <c r="C535" s="4">
        <v>958.53</v>
      </c>
      <c r="D535" s="4">
        <f t="shared" si="16"/>
        <v>11502.36</v>
      </c>
      <c r="E535" s="2" t="s">
        <v>78</v>
      </c>
      <c r="F535" s="4">
        <v>0</v>
      </c>
      <c r="G535" s="4">
        <v>0</v>
      </c>
      <c r="H535" s="3">
        <v>46037</v>
      </c>
      <c r="I535" s="4">
        <v>820.32</v>
      </c>
      <c r="J535" s="2" t="s">
        <v>4826</v>
      </c>
      <c r="K535" s="3">
        <v>46054</v>
      </c>
      <c r="L535" s="2">
        <f>IF(G535&lt;=0,0,MAX(0,Assumptions!$B$3-K535))</f>
        <v>0</v>
      </c>
      <c r="M535" s="2" t="str">
        <f t="shared" si="17"/>
        <v>Current</v>
      </c>
      <c r="N535" s="4">
        <v>0</v>
      </c>
      <c r="O535" s="2" t="s">
        <v>78</v>
      </c>
      <c r="P535" s="2" t="s">
        <v>78</v>
      </c>
    </row>
    <row r="536" spans="1:16" x14ac:dyDescent="0.2">
      <c r="A536" s="2" t="s">
        <v>3172</v>
      </c>
      <c r="B536" s="2" t="s">
        <v>2582</v>
      </c>
      <c r="C536" s="4">
        <v>958.53</v>
      </c>
      <c r="D536" s="4">
        <f t="shared" si="16"/>
        <v>11502.36</v>
      </c>
      <c r="E536" s="2" t="s">
        <v>78</v>
      </c>
      <c r="F536" s="4">
        <v>0</v>
      </c>
      <c r="G536" s="4">
        <v>0</v>
      </c>
      <c r="H536" s="3">
        <v>46041</v>
      </c>
      <c r="I536" s="4">
        <v>975.4</v>
      </c>
      <c r="J536" s="2" t="s">
        <v>4824</v>
      </c>
      <c r="K536" s="3">
        <v>46054</v>
      </c>
      <c r="L536" s="2">
        <f>IF(G536&lt;=0,0,MAX(0,Assumptions!$B$3-K536))</f>
        <v>0</v>
      </c>
      <c r="M536" s="2" t="str">
        <f t="shared" si="17"/>
        <v>Current</v>
      </c>
      <c r="N536" s="4">
        <v>0</v>
      </c>
      <c r="O536" s="2" t="s">
        <v>78</v>
      </c>
      <c r="P536" s="2" t="s">
        <v>36</v>
      </c>
    </row>
    <row r="537" spans="1:16" x14ac:dyDescent="0.2">
      <c r="A537" s="2" t="s">
        <v>3176</v>
      </c>
      <c r="B537" s="2" t="s">
        <v>2665</v>
      </c>
      <c r="C537" s="4">
        <v>958.53</v>
      </c>
      <c r="D537" s="4">
        <f t="shared" si="16"/>
        <v>11502.36</v>
      </c>
      <c r="E537" s="2" t="s">
        <v>78</v>
      </c>
      <c r="F537" s="4">
        <v>0</v>
      </c>
      <c r="G537" s="4">
        <v>0</v>
      </c>
      <c r="H537" s="3">
        <v>46059</v>
      </c>
      <c r="I537" s="4">
        <v>1029.08</v>
      </c>
      <c r="J537" s="2" t="s">
        <v>4827</v>
      </c>
      <c r="K537" s="3">
        <v>46054</v>
      </c>
      <c r="L537" s="2">
        <f>IF(G537&lt;=0,0,MAX(0,Assumptions!$B$3-K537))</f>
        <v>0</v>
      </c>
      <c r="M537" s="2" t="str">
        <f t="shared" si="17"/>
        <v>Current</v>
      </c>
      <c r="N537" s="4">
        <v>0</v>
      </c>
      <c r="O537" s="2" t="s">
        <v>78</v>
      </c>
      <c r="P537" s="2" t="s">
        <v>36</v>
      </c>
    </row>
    <row r="538" spans="1:16" x14ac:dyDescent="0.2">
      <c r="A538" s="2" t="s">
        <v>3181</v>
      </c>
      <c r="B538" s="2" t="s">
        <v>3182</v>
      </c>
      <c r="C538" s="4">
        <v>958.53</v>
      </c>
      <c r="D538" s="4">
        <f t="shared" si="16"/>
        <v>11502.36</v>
      </c>
      <c r="E538" s="2" t="s">
        <v>78</v>
      </c>
      <c r="F538" s="4">
        <v>0</v>
      </c>
      <c r="G538" s="4">
        <v>-50</v>
      </c>
      <c r="H538" s="3">
        <v>46038</v>
      </c>
      <c r="I538" s="4">
        <v>1126.05</v>
      </c>
      <c r="J538" s="2" t="s">
        <v>4824</v>
      </c>
      <c r="K538" s="3">
        <v>46054</v>
      </c>
      <c r="L538" s="2">
        <f>IF(G538&lt;=0,0,MAX(0,Assumptions!$B$3-K538))</f>
        <v>0</v>
      </c>
      <c r="M538" s="2" t="str">
        <f t="shared" si="17"/>
        <v>Current</v>
      </c>
      <c r="N538" s="4">
        <v>0</v>
      </c>
      <c r="O538" s="2" t="s">
        <v>78</v>
      </c>
      <c r="P538" s="2" t="s">
        <v>36</v>
      </c>
    </row>
    <row r="539" spans="1:16" x14ac:dyDescent="0.2">
      <c r="A539" s="2" t="s">
        <v>3188</v>
      </c>
      <c r="B539" s="2" t="s">
        <v>114</v>
      </c>
      <c r="C539" s="4">
        <v>958.53</v>
      </c>
      <c r="D539" s="4">
        <f t="shared" si="16"/>
        <v>11502.36</v>
      </c>
      <c r="E539" s="2" t="s">
        <v>78</v>
      </c>
      <c r="F539" s="4">
        <v>0</v>
      </c>
      <c r="G539" s="4">
        <v>0</v>
      </c>
      <c r="H539" s="3">
        <v>46067</v>
      </c>
      <c r="I539" s="4">
        <v>853.4</v>
      </c>
      <c r="J539" s="2" t="s">
        <v>4823</v>
      </c>
      <c r="K539" s="3">
        <v>46054</v>
      </c>
      <c r="L539" s="2">
        <f>IF(G539&lt;=0,0,MAX(0,Assumptions!$B$3-K539))</f>
        <v>0</v>
      </c>
      <c r="M539" s="2" t="str">
        <f t="shared" si="17"/>
        <v>Current</v>
      </c>
      <c r="N539" s="4">
        <v>0</v>
      </c>
      <c r="O539" s="2" t="s">
        <v>78</v>
      </c>
      <c r="P539" s="2" t="s">
        <v>36</v>
      </c>
    </row>
    <row r="540" spans="1:16" x14ac:dyDescent="0.2">
      <c r="A540" s="2" t="s">
        <v>3194</v>
      </c>
      <c r="B540" s="2" t="s">
        <v>3195</v>
      </c>
      <c r="C540" s="4">
        <v>958.53</v>
      </c>
      <c r="D540" s="4">
        <f t="shared" si="16"/>
        <v>11502.36</v>
      </c>
      <c r="E540" s="2" t="s">
        <v>78</v>
      </c>
      <c r="F540" s="4">
        <v>0</v>
      </c>
      <c r="G540" s="4">
        <v>0</v>
      </c>
      <c r="H540" s="3">
        <v>46041</v>
      </c>
      <c r="I540" s="4">
        <v>1073.53</v>
      </c>
      <c r="J540" s="2" t="s">
        <v>4823</v>
      </c>
      <c r="K540" s="3">
        <v>46054</v>
      </c>
      <c r="L540" s="2">
        <f>IF(G540&lt;=0,0,MAX(0,Assumptions!$B$3-K540))</f>
        <v>0</v>
      </c>
      <c r="M540" s="2" t="str">
        <f t="shared" si="17"/>
        <v>Current</v>
      </c>
      <c r="N540" s="4">
        <v>0</v>
      </c>
      <c r="O540" s="2" t="s">
        <v>78</v>
      </c>
      <c r="P540" s="2" t="s">
        <v>78</v>
      </c>
    </row>
    <row r="541" spans="1:16" x14ac:dyDescent="0.2">
      <c r="A541" s="2" t="s">
        <v>3200</v>
      </c>
      <c r="B541" s="2" t="s">
        <v>1301</v>
      </c>
      <c r="C541" s="4">
        <v>1130.8499999999999</v>
      </c>
      <c r="D541" s="4">
        <f t="shared" si="16"/>
        <v>13570.199999999999</v>
      </c>
      <c r="E541" s="2" t="s">
        <v>78</v>
      </c>
      <c r="F541" s="4">
        <v>0</v>
      </c>
      <c r="G541" s="4">
        <v>25</v>
      </c>
      <c r="H541" s="3">
        <v>46048</v>
      </c>
      <c r="I541" s="4">
        <v>1041.67</v>
      </c>
      <c r="J541" s="2" t="s">
        <v>4826</v>
      </c>
      <c r="K541" s="3">
        <v>46054</v>
      </c>
      <c r="L541" s="2">
        <f>IF(G541&lt;=0,0,MAX(0,Assumptions!$B$3-K541))</f>
        <v>0</v>
      </c>
      <c r="M541" s="2" t="str">
        <f t="shared" si="17"/>
        <v>30 days</v>
      </c>
      <c r="N541" s="4">
        <v>0</v>
      </c>
      <c r="O541" s="2" t="s">
        <v>78</v>
      </c>
      <c r="P541" s="2" t="s">
        <v>36</v>
      </c>
    </row>
    <row r="542" spans="1:16" x14ac:dyDescent="0.2">
      <c r="A542" s="2" t="s">
        <v>3206</v>
      </c>
      <c r="B542" s="2" t="s">
        <v>3207</v>
      </c>
      <c r="C542" s="4">
        <v>1130.8499999999999</v>
      </c>
      <c r="D542" s="4">
        <f t="shared" si="16"/>
        <v>13570.199999999999</v>
      </c>
      <c r="E542" s="2" t="s">
        <v>78</v>
      </c>
      <c r="F542" s="4">
        <v>0</v>
      </c>
      <c r="G542" s="4">
        <v>0</v>
      </c>
      <c r="H542" s="3">
        <v>46072</v>
      </c>
      <c r="I542" s="4">
        <v>918.75</v>
      </c>
      <c r="J542" s="2" t="s">
        <v>4825</v>
      </c>
      <c r="K542" s="3">
        <v>46054</v>
      </c>
      <c r="L542" s="2">
        <f>IF(G542&lt;=0,0,MAX(0,Assumptions!$B$3-K542))</f>
        <v>0</v>
      </c>
      <c r="M542" s="2" t="str">
        <f t="shared" si="17"/>
        <v>Current</v>
      </c>
      <c r="N542" s="4">
        <v>0</v>
      </c>
      <c r="O542" s="2" t="s">
        <v>78</v>
      </c>
      <c r="P542" s="2" t="s">
        <v>36</v>
      </c>
    </row>
    <row r="543" spans="1:16" x14ac:dyDescent="0.2">
      <c r="A543" s="2" t="s">
        <v>3211</v>
      </c>
      <c r="B543" s="2" t="s">
        <v>2230</v>
      </c>
      <c r="C543" s="4">
        <v>1130.8499999999999</v>
      </c>
      <c r="D543" s="4">
        <f t="shared" si="16"/>
        <v>13570.199999999999</v>
      </c>
      <c r="E543" s="2" t="s">
        <v>78</v>
      </c>
      <c r="F543" s="4">
        <v>0</v>
      </c>
      <c r="G543" s="4">
        <v>0</v>
      </c>
      <c r="H543" s="3">
        <v>46057</v>
      </c>
      <c r="I543" s="4">
        <v>1109.4100000000001</v>
      </c>
      <c r="J543" s="2" t="s">
        <v>4825</v>
      </c>
      <c r="K543" s="3">
        <v>46054</v>
      </c>
      <c r="L543" s="2">
        <f>IF(G543&lt;=0,0,MAX(0,Assumptions!$B$3-K543))</f>
        <v>0</v>
      </c>
      <c r="M543" s="2" t="str">
        <f t="shared" si="17"/>
        <v>Current</v>
      </c>
      <c r="N543" s="4">
        <v>0</v>
      </c>
      <c r="O543" s="2" t="s">
        <v>78</v>
      </c>
      <c r="P543" s="2" t="s">
        <v>78</v>
      </c>
    </row>
    <row r="544" spans="1:16" x14ac:dyDescent="0.2">
      <c r="A544" s="2" t="s">
        <v>3217</v>
      </c>
      <c r="B544" s="2" t="s">
        <v>3218</v>
      </c>
      <c r="C544" s="4">
        <v>1130.8499999999999</v>
      </c>
      <c r="D544" s="4">
        <f t="shared" si="16"/>
        <v>13570.199999999999</v>
      </c>
      <c r="E544" s="2" t="s">
        <v>78</v>
      </c>
      <c r="F544" s="4">
        <v>0</v>
      </c>
      <c r="G544" s="4">
        <v>0</v>
      </c>
      <c r="H544" s="3">
        <v>46052</v>
      </c>
      <c r="I544" s="4">
        <v>1080.07</v>
      </c>
      <c r="J544" s="2" t="s">
        <v>4826</v>
      </c>
      <c r="K544" s="3">
        <v>46054</v>
      </c>
      <c r="L544" s="2">
        <f>IF(G544&lt;=0,0,MAX(0,Assumptions!$B$3-K544))</f>
        <v>0</v>
      </c>
      <c r="M544" s="2" t="str">
        <f t="shared" si="17"/>
        <v>Current</v>
      </c>
      <c r="N544" s="4">
        <v>0</v>
      </c>
      <c r="O544" s="2" t="s">
        <v>78</v>
      </c>
      <c r="P544" s="2" t="s">
        <v>36</v>
      </c>
    </row>
    <row r="545" spans="1:16" x14ac:dyDescent="0.2">
      <c r="A545" s="2" t="s">
        <v>3223</v>
      </c>
      <c r="B545" s="2" t="s">
        <v>3224</v>
      </c>
      <c r="C545" s="4">
        <v>1561.65</v>
      </c>
      <c r="D545" s="4">
        <f t="shared" si="16"/>
        <v>18739.800000000003</v>
      </c>
      <c r="E545" s="2" t="s">
        <v>78</v>
      </c>
      <c r="F545" s="4">
        <v>0</v>
      </c>
      <c r="G545" s="4">
        <v>0</v>
      </c>
      <c r="H545" s="3">
        <v>46030</v>
      </c>
      <c r="I545" s="4">
        <v>1556.24</v>
      </c>
      <c r="J545" s="2" t="s">
        <v>4825</v>
      </c>
      <c r="K545" s="3">
        <v>46054</v>
      </c>
      <c r="L545" s="2">
        <f>IF(G545&lt;=0,0,MAX(0,Assumptions!$B$3-K545))</f>
        <v>0</v>
      </c>
      <c r="M545" s="2" t="str">
        <f t="shared" si="17"/>
        <v>Current</v>
      </c>
      <c r="N545" s="4">
        <v>0</v>
      </c>
      <c r="O545" s="2" t="s">
        <v>78</v>
      </c>
      <c r="P545" s="2" t="s">
        <v>78</v>
      </c>
    </row>
    <row r="546" spans="1:16" x14ac:dyDescent="0.2">
      <c r="A546" s="2" t="s">
        <v>3229</v>
      </c>
      <c r="B546" s="2" t="s">
        <v>1273</v>
      </c>
      <c r="C546" s="4">
        <v>783.36</v>
      </c>
      <c r="D546" s="4">
        <f t="shared" si="16"/>
        <v>9400.32</v>
      </c>
      <c r="E546" s="2" t="s">
        <v>78</v>
      </c>
      <c r="F546" s="4">
        <v>0</v>
      </c>
      <c r="G546" s="4">
        <v>0</v>
      </c>
      <c r="H546" s="3">
        <v>46049</v>
      </c>
      <c r="I546" s="4">
        <v>862.61</v>
      </c>
      <c r="J546" s="2" t="s">
        <v>4825</v>
      </c>
      <c r="K546" s="3">
        <v>46054</v>
      </c>
      <c r="L546" s="2">
        <f>IF(G546&lt;=0,0,MAX(0,Assumptions!$B$3-K546))</f>
        <v>0</v>
      </c>
      <c r="M546" s="2" t="str">
        <f t="shared" si="17"/>
        <v>Current</v>
      </c>
      <c r="N546" s="4">
        <v>0</v>
      </c>
      <c r="O546" s="2" t="s">
        <v>78</v>
      </c>
      <c r="P546" s="2" t="s">
        <v>36</v>
      </c>
    </row>
    <row r="547" spans="1:16" x14ac:dyDescent="0.2">
      <c r="A547" s="2" t="s">
        <v>3234</v>
      </c>
      <c r="B547" s="2" t="s">
        <v>2244</v>
      </c>
      <c r="C547" s="4">
        <v>783.36</v>
      </c>
      <c r="D547" s="4">
        <f t="shared" si="16"/>
        <v>9400.32</v>
      </c>
      <c r="E547" s="2" t="s">
        <v>78</v>
      </c>
      <c r="F547" s="4">
        <v>0</v>
      </c>
      <c r="G547" s="4">
        <v>0</v>
      </c>
      <c r="H547" s="3">
        <v>46072</v>
      </c>
      <c r="I547" s="4">
        <v>745.75</v>
      </c>
      <c r="J547" s="2" t="s">
        <v>4823</v>
      </c>
      <c r="K547" s="3">
        <v>46054</v>
      </c>
      <c r="L547" s="2">
        <f>IF(G547&lt;=0,0,MAX(0,Assumptions!$B$3-K547))</f>
        <v>0</v>
      </c>
      <c r="M547" s="2" t="str">
        <f t="shared" si="17"/>
        <v>Current</v>
      </c>
      <c r="N547" s="4">
        <v>0</v>
      </c>
      <c r="O547" s="2" t="s">
        <v>78</v>
      </c>
      <c r="P547" s="2" t="s">
        <v>78</v>
      </c>
    </row>
    <row r="548" spans="1:16" x14ac:dyDescent="0.2">
      <c r="A548" s="2" t="s">
        <v>3239</v>
      </c>
      <c r="B548" s="2" t="s">
        <v>3240</v>
      </c>
      <c r="C548" s="4">
        <v>783.36</v>
      </c>
      <c r="D548" s="4">
        <f t="shared" si="16"/>
        <v>9400.32</v>
      </c>
      <c r="E548" s="2" t="s">
        <v>78</v>
      </c>
      <c r="F548" s="4">
        <v>0</v>
      </c>
      <c r="G548" s="4">
        <v>0</v>
      </c>
      <c r="H548" s="3">
        <v>46068</v>
      </c>
      <c r="I548" s="4">
        <v>703.58</v>
      </c>
      <c r="J548" s="2" t="s">
        <v>4825</v>
      </c>
      <c r="K548" s="3">
        <v>46054</v>
      </c>
      <c r="L548" s="2">
        <f>IF(G548&lt;=0,0,MAX(0,Assumptions!$B$3-K548))</f>
        <v>0</v>
      </c>
      <c r="M548" s="2" t="str">
        <f t="shared" si="17"/>
        <v>Current</v>
      </c>
      <c r="N548" s="4">
        <v>0</v>
      </c>
      <c r="O548" s="2" t="s">
        <v>78</v>
      </c>
      <c r="P548" s="2" t="s">
        <v>36</v>
      </c>
    </row>
    <row r="549" spans="1:16" x14ac:dyDescent="0.2">
      <c r="A549" s="2" t="s">
        <v>3244</v>
      </c>
      <c r="B549" s="2" t="s">
        <v>3245</v>
      </c>
      <c r="C549" s="4">
        <v>783.36</v>
      </c>
      <c r="D549" s="4">
        <f t="shared" si="16"/>
        <v>9400.32</v>
      </c>
      <c r="E549" s="2" t="s">
        <v>78</v>
      </c>
      <c r="F549" s="4">
        <v>0</v>
      </c>
      <c r="G549" s="4">
        <v>0</v>
      </c>
      <c r="H549" s="3">
        <v>46071</v>
      </c>
      <c r="I549" s="4">
        <v>727.86</v>
      </c>
      <c r="J549" s="2" t="s">
        <v>4824</v>
      </c>
      <c r="K549" s="3">
        <v>46054</v>
      </c>
      <c r="L549" s="2">
        <f>IF(G549&lt;=0,0,MAX(0,Assumptions!$B$3-K549))</f>
        <v>0</v>
      </c>
      <c r="M549" s="2" t="str">
        <f t="shared" si="17"/>
        <v>Current</v>
      </c>
      <c r="N549" s="4">
        <v>0</v>
      </c>
      <c r="O549" s="2" t="s">
        <v>78</v>
      </c>
      <c r="P549" s="2" t="s">
        <v>78</v>
      </c>
    </row>
    <row r="550" spans="1:16" x14ac:dyDescent="0.2">
      <c r="A550" s="2" t="s">
        <v>3249</v>
      </c>
      <c r="B550" s="2" t="s">
        <v>1995</v>
      </c>
      <c r="C550" s="4">
        <v>783.36</v>
      </c>
      <c r="D550" s="4">
        <f t="shared" si="16"/>
        <v>9400.32</v>
      </c>
      <c r="E550" s="2" t="s">
        <v>78</v>
      </c>
      <c r="F550" s="4">
        <v>0</v>
      </c>
      <c r="G550" s="4">
        <v>0</v>
      </c>
      <c r="H550" s="3">
        <v>46067</v>
      </c>
      <c r="I550" s="4">
        <v>629.91</v>
      </c>
      <c r="J550" s="2" t="s">
        <v>4826</v>
      </c>
      <c r="K550" s="3">
        <v>46054</v>
      </c>
      <c r="L550" s="2">
        <f>IF(G550&lt;=0,0,MAX(0,Assumptions!$B$3-K550))</f>
        <v>0</v>
      </c>
      <c r="M550" s="2" t="str">
        <f t="shared" si="17"/>
        <v>Current</v>
      </c>
      <c r="N550" s="4">
        <v>0</v>
      </c>
      <c r="O550" s="2" t="s">
        <v>78</v>
      </c>
      <c r="P550" s="2" t="s">
        <v>78</v>
      </c>
    </row>
    <row r="551" spans="1:16" x14ac:dyDescent="0.2">
      <c r="A551" s="2" t="s">
        <v>3254</v>
      </c>
      <c r="B551" s="2" t="s">
        <v>374</v>
      </c>
      <c r="C551" s="4">
        <v>783.36</v>
      </c>
      <c r="D551" s="4">
        <f t="shared" si="16"/>
        <v>9400.32</v>
      </c>
      <c r="E551" s="2" t="s">
        <v>36</v>
      </c>
      <c r="F551" s="4">
        <v>4803.5</v>
      </c>
      <c r="G551" s="4">
        <v>0</v>
      </c>
      <c r="H551" s="3">
        <v>46041</v>
      </c>
      <c r="I551" s="4">
        <v>683.48</v>
      </c>
      <c r="J551" s="2" t="s">
        <v>4827</v>
      </c>
      <c r="K551" s="3">
        <v>46054</v>
      </c>
      <c r="L551" s="2">
        <f>IF(G551&lt;=0,0,MAX(0,Assumptions!$B$3-K551))</f>
        <v>0</v>
      </c>
      <c r="M551" s="2" t="str">
        <f t="shared" si="17"/>
        <v>Current</v>
      </c>
      <c r="N551" s="4">
        <v>0</v>
      </c>
      <c r="O551" s="2" t="s">
        <v>78</v>
      </c>
      <c r="P551" s="2" t="s">
        <v>78</v>
      </c>
    </row>
    <row r="552" spans="1:16" x14ac:dyDescent="0.2">
      <c r="A552" s="2" t="s">
        <v>3258</v>
      </c>
      <c r="B552" s="2" t="s">
        <v>2462</v>
      </c>
      <c r="C552" s="4">
        <v>961.64</v>
      </c>
      <c r="D552" s="4">
        <f t="shared" si="16"/>
        <v>11539.68</v>
      </c>
      <c r="E552" s="2" t="s">
        <v>78</v>
      </c>
      <c r="F552" s="4">
        <v>0</v>
      </c>
      <c r="G552" s="4">
        <v>0</v>
      </c>
      <c r="H552" s="3">
        <v>46057</v>
      </c>
      <c r="I552" s="4">
        <v>994.59</v>
      </c>
      <c r="J552" s="2" t="s">
        <v>4824</v>
      </c>
      <c r="K552" s="3">
        <v>46054</v>
      </c>
      <c r="L552" s="2">
        <f>IF(G552&lt;=0,0,MAX(0,Assumptions!$B$3-K552))</f>
        <v>0</v>
      </c>
      <c r="M552" s="2" t="str">
        <f t="shared" si="17"/>
        <v>Current</v>
      </c>
      <c r="N552" s="4">
        <v>0</v>
      </c>
      <c r="O552" s="2" t="s">
        <v>78</v>
      </c>
      <c r="P552" s="2" t="s">
        <v>36</v>
      </c>
    </row>
    <row r="553" spans="1:16" x14ac:dyDescent="0.2">
      <c r="A553" s="2" t="s">
        <v>3265</v>
      </c>
      <c r="B553" s="2" t="s">
        <v>334</v>
      </c>
      <c r="C553" s="4">
        <v>961.64</v>
      </c>
      <c r="D553" s="4">
        <f t="shared" si="16"/>
        <v>11539.68</v>
      </c>
      <c r="E553" s="2" t="s">
        <v>78</v>
      </c>
      <c r="F553" s="4">
        <v>0</v>
      </c>
      <c r="G553" s="4">
        <v>0</v>
      </c>
      <c r="H553" s="3">
        <v>46071</v>
      </c>
      <c r="I553" s="4">
        <v>880.97</v>
      </c>
      <c r="J553" s="2" t="s">
        <v>4827</v>
      </c>
      <c r="K553" s="3">
        <v>46054</v>
      </c>
      <c r="L553" s="2">
        <f>IF(G553&lt;=0,0,MAX(0,Assumptions!$B$3-K553))</f>
        <v>0</v>
      </c>
      <c r="M553" s="2" t="str">
        <f t="shared" si="17"/>
        <v>Current</v>
      </c>
      <c r="N553" s="4">
        <v>0</v>
      </c>
      <c r="O553" s="2" t="s">
        <v>78</v>
      </c>
      <c r="P553" s="2" t="s">
        <v>78</v>
      </c>
    </row>
    <row r="554" spans="1:16" x14ac:dyDescent="0.2">
      <c r="A554" s="2" t="s">
        <v>3271</v>
      </c>
      <c r="B554" s="2" t="s">
        <v>2313</v>
      </c>
      <c r="C554" s="4">
        <v>961.64</v>
      </c>
      <c r="D554" s="4">
        <f t="shared" si="16"/>
        <v>11539.68</v>
      </c>
      <c r="E554" s="2" t="s">
        <v>78</v>
      </c>
      <c r="F554" s="4">
        <v>0</v>
      </c>
      <c r="G554" s="4">
        <v>0</v>
      </c>
      <c r="H554" s="3">
        <v>46061</v>
      </c>
      <c r="I554" s="4">
        <v>954.77</v>
      </c>
      <c r="J554" s="2" t="s">
        <v>4826</v>
      </c>
      <c r="K554" s="3">
        <v>46054</v>
      </c>
      <c r="L554" s="2">
        <f>IF(G554&lt;=0,0,MAX(0,Assumptions!$B$3-K554))</f>
        <v>0</v>
      </c>
      <c r="M554" s="2" t="str">
        <f t="shared" si="17"/>
        <v>Current</v>
      </c>
      <c r="N554" s="4">
        <v>0</v>
      </c>
      <c r="O554" s="2" t="s">
        <v>78</v>
      </c>
      <c r="P554" s="2" t="s">
        <v>78</v>
      </c>
    </row>
    <row r="555" spans="1:16" x14ac:dyDescent="0.2">
      <c r="A555" s="2" t="s">
        <v>3276</v>
      </c>
      <c r="B555" s="2" t="s">
        <v>2293</v>
      </c>
      <c r="C555" s="4">
        <v>961.64</v>
      </c>
      <c r="D555" s="4">
        <f t="shared" si="16"/>
        <v>11539.68</v>
      </c>
      <c r="E555" s="2" t="s">
        <v>78</v>
      </c>
      <c r="F555" s="4">
        <v>0</v>
      </c>
      <c r="G555" s="4">
        <v>2919.79</v>
      </c>
      <c r="H555" s="3">
        <v>46017</v>
      </c>
      <c r="I555" s="4">
        <v>855.25</v>
      </c>
      <c r="J555" s="2" t="s">
        <v>4826</v>
      </c>
      <c r="K555" s="3">
        <v>45964</v>
      </c>
      <c r="L555" s="2">
        <f>IF(G555&lt;=0,0,MAX(0,Assumptions!$B$3-K555))</f>
        <v>0</v>
      </c>
      <c r="M555" s="2" t="str">
        <f t="shared" si="17"/>
        <v>30 days</v>
      </c>
      <c r="N555" s="4">
        <v>100</v>
      </c>
      <c r="O555" s="2" t="s">
        <v>78</v>
      </c>
      <c r="P555" s="2" t="s">
        <v>78</v>
      </c>
    </row>
    <row r="556" spans="1:16" x14ac:dyDescent="0.2">
      <c r="A556" s="2" t="s">
        <v>3282</v>
      </c>
      <c r="B556" s="2" t="s">
        <v>3283</v>
      </c>
      <c r="C556" s="4">
        <v>961.64</v>
      </c>
      <c r="D556" s="4">
        <f t="shared" si="16"/>
        <v>11539.68</v>
      </c>
      <c r="E556" s="2" t="s">
        <v>78</v>
      </c>
      <c r="F556" s="4">
        <v>0</v>
      </c>
      <c r="G556" s="4">
        <v>0</v>
      </c>
      <c r="H556" s="3">
        <v>46067</v>
      </c>
      <c r="I556" s="4">
        <v>832.56</v>
      </c>
      <c r="J556" s="2" t="s">
        <v>4826</v>
      </c>
      <c r="K556" s="3">
        <v>46054</v>
      </c>
      <c r="L556" s="2">
        <f>IF(G556&lt;=0,0,MAX(0,Assumptions!$B$3-K556))</f>
        <v>0</v>
      </c>
      <c r="M556" s="2" t="str">
        <f t="shared" si="17"/>
        <v>Current</v>
      </c>
      <c r="N556" s="4">
        <v>0</v>
      </c>
      <c r="O556" s="2" t="s">
        <v>78</v>
      </c>
      <c r="P556" s="2" t="s">
        <v>78</v>
      </c>
    </row>
    <row r="557" spans="1:16" x14ac:dyDescent="0.2">
      <c r="A557" s="2" t="s">
        <v>3289</v>
      </c>
      <c r="B557" s="2" t="s">
        <v>3290</v>
      </c>
      <c r="C557" s="4">
        <v>961.64</v>
      </c>
      <c r="D557" s="4">
        <f t="shared" si="16"/>
        <v>11539.68</v>
      </c>
      <c r="E557" s="2" t="s">
        <v>78</v>
      </c>
      <c r="F557" s="4">
        <v>0</v>
      </c>
      <c r="G557" s="4">
        <v>0</v>
      </c>
      <c r="H557" s="3">
        <v>46042</v>
      </c>
      <c r="I557" s="4">
        <v>910.36</v>
      </c>
      <c r="J557" s="2" t="s">
        <v>4823</v>
      </c>
      <c r="K557" s="3">
        <v>46054</v>
      </c>
      <c r="L557" s="2">
        <f>IF(G557&lt;=0,0,MAX(0,Assumptions!$B$3-K557))</f>
        <v>0</v>
      </c>
      <c r="M557" s="2" t="str">
        <f t="shared" si="17"/>
        <v>Current</v>
      </c>
      <c r="N557" s="4">
        <v>0</v>
      </c>
      <c r="O557" s="2" t="s">
        <v>78</v>
      </c>
      <c r="P557" s="2" t="s">
        <v>78</v>
      </c>
    </row>
    <row r="558" spans="1:16" x14ac:dyDescent="0.2">
      <c r="A558" s="2" t="s">
        <v>3295</v>
      </c>
      <c r="B558" s="2" t="s">
        <v>3296</v>
      </c>
      <c r="C558" s="4">
        <v>1134.53</v>
      </c>
      <c r="D558" s="4">
        <f t="shared" si="16"/>
        <v>13614.36</v>
      </c>
      <c r="E558" s="2" t="s">
        <v>78</v>
      </c>
      <c r="F558" s="4">
        <v>0</v>
      </c>
      <c r="G558" s="4">
        <v>1253.72</v>
      </c>
      <c r="H558" s="3">
        <v>46036</v>
      </c>
      <c r="I558" s="4">
        <v>1034.19</v>
      </c>
      <c r="J558" s="2" t="s">
        <v>4825</v>
      </c>
      <c r="K558" s="3">
        <v>46024</v>
      </c>
      <c r="L558" s="2">
        <f>IF(G558&lt;=0,0,MAX(0,Assumptions!$B$3-K558))</f>
        <v>0</v>
      </c>
      <c r="M558" s="2" t="str">
        <f t="shared" si="17"/>
        <v>30 days</v>
      </c>
      <c r="N558" s="4">
        <v>75</v>
      </c>
      <c r="O558" s="2" t="s">
        <v>78</v>
      </c>
      <c r="P558" s="2" t="s">
        <v>78</v>
      </c>
    </row>
    <row r="559" spans="1:16" x14ac:dyDescent="0.2">
      <c r="A559" s="2" t="s">
        <v>3301</v>
      </c>
      <c r="B559" s="2" t="s">
        <v>1923</v>
      </c>
      <c r="C559" s="4">
        <v>1134.53</v>
      </c>
      <c r="D559" s="4">
        <f t="shared" si="16"/>
        <v>13614.36</v>
      </c>
      <c r="E559" s="2" t="s">
        <v>78</v>
      </c>
      <c r="F559" s="4">
        <v>0</v>
      </c>
      <c r="G559" s="4">
        <v>3542.69</v>
      </c>
      <c r="H559" s="3">
        <v>46009</v>
      </c>
      <c r="I559" s="4">
        <v>1319.06</v>
      </c>
      <c r="J559" s="2" t="s">
        <v>4825</v>
      </c>
      <c r="K559" s="3">
        <v>45964</v>
      </c>
      <c r="L559" s="2">
        <f>IF(G559&lt;=0,0,MAX(0,Assumptions!$B$3-K559))</f>
        <v>0</v>
      </c>
      <c r="M559" s="2" t="str">
        <f t="shared" si="17"/>
        <v>30 days</v>
      </c>
      <c r="N559" s="4">
        <v>0</v>
      </c>
      <c r="O559" s="2" t="s">
        <v>78</v>
      </c>
      <c r="P559" s="2" t="s">
        <v>78</v>
      </c>
    </row>
    <row r="560" spans="1:16" x14ac:dyDescent="0.2">
      <c r="A560" s="2" t="s">
        <v>3308</v>
      </c>
      <c r="B560" s="2" t="s">
        <v>639</v>
      </c>
      <c r="C560" s="4">
        <v>1134.53</v>
      </c>
      <c r="D560" s="4">
        <f t="shared" si="16"/>
        <v>13614.36</v>
      </c>
      <c r="E560" s="2" t="s">
        <v>78</v>
      </c>
      <c r="F560" s="4">
        <v>0</v>
      </c>
      <c r="G560" s="4">
        <v>4787.34</v>
      </c>
      <c r="H560" s="3">
        <v>45993</v>
      </c>
      <c r="I560" s="4">
        <v>1160.56</v>
      </c>
      <c r="J560" s="2" t="s">
        <v>4825</v>
      </c>
      <c r="K560" s="3">
        <v>45934</v>
      </c>
      <c r="L560" s="2">
        <f>IF(G560&lt;=0,0,MAX(0,Assumptions!$B$3-K560))</f>
        <v>0</v>
      </c>
      <c r="M560" s="2" t="str">
        <f t="shared" si="17"/>
        <v>30 days</v>
      </c>
      <c r="N560" s="4">
        <v>100</v>
      </c>
      <c r="O560" s="2" t="s">
        <v>78</v>
      </c>
      <c r="P560" s="2" t="s">
        <v>78</v>
      </c>
    </row>
    <row r="561" spans="1:16" x14ac:dyDescent="0.2">
      <c r="A561" s="2" t="s">
        <v>3313</v>
      </c>
      <c r="B561" s="2" t="s">
        <v>1553</v>
      </c>
      <c r="C561" s="4">
        <v>1134.53</v>
      </c>
      <c r="D561" s="4">
        <f t="shared" si="16"/>
        <v>13614.36</v>
      </c>
      <c r="E561" s="2" t="s">
        <v>78</v>
      </c>
      <c r="F561" s="4">
        <v>0</v>
      </c>
      <c r="G561" s="4">
        <v>0</v>
      </c>
      <c r="H561" s="3">
        <v>46038</v>
      </c>
      <c r="I561" s="4">
        <v>925.67</v>
      </c>
      <c r="J561" s="2" t="s">
        <v>4826</v>
      </c>
      <c r="K561" s="3">
        <v>46054</v>
      </c>
      <c r="L561" s="2">
        <f>IF(G561&lt;=0,0,MAX(0,Assumptions!$B$3-K561))</f>
        <v>0</v>
      </c>
      <c r="M561" s="2" t="str">
        <f t="shared" si="17"/>
        <v>Current</v>
      </c>
      <c r="N561" s="4">
        <v>0</v>
      </c>
      <c r="O561" s="2" t="s">
        <v>78</v>
      </c>
      <c r="P561" s="2" t="s">
        <v>78</v>
      </c>
    </row>
    <row r="562" spans="1:16" x14ac:dyDescent="0.2">
      <c r="A562" s="2" t="s">
        <v>3319</v>
      </c>
      <c r="B562" s="2" t="s">
        <v>3320</v>
      </c>
      <c r="C562" s="4">
        <v>1566.73</v>
      </c>
      <c r="D562" s="4">
        <f t="shared" si="16"/>
        <v>18800.760000000002</v>
      </c>
      <c r="E562" s="2" t="s">
        <v>78</v>
      </c>
      <c r="F562" s="4">
        <v>0</v>
      </c>
      <c r="G562" s="4">
        <v>0</v>
      </c>
      <c r="H562" s="3">
        <v>46050</v>
      </c>
      <c r="I562" s="4">
        <v>1290.98</v>
      </c>
      <c r="J562" s="2" t="s">
        <v>4825</v>
      </c>
      <c r="K562" s="3">
        <v>46054</v>
      </c>
      <c r="L562" s="2">
        <f>IF(G562&lt;=0,0,MAX(0,Assumptions!$B$3-K562))</f>
        <v>0</v>
      </c>
      <c r="M562" s="2" t="str">
        <f t="shared" si="17"/>
        <v>Current</v>
      </c>
      <c r="N562" s="4">
        <v>0</v>
      </c>
      <c r="O562" s="2" t="s">
        <v>78</v>
      </c>
      <c r="P562" s="2" t="s">
        <v>36</v>
      </c>
    </row>
    <row r="563" spans="1:16" x14ac:dyDescent="0.2">
      <c r="A563" s="2" t="s">
        <v>3326</v>
      </c>
      <c r="B563" s="2" t="s">
        <v>3327</v>
      </c>
      <c r="C563" s="4">
        <v>785.9</v>
      </c>
      <c r="D563" s="4">
        <f t="shared" si="16"/>
        <v>9430.7999999999993</v>
      </c>
      <c r="E563" s="2" t="s">
        <v>78</v>
      </c>
      <c r="F563" s="4">
        <v>0</v>
      </c>
      <c r="G563" s="4">
        <v>0</v>
      </c>
      <c r="H563" s="3">
        <v>46054</v>
      </c>
      <c r="I563" s="4">
        <v>905.48</v>
      </c>
      <c r="J563" s="2" t="s">
        <v>4826</v>
      </c>
      <c r="K563" s="3">
        <v>46054</v>
      </c>
      <c r="L563" s="2">
        <f>IF(G563&lt;=0,0,MAX(0,Assumptions!$B$3-K563))</f>
        <v>0</v>
      </c>
      <c r="M563" s="2" t="str">
        <f t="shared" si="17"/>
        <v>Current</v>
      </c>
      <c r="N563" s="4">
        <v>0</v>
      </c>
      <c r="O563" s="2" t="s">
        <v>78</v>
      </c>
      <c r="P563" s="2" t="s">
        <v>78</v>
      </c>
    </row>
    <row r="564" spans="1:16" x14ac:dyDescent="0.2">
      <c r="A564" s="2" t="s">
        <v>3331</v>
      </c>
      <c r="B564" s="2" t="s">
        <v>3332</v>
      </c>
      <c r="C564" s="4">
        <v>785.9</v>
      </c>
      <c r="D564" s="4">
        <f t="shared" si="16"/>
        <v>9430.7999999999993</v>
      </c>
      <c r="E564" s="2" t="s">
        <v>78</v>
      </c>
      <c r="F564" s="4">
        <v>0</v>
      </c>
      <c r="G564" s="4">
        <v>25</v>
      </c>
      <c r="H564" s="3">
        <v>46061</v>
      </c>
      <c r="I564" s="4">
        <v>837.47</v>
      </c>
      <c r="J564" s="2" t="s">
        <v>4823</v>
      </c>
      <c r="K564" s="3">
        <v>46054</v>
      </c>
      <c r="L564" s="2">
        <f>IF(G564&lt;=0,0,MAX(0,Assumptions!$B$3-K564))</f>
        <v>0</v>
      </c>
      <c r="M564" s="2" t="str">
        <f t="shared" si="17"/>
        <v>30 days</v>
      </c>
      <c r="N564" s="4">
        <v>0</v>
      </c>
      <c r="O564" s="2" t="s">
        <v>78</v>
      </c>
      <c r="P564" s="2" t="s">
        <v>36</v>
      </c>
    </row>
    <row r="565" spans="1:16" x14ac:dyDescent="0.2">
      <c r="A565" s="2" t="s">
        <v>3337</v>
      </c>
      <c r="B565" s="2" t="s">
        <v>3338</v>
      </c>
      <c r="C565" s="4">
        <v>785.9</v>
      </c>
      <c r="D565" s="4">
        <f t="shared" si="16"/>
        <v>9430.7999999999993</v>
      </c>
      <c r="E565" s="2" t="s">
        <v>78</v>
      </c>
      <c r="F565" s="4">
        <v>0</v>
      </c>
      <c r="G565" s="4">
        <v>15</v>
      </c>
      <c r="H565" s="3">
        <v>46069</v>
      </c>
      <c r="I565" s="4">
        <v>674.65</v>
      </c>
      <c r="J565" s="2" t="s">
        <v>4826</v>
      </c>
      <c r="K565" s="3">
        <v>46054</v>
      </c>
      <c r="L565" s="2">
        <f>IF(G565&lt;=0,0,MAX(0,Assumptions!$B$3-K565))</f>
        <v>0</v>
      </c>
      <c r="M565" s="2" t="str">
        <f t="shared" si="17"/>
        <v>30 days</v>
      </c>
      <c r="N565" s="4">
        <v>0</v>
      </c>
      <c r="O565" s="2" t="s">
        <v>78</v>
      </c>
      <c r="P565" s="2" t="s">
        <v>36</v>
      </c>
    </row>
    <row r="566" spans="1:16" x14ac:dyDescent="0.2">
      <c r="A566" s="2" t="s">
        <v>3342</v>
      </c>
      <c r="B566" s="2" t="s">
        <v>3343</v>
      </c>
      <c r="C566" s="4">
        <v>785.9</v>
      </c>
      <c r="D566" s="4">
        <f t="shared" si="16"/>
        <v>9430.7999999999993</v>
      </c>
      <c r="E566" s="2" t="s">
        <v>78</v>
      </c>
      <c r="F566" s="4">
        <v>0</v>
      </c>
      <c r="G566" s="4">
        <v>0</v>
      </c>
      <c r="H566" s="3">
        <v>46041</v>
      </c>
      <c r="I566" s="4">
        <v>939.89</v>
      </c>
      <c r="J566" s="2" t="s">
        <v>4825</v>
      </c>
      <c r="K566" s="3">
        <v>46054</v>
      </c>
      <c r="L566" s="2">
        <f>IF(G566&lt;=0,0,MAX(0,Assumptions!$B$3-K566))</f>
        <v>0</v>
      </c>
      <c r="M566" s="2" t="str">
        <f t="shared" si="17"/>
        <v>Current</v>
      </c>
      <c r="N566" s="4">
        <v>0</v>
      </c>
      <c r="O566" s="2" t="s">
        <v>78</v>
      </c>
      <c r="P566" s="2" t="s">
        <v>36</v>
      </c>
    </row>
    <row r="567" spans="1:16" x14ac:dyDescent="0.2">
      <c r="A567" s="2" t="s">
        <v>3348</v>
      </c>
      <c r="B567" s="2" t="s">
        <v>3349</v>
      </c>
      <c r="C567" s="4">
        <v>785.9</v>
      </c>
      <c r="D567" s="4">
        <f t="shared" si="16"/>
        <v>9430.7999999999993</v>
      </c>
      <c r="E567" s="2" t="s">
        <v>78</v>
      </c>
      <c r="F567" s="4">
        <v>0</v>
      </c>
      <c r="G567" s="4">
        <v>-50</v>
      </c>
      <c r="H567" s="3">
        <v>46059</v>
      </c>
      <c r="I567" s="4">
        <v>889</v>
      </c>
      <c r="J567" s="2" t="s">
        <v>4823</v>
      </c>
      <c r="K567" s="3">
        <v>46054</v>
      </c>
      <c r="L567" s="2">
        <f>IF(G567&lt;=0,0,MAX(0,Assumptions!$B$3-K567))</f>
        <v>0</v>
      </c>
      <c r="M567" s="2" t="str">
        <f t="shared" si="17"/>
        <v>Current</v>
      </c>
      <c r="N567" s="4">
        <v>0</v>
      </c>
      <c r="O567" s="2" t="s">
        <v>78</v>
      </c>
      <c r="P567" s="2" t="s">
        <v>36</v>
      </c>
    </row>
    <row r="568" spans="1:16" x14ac:dyDescent="0.2">
      <c r="A568" s="2" t="s">
        <v>3355</v>
      </c>
      <c r="B568" s="2" t="s">
        <v>941</v>
      </c>
      <c r="C568" s="4">
        <v>785.9</v>
      </c>
      <c r="D568" s="4">
        <f t="shared" si="16"/>
        <v>9430.7999999999993</v>
      </c>
      <c r="E568" s="2" t="s">
        <v>78</v>
      </c>
      <c r="F568" s="4">
        <v>0</v>
      </c>
      <c r="G568" s="4">
        <v>854.24</v>
      </c>
      <c r="H568" s="3">
        <v>45948</v>
      </c>
      <c r="I568" s="4">
        <v>738.42</v>
      </c>
      <c r="J568" s="2" t="s">
        <v>4823</v>
      </c>
      <c r="K568" s="3">
        <v>46024</v>
      </c>
      <c r="L568" s="2">
        <f>IF(G568&lt;=0,0,MAX(0,Assumptions!$B$3-K568))</f>
        <v>0</v>
      </c>
      <c r="M568" s="2" t="str">
        <f t="shared" si="17"/>
        <v>30 days</v>
      </c>
      <c r="N568" s="4">
        <v>75</v>
      </c>
      <c r="O568" s="2" t="s">
        <v>78</v>
      </c>
      <c r="P568" s="2" t="s">
        <v>78</v>
      </c>
    </row>
    <row r="569" spans="1:16" x14ac:dyDescent="0.2">
      <c r="A569" s="2" t="s">
        <v>3361</v>
      </c>
      <c r="B569" s="2" t="s">
        <v>814</v>
      </c>
      <c r="C569" s="4">
        <v>964.76</v>
      </c>
      <c r="D569" s="4">
        <f t="shared" si="16"/>
        <v>11577.119999999999</v>
      </c>
      <c r="E569" s="2" t="s">
        <v>78</v>
      </c>
      <c r="F569" s="4">
        <v>0</v>
      </c>
      <c r="G569" s="4">
        <v>0</v>
      </c>
      <c r="H569" s="3">
        <v>46043</v>
      </c>
      <c r="I569" s="4">
        <v>1009.1</v>
      </c>
      <c r="J569" s="2" t="s">
        <v>4824</v>
      </c>
      <c r="K569" s="3">
        <v>46054</v>
      </c>
      <c r="L569" s="2">
        <f>IF(G569&lt;=0,0,MAX(0,Assumptions!$B$3-K569))</f>
        <v>0</v>
      </c>
      <c r="M569" s="2" t="str">
        <f t="shared" si="17"/>
        <v>Current</v>
      </c>
      <c r="N569" s="4">
        <v>0</v>
      </c>
      <c r="O569" s="2" t="s">
        <v>78</v>
      </c>
      <c r="P569" s="2" t="s">
        <v>78</v>
      </c>
    </row>
    <row r="570" spans="1:16" x14ac:dyDescent="0.2">
      <c r="A570" s="2" t="s">
        <v>3366</v>
      </c>
      <c r="B570" s="2" t="s">
        <v>532</v>
      </c>
      <c r="C570" s="4">
        <v>964.76</v>
      </c>
      <c r="D570" s="4">
        <f t="shared" si="16"/>
        <v>11577.119999999999</v>
      </c>
      <c r="E570" s="2" t="s">
        <v>78</v>
      </c>
      <c r="F570" s="4">
        <v>0</v>
      </c>
      <c r="G570" s="4">
        <v>0</v>
      </c>
      <c r="H570" s="3">
        <v>46058</v>
      </c>
      <c r="I570" s="4">
        <v>1002.96</v>
      </c>
      <c r="J570" s="2" t="s">
        <v>4827</v>
      </c>
      <c r="K570" s="3">
        <v>46054</v>
      </c>
      <c r="L570" s="2">
        <f>IF(G570&lt;=0,0,MAX(0,Assumptions!$B$3-K570))</f>
        <v>0</v>
      </c>
      <c r="M570" s="2" t="str">
        <f t="shared" si="17"/>
        <v>Current</v>
      </c>
      <c r="N570" s="4">
        <v>0</v>
      </c>
      <c r="O570" s="2" t="s">
        <v>78</v>
      </c>
      <c r="P570" s="2" t="s">
        <v>78</v>
      </c>
    </row>
    <row r="571" spans="1:16" x14ac:dyDescent="0.2">
      <c r="A571" s="2" t="s">
        <v>3371</v>
      </c>
      <c r="B571" s="2" t="s">
        <v>3372</v>
      </c>
      <c r="C571" s="4">
        <v>964.76</v>
      </c>
      <c r="D571" s="4">
        <f t="shared" si="16"/>
        <v>11577.119999999999</v>
      </c>
      <c r="E571" s="2" t="s">
        <v>78</v>
      </c>
      <c r="F571" s="4">
        <v>0</v>
      </c>
      <c r="G571" s="4">
        <v>0</v>
      </c>
      <c r="H571" s="3">
        <v>46069</v>
      </c>
      <c r="I571" s="4">
        <v>988.57</v>
      </c>
      <c r="J571" s="2" t="s">
        <v>4826</v>
      </c>
      <c r="K571" s="3">
        <v>46054</v>
      </c>
      <c r="L571" s="2">
        <f>IF(G571&lt;=0,0,MAX(0,Assumptions!$B$3-K571))</f>
        <v>0</v>
      </c>
      <c r="M571" s="2" t="str">
        <f t="shared" si="17"/>
        <v>Current</v>
      </c>
      <c r="N571" s="4">
        <v>0</v>
      </c>
      <c r="O571" s="2" t="s">
        <v>78</v>
      </c>
      <c r="P571" s="2" t="s">
        <v>36</v>
      </c>
    </row>
    <row r="572" spans="1:16" x14ac:dyDescent="0.2">
      <c r="A572" s="2" t="s">
        <v>3379</v>
      </c>
      <c r="B572" s="2" t="s">
        <v>1176</v>
      </c>
      <c r="C572" s="4">
        <v>964.76</v>
      </c>
      <c r="D572" s="4">
        <f t="shared" si="16"/>
        <v>11577.119999999999</v>
      </c>
      <c r="E572" s="2" t="s">
        <v>78</v>
      </c>
      <c r="F572" s="4">
        <v>0</v>
      </c>
      <c r="G572" s="4">
        <v>0</v>
      </c>
      <c r="H572" s="3">
        <v>46044</v>
      </c>
      <c r="I572" s="4">
        <v>1022.71</v>
      </c>
      <c r="J572" s="2" t="s">
        <v>4827</v>
      </c>
      <c r="K572" s="3">
        <v>46054</v>
      </c>
      <c r="L572" s="2">
        <f>IF(G572&lt;=0,0,MAX(0,Assumptions!$B$3-K572))</f>
        <v>0</v>
      </c>
      <c r="M572" s="2" t="str">
        <f t="shared" si="17"/>
        <v>Current</v>
      </c>
      <c r="N572" s="4">
        <v>0</v>
      </c>
      <c r="O572" s="2" t="s">
        <v>78</v>
      </c>
      <c r="P572" s="2" t="s">
        <v>36</v>
      </c>
    </row>
    <row r="573" spans="1:16" x14ac:dyDescent="0.2">
      <c r="A573" s="2" t="s">
        <v>3385</v>
      </c>
      <c r="B573" s="2" t="s">
        <v>122</v>
      </c>
      <c r="C573" s="4">
        <v>964.76</v>
      </c>
      <c r="D573" s="4">
        <f t="shared" si="16"/>
        <v>11577.119999999999</v>
      </c>
      <c r="E573" s="2" t="s">
        <v>78</v>
      </c>
      <c r="F573" s="4">
        <v>0</v>
      </c>
      <c r="G573" s="4">
        <v>0</v>
      </c>
      <c r="H573" s="3">
        <v>46043</v>
      </c>
      <c r="I573" s="4">
        <v>969.17</v>
      </c>
      <c r="J573" s="2" t="s">
        <v>4823</v>
      </c>
      <c r="K573" s="3">
        <v>46054</v>
      </c>
      <c r="L573" s="2">
        <f>IF(G573&lt;=0,0,MAX(0,Assumptions!$B$3-K573))</f>
        <v>0</v>
      </c>
      <c r="M573" s="2" t="str">
        <f t="shared" si="17"/>
        <v>Current</v>
      </c>
      <c r="N573" s="4">
        <v>0</v>
      </c>
      <c r="O573" s="2" t="s">
        <v>78</v>
      </c>
      <c r="P573" s="2" t="s">
        <v>78</v>
      </c>
    </row>
    <row r="574" spans="1:16" x14ac:dyDescent="0.2">
      <c r="A574" s="2" t="s">
        <v>3389</v>
      </c>
      <c r="B574" s="2" t="s">
        <v>3390</v>
      </c>
      <c r="C574" s="4">
        <v>964.76</v>
      </c>
      <c r="D574" s="4">
        <f t="shared" si="16"/>
        <v>11577.119999999999</v>
      </c>
      <c r="E574" s="2" t="s">
        <v>78</v>
      </c>
      <c r="F574" s="4">
        <v>0</v>
      </c>
      <c r="G574" s="4">
        <v>15</v>
      </c>
      <c r="H574" s="3">
        <v>46030</v>
      </c>
      <c r="I574" s="4">
        <v>1005.36</v>
      </c>
      <c r="J574" s="2" t="s">
        <v>4824</v>
      </c>
      <c r="K574" s="3">
        <v>46054</v>
      </c>
      <c r="L574" s="2">
        <f>IF(G574&lt;=0,0,MAX(0,Assumptions!$B$3-K574))</f>
        <v>0</v>
      </c>
      <c r="M574" s="2" t="str">
        <f t="shared" si="17"/>
        <v>30 days</v>
      </c>
      <c r="N574" s="4">
        <v>0</v>
      </c>
      <c r="O574" s="2" t="s">
        <v>78</v>
      </c>
      <c r="P574" s="2" t="s">
        <v>78</v>
      </c>
    </row>
    <row r="575" spans="1:16" x14ac:dyDescent="0.2">
      <c r="A575" s="2" t="s">
        <v>3395</v>
      </c>
      <c r="B575" s="2" t="s">
        <v>3396</v>
      </c>
      <c r="C575" s="4">
        <v>1138.2</v>
      </c>
      <c r="D575" s="4">
        <f t="shared" si="16"/>
        <v>13658.400000000001</v>
      </c>
      <c r="E575" s="2" t="s">
        <v>78</v>
      </c>
      <c r="F575" s="4">
        <v>0</v>
      </c>
      <c r="G575" s="4">
        <v>-50</v>
      </c>
      <c r="H575" s="3">
        <v>46039</v>
      </c>
      <c r="I575" s="4">
        <v>1145.94</v>
      </c>
      <c r="J575" s="2" t="s">
        <v>4825</v>
      </c>
      <c r="K575" s="3">
        <v>46054</v>
      </c>
      <c r="L575" s="2">
        <f>IF(G575&lt;=0,0,MAX(0,Assumptions!$B$3-K575))</f>
        <v>0</v>
      </c>
      <c r="M575" s="2" t="str">
        <f t="shared" si="17"/>
        <v>Current</v>
      </c>
      <c r="N575" s="4">
        <v>0</v>
      </c>
      <c r="O575" s="2" t="s">
        <v>78</v>
      </c>
      <c r="P575" s="2" t="s">
        <v>36</v>
      </c>
    </row>
    <row r="576" spans="1:16" x14ac:dyDescent="0.2">
      <c r="A576" s="2" t="s">
        <v>3402</v>
      </c>
      <c r="B576" s="2" t="s">
        <v>1779</v>
      </c>
      <c r="C576" s="4">
        <v>1138.2</v>
      </c>
      <c r="D576" s="4">
        <f t="shared" si="16"/>
        <v>13658.400000000001</v>
      </c>
      <c r="E576" s="2" t="s">
        <v>78</v>
      </c>
      <c r="F576" s="4">
        <v>0</v>
      </c>
      <c r="G576" s="4">
        <v>0</v>
      </c>
      <c r="H576" s="3">
        <v>46035</v>
      </c>
      <c r="I576" s="4">
        <v>1144.3499999999999</v>
      </c>
      <c r="J576" s="2" t="s">
        <v>4827</v>
      </c>
      <c r="K576" s="3">
        <v>46054</v>
      </c>
      <c r="L576" s="2">
        <f>IF(G576&lt;=0,0,MAX(0,Assumptions!$B$3-K576))</f>
        <v>0</v>
      </c>
      <c r="M576" s="2" t="str">
        <f t="shared" si="17"/>
        <v>Current</v>
      </c>
      <c r="N576" s="4">
        <v>0</v>
      </c>
      <c r="O576" s="2" t="s">
        <v>78</v>
      </c>
      <c r="P576" s="2" t="s">
        <v>36</v>
      </c>
    </row>
    <row r="577" spans="1:16" x14ac:dyDescent="0.2">
      <c r="A577" s="2" t="s">
        <v>3408</v>
      </c>
      <c r="B577" s="2" t="s">
        <v>3040</v>
      </c>
      <c r="C577" s="4">
        <v>1138.2</v>
      </c>
      <c r="D577" s="4">
        <f t="shared" si="16"/>
        <v>13658.400000000001</v>
      </c>
      <c r="E577" s="2" t="s">
        <v>78</v>
      </c>
      <c r="F577" s="4">
        <v>0</v>
      </c>
      <c r="G577" s="4">
        <v>25</v>
      </c>
      <c r="H577" s="3">
        <v>46051</v>
      </c>
      <c r="I577" s="4">
        <v>1353.25</v>
      </c>
      <c r="J577" s="2" t="s">
        <v>4826</v>
      </c>
      <c r="K577" s="3">
        <v>46054</v>
      </c>
      <c r="L577" s="2">
        <f>IF(G577&lt;=0,0,MAX(0,Assumptions!$B$3-K577))</f>
        <v>0</v>
      </c>
      <c r="M577" s="2" t="str">
        <f t="shared" si="17"/>
        <v>30 days</v>
      </c>
      <c r="N577" s="4">
        <v>0</v>
      </c>
      <c r="O577" s="2" t="s">
        <v>78</v>
      </c>
      <c r="P577" s="2" t="s">
        <v>36</v>
      </c>
    </row>
    <row r="578" spans="1:16" x14ac:dyDescent="0.2">
      <c r="A578" s="2" t="s">
        <v>3412</v>
      </c>
      <c r="B578" s="2" t="s">
        <v>1899</v>
      </c>
      <c r="C578" s="4">
        <v>1138.2</v>
      </c>
      <c r="D578" s="4">
        <f t="shared" ref="D578:D641" si="18">C578*12</f>
        <v>13658.400000000001</v>
      </c>
      <c r="E578" s="2" t="s">
        <v>78</v>
      </c>
      <c r="F578" s="4">
        <v>0</v>
      </c>
      <c r="G578" s="4">
        <v>0</v>
      </c>
      <c r="H578" s="3">
        <v>46035</v>
      </c>
      <c r="I578" s="4">
        <v>1103.53</v>
      </c>
      <c r="J578" s="2" t="s">
        <v>4826</v>
      </c>
      <c r="K578" s="3">
        <v>46054</v>
      </c>
      <c r="L578" s="2">
        <f>IF(G578&lt;=0,0,MAX(0,Assumptions!$B$3-K578))</f>
        <v>0</v>
      </c>
      <c r="M578" s="2" t="str">
        <f t="shared" ref="M578:M641" si="19">IF(G578&lt;=0,"Current",IF(L578&lt;=30,"30 days",IF(L578&lt;=60,"60 days",IF(L578&lt;=90,"90 days","90+ days"))))</f>
        <v>Current</v>
      </c>
      <c r="N578" s="4">
        <v>0</v>
      </c>
      <c r="O578" s="2" t="s">
        <v>78</v>
      </c>
      <c r="P578" s="2" t="s">
        <v>78</v>
      </c>
    </row>
    <row r="579" spans="1:16" x14ac:dyDescent="0.2">
      <c r="A579" s="2" t="s">
        <v>3418</v>
      </c>
      <c r="B579" s="2" t="s">
        <v>3419</v>
      </c>
      <c r="C579" s="4">
        <v>1571.8</v>
      </c>
      <c r="D579" s="4">
        <f t="shared" si="18"/>
        <v>18861.599999999999</v>
      </c>
      <c r="E579" s="2" t="s">
        <v>36</v>
      </c>
      <c r="F579" s="4">
        <v>7044.23</v>
      </c>
      <c r="G579" s="4">
        <v>0</v>
      </c>
      <c r="H579" s="3">
        <v>46061</v>
      </c>
      <c r="I579" s="4">
        <v>1689.44</v>
      </c>
      <c r="J579" s="2" t="s">
        <v>4827</v>
      </c>
      <c r="K579" s="3">
        <v>46054</v>
      </c>
      <c r="L579" s="2">
        <f>IF(G579&lt;=0,0,MAX(0,Assumptions!$B$3-K579))</f>
        <v>0</v>
      </c>
      <c r="M579" s="2" t="str">
        <f t="shared" si="19"/>
        <v>Current</v>
      </c>
      <c r="N579" s="4">
        <v>0</v>
      </c>
      <c r="O579" s="2" t="s">
        <v>78</v>
      </c>
      <c r="P579" s="2" t="s">
        <v>78</v>
      </c>
    </row>
    <row r="580" spans="1:16" x14ac:dyDescent="0.2">
      <c r="A580" s="2" t="s">
        <v>3425</v>
      </c>
      <c r="B580" s="2" t="s">
        <v>3426</v>
      </c>
      <c r="C580" s="4">
        <v>788.44</v>
      </c>
      <c r="D580" s="4">
        <f t="shared" si="18"/>
        <v>9461.2800000000007</v>
      </c>
      <c r="E580" s="2" t="s">
        <v>78</v>
      </c>
      <c r="F580" s="4">
        <v>0</v>
      </c>
      <c r="G580" s="4">
        <v>0</v>
      </c>
      <c r="H580" s="3">
        <v>46036</v>
      </c>
      <c r="I580" s="4">
        <v>794.78</v>
      </c>
      <c r="J580" s="2" t="s">
        <v>4825</v>
      </c>
      <c r="K580" s="3">
        <v>46054</v>
      </c>
      <c r="L580" s="2">
        <f>IF(G580&lt;=0,0,MAX(0,Assumptions!$B$3-K580))</f>
        <v>0</v>
      </c>
      <c r="M580" s="2" t="str">
        <f t="shared" si="19"/>
        <v>Current</v>
      </c>
      <c r="N580" s="4">
        <v>0</v>
      </c>
      <c r="O580" s="2" t="s">
        <v>78</v>
      </c>
      <c r="P580" s="2" t="s">
        <v>78</v>
      </c>
    </row>
    <row r="581" spans="1:16" x14ac:dyDescent="0.2">
      <c r="A581" s="2" t="s">
        <v>3431</v>
      </c>
      <c r="B581" s="2" t="s">
        <v>3432</v>
      </c>
      <c r="C581" s="4">
        <v>788.44</v>
      </c>
      <c r="D581" s="4">
        <f t="shared" si="18"/>
        <v>9461.2800000000007</v>
      </c>
      <c r="E581" s="2" t="s">
        <v>78</v>
      </c>
      <c r="F581" s="4">
        <v>0</v>
      </c>
      <c r="G581" s="4">
        <v>25</v>
      </c>
      <c r="H581" s="3">
        <v>46035</v>
      </c>
      <c r="I581" s="4">
        <v>879.88</v>
      </c>
      <c r="J581" s="2" t="s">
        <v>4827</v>
      </c>
      <c r="K581" s="3">
        <v>46054</v>
      </c>
      <c r="L581" s="2">
        <f>IF(G581&lt;=0,0,MAX(0,Assumptions!$B$3-K581))</f>
        <v>0</v>
      </c>
      <c r="M581" s="2" t="str">
        <f t="shared" si="19"/>
        <v>30 days</v>
      </c>
      <c r="N581" s="4">
        <v>0</v>
      </c>
      <c r="O581" s="2" t="s">
        <v>78</v>
      </c>
      <c r="P581" s="2" t="s">
        <v>78</v>
      </c>
    </row>
    <row r="582" spans="1:16" x14ac:dyDescent="0.2">
      <c r="A582" s="2" t="s">
        <v>3437</v>
      </c>
      <c r="B582" s="2" t="s">
        <v>1380</v>
      </c>
      <c r="C582" s="4">
        <v>788.44</v>
      </c>
      <c r="D582" s="4">
        <f t="shared" si="18"/>
        <v>9461.2800000000007</v>
      </c>
      <c r="E582" s="2" t="s">
        <v>78</v>
      </c>
      <c r="F582" s="4">
        <v>0</v>
      </c>
      <c r="G582" s="4">
        <v>25</v>
      </c>
      <c r="H582" s="3">
        <v>46048</v>
      </c>
      <c r="I582" s="4">
        <v>783.5</v>
      </c>
      <c r="J582" s="2" t="s">
        <v>4827</v>
      </c>
      <c r="K582" s="3">
        <v>46054</v>
      </c>
      <c r="L582" s="2">
        <f>IF(G582&lt;=0,0,MAX(0,Assumptions!$B$3-K582))</f>
        <v>0</v>
      </c>
      <c r="M582" s="2" t="str">
        <f t="shared" si="19"/>
        <v>30 days</v>
      </c>
      <c r="N582" s="4">
        <v>0</v>
      </c>
      <c r="O582" s="2" t="s">
        <v>78</v>
      </c>
      <c r="P582" s="2" t="s">
        <v>78</v>
      </c>
    </row>
    <row r="583" spans="1:16" x14ac:dyDescent="0.2">
      <c r="A583" s="2" t="s">
        <v>3442</v>
      </c>
      <c r="B583" s="2" t="s">
        <v>3443</v>
      </c>
      <c r="C583" s="4">
        <v>788.44</v>
      </c>
      <c r="D583" s="4">
        <f t="shared" si="18"/>
        <v>9461.2800000000007</v>
      </c>
      <c r="E583" s="2" t="s">
        <v>78</v>
      </c>
      <c r="F583" s="4">
        <v>0</v>
      </c>
      <c r="G583" s="4">
        <v>0</v>
      </c>
      <c r="H583" s="3">
        <v>46035</v>
      </c>
      <c r="I583" s="4">
        <v>653.47</v>
      </c>
      <c r="J583" s="2" t="s">
        <v>4825</v>
      </c>
      <c r="K583" s="3">
        <v>46054</v>
      </c>
      <c r="L583" s="2">
        <f>IF(G583&lt;=0,0,MAX(0,Assumptions!$B$3-K583))</f>
        <v>0</v>
      </c>
      <c r="M583" s="2" t="str">
        <f t="shared" si="19"/>
        <v>Current</v>
      </c>
      <c r="N583" s="4">
        <v>0</v>
      </c>
      <c r="O583" s="2" t="s">
        <v>78</v>
      </c>
      <c r="P583" s="2" t="s">
        <v>36</v>
      </c>
    </row>
    <row r="584" spans="1:16" x14ac:dyDescent="0.2">
      <c r="A584" s="2" t="s">
        <v>3448</v>
      </c>
      <c r="B584" s="2" t="s">
        <v>3449</v>
      </c>
      <c r="C584" s="4">
        <v>788.44</v>
      </c>
      <c r="D584" s="4">
        <f t="shared" si="18"/>
        <v>9461.2800000000007</v>
      </c>
      <c r="E584" s="2" t="s">
        <v>78</v>
      </c>
      <c r="F584" s="4">
        <v>0</v>
      </c>
      <c r="G584" s="4">
        <v>0</v>
      </c>
      <c r="H584" s="3">
        <v>46069</v>
      </c>
      <c r="I584" s="4">
        <v>690.34</v>
      </c>
      <c r="J584" s="2" t="s">
        <v>4827</v>
      </c>
      <c r="K584" s="3">
        <v>46054</v>
      </c>
      <c r="L584" s="2">
        <f>IF(G584&lt;=0,0,MAX(0,Assumptions!$B$3-K584))</f>
        <v>0</v>
      </c>
      <c r="M584" s="2" t="str">
        <f t="shared" si="19"/>
        <v>Current</v>
      </c>
      <c r="N584" s="4">
        <v>0</v>
      </c>
      <c r="O584" s="2" t="s">
        <v>78</v>
      </c>
      <c r="P584" s="2" t="s">
        <v>78</v>
      </c>
    </row>
    <row r="585" spans="1:16" x14ac:dyDescent="0.2">
      <c r="A585" s="2" t="s">
        <v>3454</v>
      </c>
      <c r="B585" s="2" t="s">
        <v>3426</v>
      </c>
      <c r="C585" s="4">
        <v>788.44</v>
      </c>
      <c r="D585" s="4">
        <f t="shared" si="18"/>
        <v>9461.2800000000007</v>
      </c>
      <c r="E585" s="2" t="s">
        <v>78</v>
      </c>
      <c r="F585" s="4">
        <v>0</v>
      </c>
      <c r="G585" s="4">
        <v>0</v>
      </c>
      <c r="H585" s="3">
        <v>46041</v>
      </c>
      <c r="I585" s="4">
        <v>809.71</v>
      </c>
      <c r="J585" s="2" t="s">
        <v>4826</v>
      </c>
      <c r="K585" s="3">
        <v>46054</v>
      </c>
      <c r="L585" s="2">
        <f>IF(G585&lt;=0,0,MAX(0,Assumptions!$B$3-K585))</f>
        <v>0</v>
      </c>
      <c r="M585" s="2" t="str">
        <f t="shared" si="19"/>
        <v>Current</v>
      </c>
      <c r="N585" s="4">
        <v>0</v>
      </c>
      <c r="O585" s="2" t="s">
        <v>78</v>
      </c>
      <c r="P585" s="2" t="s">
        <v>36</v>
      </c>
    </row>
    <row r="586" spans="1:16" x14ac:dyDescent="0.2">
      <c r="A586" s="2" t="s">
        <v>3458</v>
      </c>
      <c r="B586" s="2" t="s">
        <v>3459</v>
      </c>
      <c r="C586" s="4">
        <v>967.87</v>
      </c>
      <c r="D586" s="4">
        <f t="shared" si="18"/>
        <v>11614.44</v>
      </c>
      <c r="E586" s="2" t="s">
        <v>78</v>
      </c>
      <c r="F586" s="4">
        <v>0</v>
      </c>
      <c r="G586" s="4">
        <v>0</v>
      </c>
      <c r="H586" s="3">
        <v>46035</v>
      </c>
      <c r="I586" s="4">
        <v>816.14</v>
      </c>
      <c r="J586" s="2" t="s">
        <v>4823</v>
      </c>
      <c r="K586" s="3">
        <v>46054</v>
      </c>
      <c r="L586" s="2">
        <f>IF(G586&lt;=0,0,MAX(0,Assumptions!$B$3-K586))</f>
        <v>0</v>
      </c>
      <c r="M586" s="2" t="str">
        <f t="shared" si="19"/>
        <v>Current</v>
      </c>
      <c r="N586" s="4">
        <v>0</v>
      </c>
      <c r="O586" s="2" t="s">
        <v>78</v>
      </c>
      <c r="P586" s="2" t="s">
        <v>78</v>
      </c>
    </row>
    <row r="587" spans="1:16" x14ac:dyDescent="0.2">
      <c r="A587" s="2" t="s">
        <v>3465</v>
      </c>
      <c r="B587" s="2" t="s">
        <v>3466</v>
      </c>
      <c r="C587" s="4">
        <v>967.87</v>
      </c>
      <c r="D587" s="4">
        <f t="shared" si="18"/>
        <v>11614.44</v>
      </c>
      <c r="E587" s="2" t="s">
        <v>78</v>
      </c>
      <c r="F587" s="4">
        <v>0</v>
      </c>
      <c r="G587" s="4">
        <v>-50</v>
      </c>
      <c r="H587" s="3">
        <v>46070</v>
      </c>
      <c r="I587" s="4">
        <v>790.18</v>
      </c>
      <c r="J587" s="2" t="s">
        <v>4825</v>
      </c>
      <c r="K587" s="3">
        <v>46054</v>
      </c>
      <c r="L587" s="2">
        <f>IF(G587&lt;=0,0,MAX(0,Assumptions!$B$3-K587))</f>
        <v>0</v>
      </c>
      <c r="M587" s="2" t="str">
        <f t="shared" si="19"/>
        <v>Current</v>
      </c>
      <c r="N587" s="4">
        <v>0</v>
      </c>
      <c r="O587" s="2" t="s">
        <v>78</v>
      </c>
      <c r="P587" s="2" t="s">
        <v>36</v>
      </c>
    </row>
    <row r="588" spans="1:16" x14ac:dyDescent="0.2">
      <c r="A588" s="2" t="s">
        <v>3473</v>
      </c>
      <c r="B588" s="2" t="s">
        <v>3474</v>
      </c>
      <c r="C588" s="4">
        <v>967.87</v>
      </c>
      <c r="D588" s="4">
        <f t="shared" si="18"/>
        <v>11614.44</v>
      </c>
      <c r="E588" s="2" t="s">
        <v>78</v>
      </c>
      <c r="F588" s="4">
        <v>0</v>
      </c>
      <c r="G588" s="4">
        <v>0</v>
      </c>
      <c r="H588" s="3">
        <v>46030</v>
      </c>
      <c r="I588" s="4">
        <v>938.16</v>
      </c>
      <c r="J588" s="2" t="s">
        <v>4825</v>
      </c>
      <c r="K588" s="3">
        <v>46054</v>
      </c>
      <c r="L588" s="2">
        <f>IF(G588&lt;=0,0,MAX(0,Assumptions!$B$3-K588))</f>
        <v>0</v>
      </c>
      <c r="M588" s="2" t="str">
        <f t="shared" si="19"/>
        <v>Current</v>
      </c>
      <c r="N588" s="4">
        <v>0</v>
      </c>
      <c r="O588" s="2" t="s">
        <v>78</v>
      </c>
      <c r="P588" s="2" t="s">
        <v>78</v>
      </c>
    </row>
    <row r="589" spans="1:16" x14ac:dyDescent="0.2">
      <c r="A589" s="2" t="s">
        <v>3480</v>
      </c>
      <c r="B589" s="2" t="s">
        <v>2026</v>
      </c>
      <c r="C589" s="4">
        <v>967.87</v>
      </c>
      <c r="D589" s="4">
        <f t="shared" si="18"/>
        <v>11614.44</v>
      </c>
      <c r="E589" s="2" t="s">
        <v>36</v>
      </c>
      <c r="F589" s="4">
        <v>3369.65</v>
      </c>
      <c r="G589" s="4">
        <v>0</v>
      </c>
      <c r="H589" s="3">
        <v>46055</v>
      </c>
      <c r="I589" s="4">
        <v>940.69</v>
      </c>
      <c r="J589" s="2" t="s">
        <v>4826</v>
      </c>
      <c r="K589" s="3">
        <v>46054</v>
      </c>
      <c r="L589" s="2">
        <f>IF(G589&lt;=0,0,MAX(0,Assumptions!$B$3-K589))</f>
        <v>0</v>
      </c>
      <c r="M589" s="2" t="str">
        <f t="shared" si="19"/>
        <v>Current</v>
      </c>
      <c r="N589" s="4">
        <v>0</v>
      </c>
      <c r="O589" s="2" t="s">
        <v>78</v>
      </c>
      <c r="P589" s="2" t="s">
        <v>78</v>
      </c>
    </row>
    <row r="590" spans="1:16" x14ac:dyDescent="0.2">
      <c r="A590" s="2" t="s">
        <v>3487</v>
      </c>
      <c r="B590" s="2" t="s">
        <v>3332</v>
      </c>
      <c r="C590" s="4">
        <v>967.87</v>
      </c>
      <c r="D590" s="4">
        <f t="shared" si="18"/>
        <v>11614.44</v>
      </c>
      <c r="E590" s="2" t="s">
        <v>78</v>
      </c>
      <c r="F590" s="4">
        <v>0</v>
      </c>
      <c r="G590" s="4">
        <v>15</v>
      </c>
      <c r="H590" s="3">
        <v>46051</v>
      </c>
      <c r="I590" s="4">
        <v>1099.8</v>
      </c>
      <c r="J590" s="2" t="s">
        <v>4826</v>
      </c>
      <c r="K590" s="3">
        <v>46054</v>
      </c>
      <c r="L590" s="2">
        <f>IF(G590&lt;=0,0,MAX(0,Assumptions!$B$3-K590))</f>
        <v>0</v>
      </c>
      <c r="M590" s="2" t="str">
        <f t="shared" si="19"/>
        <v>30 days</v>
      </c>
      <c r="N590" s="4">
        <v>0</v>
      </c>
      <c r="O590" s="2" t="s">
        <v>78</v>
      </c>
      <c r="P590" s="2" t="s">
        <v>78</v>
      </c>
    </row>
    <row r="591" spans="1:16" x14ac:dyDescent="0.2">
      <c r="A591" s="2" t="s">
        <v>3494</v>
      </c>
      <c r="B591" s="2" t="s">
        <v>3495</v>
      </c>
      <c r="C591" s="4">
        <v>967.87</v>
      </c>
      <c r="D591" s="4">
        <f t="shared" si="18"/>
        <v>11614.44</v>
      </c>
      <c r="E591" s="2" t="s">
        <v>78</v>
      </c>
      <c r="F591" s="4">
        <v>0</v>
      </c>
      <c r="G591" s="4">
        <v>2974.32</v>
      </c>
      <c r="H591" s="3">
        <v>45962</v>
      </c>
      <c r="I591" s="4">
        <v>781.05</v>
      </c>
      <c r="J591" s="2" t="s">
        <v>4825</v>
      </c>
      <c r="K591" s="3">
        <v>45964</v>
      </c>
      <c r="L591" s="2">
        <f>IF(G591&lt;=0,0,MAX(0,Assumptions!$B$3-K591))</f>
        <v>0</v>
      </c>
      <c r="M591" s="2" t="str">
        <f t="shared" si="19"/>
        <v>30 days</v>
      </c>
      <c r="N591" s="4">
        <v>0</v>
      </c>
      <c r="O591" s="2" t="s">
        <v>78</v>
      </c>
      <c r="P591" s="2" t="s">
        <v>78</v>
      </c>
    </row>
    <row r="592" spans="1:16" x14ac:dyDescent="0.2">
      <c r="A592" s="2" t="s">
        <v>3501</v>
      </c>
      <c r="B592" s="2" t="s">
        <v>3502</v>
      </c>
      <c r="C592" s="4">
        <v>1141.8800000000001</v>
      </c>
      <c r="D592" s="4">
        <f t="shared" si="18"/>
        <v>13702.560000000001</v>
      </c>
      <c r="E592" s="2" t="s">
        <v>78</v>
      </c>
      <c r="F592" s="4">
        <v>0</v>
      </c>
      <c r="G592" s="4">
        <v>0</v>
      </c>
      <c r="H592" s="3">
        <v>46066</v>
      </c>
      <c r="I592" s="4">
        <v>957.21</v>
      </c>
      <c r="J592" s="2" t="s">
        <v>4823</v>
      </c>
      <c r="K592" s="3">
        <v>46054</v>
      </c>
      <c r="L592" s="2">
        <f>IF(G592&lt;=0,0,MAX(0,Assumptions!$B$3-K592))</f>
        <v>0</v>
      </c>
      <c r="M592" s="2" t="str">
        <f t="shared" si="19"/>
        <v>Current</v>
      </c>
      <c r="N592" s="4">
        <v>0</v>
      </c>
      <c r="O592" s="2" t="s">
        <v>78</v>
      </c>
      <c r="P592" s="2" t="s">
        <v>78</v>
      </c>
    </row>
    <row r="593" spans="1:16" x14ac:dyDescent="0.2">
      <c r="A593" s="2" t="s">
        <v>3507</v>
      </c>
      <c r="B593" s="2" t="s">
        <v>80</v>
      </c>
      <c r="C593" s="4">
        <v>1141.8800000000001</v>
      </c>
      <c r="D593" s="4">
        <f t="shared" si="18"/>
        <v>13702.560000000001</v>
      </c>
      <c r="E593" s="2" t="s">
        <v>78</v>
      </c>
      <c r="F593" s="4">
        <v>0</v>
      </c>
      <c r="G593" s="4">
        <v>0</v>
      </c>
      <c r="H593" s="3">
        <v>46059</v>
      </c>
      <c r="I593" s="4">
        <v>1041.1500000000001</v>
      </c>
      <c r="J593" s="2" t="s">
        <v>4825</v>
      </c>
      <c r="K593" s="3">
        <v>46054</v>
      </c>
      <c r="L593" s="2">
        <f>IF(G593&lt;=0,0,MAX(0,Assumptions!$B$3-K593))</f>
        <v>0</v>
      </c>
      <c r="M593" s="2" t="str">
        <f t="shared" si="19"/>
        <v>Current</v>
      </c>
      <c r="N593" s="4">
        <v>0</v>
      </c>
      <c r="O593" s="2" t="s">
        <v>78</v>
      </c>
      <c r="P593" s="2" t="s">
        <v>36</v>
      </c>
    </row>
    <row r="594" spans="1:16" x14ac:dyDescent="0.2">
      <c r="A594" s="2" t="s">
        <v>3514</v>
      </c>
      <c r="B594" s="2" t="s">
        <v>3515</v>
      </c>
      <c r="C594" s="4">
        <v>1141.8800000000001</v>
      </c>
      <c r="D594" s="4">
        <f t="shared" si="18"/>
        <v>13702.560000000001</v>
      </c>
      <c r="E594" s="2" t="s">
        <v>78</v>
      </c>
      <c r="F594" s="4">
        <v>0</v>
      </c>
      <c r="G594" s="4">
        <v>0</v>
      </c>
      <c r="H594" s="3">
        <v>46045</v>
      </c>
      <c r="I594" s="4">
        <v>1010.97</v>
      </c>
      <c r="J594" s="2" t="s">
        <v>4825</v>
      </c>
      <c r="K594" s="3">
        <v>46054</v>
      </c>
      <c r="L594" s="2">
        <f>IF(G594&lt;=0,0,MAX(0,Assumptions!$B$3-K594))</f>
        <v>0</v>
      </c>
      <c r="M594" s="2" t="str">
        <f t="shared" si="19"/>
        <v>Current</v>
      </c>
      <c r="N594" s="4">
        <v>0</v>
      </c>
      <c r="O594" s="2" t="s">
        <v>78</v>
      </c>
      <c r="P594" s="2" t="s">
        <v>36</v>
      </c>
    </row>
    <row r="595" spans="1:16" x14ac:dyDescent="0.2">
      <c r="A595" s="2" t="s">
        <v>3520</v>
      </c>
      <c r="B595" s="2" t="s">
        <v>3422</v>
      </c>
      <c r="C595" s="4">
        <v>1141.8800000000001</v>
      </c>
      <c r="D595" s="4">
        <f t="shared" si="18"/>
        <v>13702.560000000001</v>
      </c>
      <c r="E595" s="2" t="s">
        <v>78</v>
      </c>
      <c r="F595" s="4">
        <v>0</v>
      </c>
      <c r="G595" s="4">
        <v>0</v>
      </c>
      <c r="H595" s="3">
        <v>46049</v>
      </c>
      <c r="I595" s="4">
        <v>1302.01</v>
      </c>
      <c r="J595" s="2" t="s">
        <v>4823</v>
      </c>
      <c r="K595" s="3">
        <v>46054</v>
      </c>
      <c r="L595" s="2">
        <f>IF(G595&lt;=0,0,MAX(0,Assumptions!$B$3-K595))</f>
        <v>0</v>
      </c>
      <c r="M595" s="2" t="str">
        <f t="shared" si="19"/>
        <v>Current</v>
      </c>
      <c r="N595" s="4">
        <v>0</v>
      </c>
      <c r="O595" s="2" t="s">
        <v>78</v>
      </c>
      <c r="P595" s="2" t="s">
        <v>36</v>
      </c>
    </row>
    <row r="596" spans="1:16" x14ac:dyDescent="0.2">
      <c r="A596" s="2" t="s">
        <v>3524</v>
      </c>
      <c r="B596" s="2" t="s">
        <v>162</v>
      </c>
      <c r="C596" s="4">
        <v>1576.87</v>
      </c>
      <c r="D596" s="4">
        <f t="shared" si="18"/>
        <v>18922.439999999999</v>
      </c>
      <c r="E596" s="2" t="s">
        <v>78</v>
      </c>
      <c r="F596" s="4">
        <v>0</v>
      </c>
      <c r="G596" s="4">
        <v>4933.2700000000004</v>
      </c>
      <c r="H596" s="3">
        <v>45973</v>
      </c>
      <c r="I596" s="4">
        <v>1477.39</v>
      </c>
      <c r="J596" s="2" t="s">
        <v>4823</v>
      </c>
      <c r="K596" s="3">
        <v>45964</v>
      </c>
      <c r="L596" s="2">
        <f>IF(G596&lt;=0,0,MAX(0,Assumptions!$B$3-K596))</f>
        <v>0</v>
      </c>
      <c r="M596" s="2" t="str">
        <f t="shared" si="19"/>
        <v>30 days</v>
      </c>
      <c r="N596" s="4">
        <v>0</v>
      </c>
      <c r="O596" s="2" t="s">
        <v>78</v>
      </c>
      <c r="P596" s="2" t="s">
        <v>78</v>
      </c>
    </row>
    <row r="597" spans="1:16" x14ac:dyDescent="0.2">
      <c r="A597" s="2" t="s">
        <v>3529</v>
      </c>
      <c r="B597" s="2" t="s">
        <v>3530</v>
      </c>
      <c r="C597" s="4">
        <v>790.98</v>
      </c>
      <c r="D597" s="4">
        <f t="shared" si="18"/>
        <v>9491.76</v>
      </c>
      <c r="E597" s="2" t="s">
        <v>78</v>
      </c>
      <c r="F597" s="4">
        <v>0</v>
      </c>
      <c r="G597" s="4">
        <v>25</v>
      </c>
      <c r="H597" s="3">
        <v>46050</v>
      </c>
      <c r="I597" s="4">
        <v>678.51</v>
      </c>
      <c r="J597" s="2" t="s">
        <v>4825</v>
      </c>
      <c r="K597" s="3">
        <v>46054</v>
      </c>
      <c r="L597" s="2">
        <f>IF(G597&lt;=0,0,MAX(0,Assumptions!$B$3-K597))</f>
        <v>0</v>
      </c>
      <c r="M597" s="2" t="str">
        <f t="shared" si="19"/>
        <v>30 days</v>
      </c>
      <c r="N597" s="4">
        <v>0</v>
      </c>
      <c r="O597" s="2" t="s">
        <v>78</v>
      </c>
      <c r="P597" s="2" t="s">
        <v>36</v>
      </c>
    </row>
    <row r="598" spans="1:16" x14ac:dyDescent="0.2">
      <c r="A598" s="2" t="s">
        <v>3534</v>
      </c>
      <c r="B598" s="2" t="s">
        <v>369</v>
      </c>
      <c r="C598" s="4">
        <v>790.98</v>
      </c>
      <c r="D598" s="4">
        <f t="shared" si="18"/>
        <v>9491.76</v>
      </c>
      <c r="E598" s="2" t="s">
        <v>78</v>
      </c>
      <c r="F598" s="4">
        <v>0</v>
      </c>
      <c r="G598" s="4">
        <v>0</v>
      </c>
      <c r="H598" s="3">
        <v>46060</v>
      </c>
      <c r="I598" s="4">
        <v>701.73</v>
      </c>
      <c r="J598" s="2" t="s">
        <v>4827</v>
      </c>
      <c r="K598" s="3">
        <v>46054</v>
      </c>
      <c r="L598" s="2">
        <f>IF(G598&lt;=0,0,MAX(0,Assumptions!$B$3-K598))</f>
        <v>0</v>
      </c>
      <c r="M598" s="2" t="str">
        <f t="shared" si="19"/>
        <v>Current</v>
      </c>
      <c r="N598" s="4">
        <v>0</v>
      </c>
      <c r="O598" s="2" t="s">
        <v>78</v>
      </c>
      <c r="P598" s="2" t="s">
        <v>78</v>
      </c>
    </row>
    <row r="599" spans="1:16" x14ac:dyDescent="0.2">
      <c r="A599" s="2" t="s">
        <v>3538</v>
      </c>
      <c r="B599" s="2" t="s">
        <v>791</v>
      </c>
      <c r="C599" s="4">
        <v>790.98</v>
      </c>
      <c r="D599" s="4">
        <f t="shared" si="18"/>
        <v>9491.76</v>
      </c>
      <c r="E599" s="2" t="s">
        <v>78</v>
      </c>
      <c r="F599" s="4">
        <v>0</v>
      </c>
      <c r="G599" s="4">
        <v>25</v>
      </c>
      <c r="H599" s="3">
        <v>46049</v>
      </c>
      <c r="I599" s="4">
        <v>822.76</v>
      </c>
      <c r="J599" s="2" t="s">
        <v>4823</v>
      </c>
      <c r="K599" s="3">
        <v>46054</v>
      </c>
      <c r="L599" s="2">
        <f>IF(G599&lt;=0,0,MAX(0,Assumptions!$B$3-K599))</f>
        <v>0</v>
      </c>
      <c r="M599" s="2" t="str">
        <f t="shared" si="19"/>
        <v>30 days</v>
      </c>
      <c r="N599" s="4">
        <v>0</v>
      </c>
      <c r="O599" s="2" t="s">
        <v>78</v>
      </c>
      <c r="P599" s="2" t="s">
        <v>36</v>
      </c>
    </row>
    <row r="600" spans="1:16" x14ac:dyDescent="0.2">
      <c r="A600" s="2" t="s">
        <v>3542</v>
      </c>
      <c r="B600" s="2" t="s">
        <v>3015</v>
      </c>
      <c r="C600" s="4">
        <v>790.98</v>
      </c>
      <c r="D600" s="4">
        <f t="shared" si="18"/>
        <v>9491.76</v>
      </c>
      <c r="E600" s="2" t="s">
        <v>78</v>
      </c>
      <c r="F600" s="4">
        <v>0</v>
      </c>
      <c r="G600" s="4">
        <v>0</v>
      </c>
      <c r="H600" s="3">
        <v>46045</v>
      </c>
      <c r="I600" s="4">
        <v>858.39</v>
      </c>
      <c r="J600" s="2" t="s">
        <v>4825</v>
      </c>
      <c r="K600" s="3">
        <v>46054</v>
      </c>
      <c r="L600" s="2">
        <f>IF(G600&lt;=0,0,MAX(0,Assumptions!$B$3-K600))</f>
        <v>0</v>
      </c>
      <c r="M600" s="2" t="str">
        <f t="shared" si="19"/>
        <v>Current</v>
      </c>
      <c r="N600" s="4">
        <v>0</v>
      </c>
      <c r="O600" s="2" t="s">
        <v>78</v>
      </c>
      <c r="P600" s="2" t="s">
        <v>78</v>
      </c>
    </row>
    <row r="601" spans="1:16" x14ac:dyDescent="0.2">
      <c r="A601" s="2" t="s">
        <v>3547</v>
      </c>
      <c r="B601" s="2" t="s">
        <v>3548</v>
      </c>
      <c r="C601" s="4">
        <v>790.98</v>
      </c>
      <c r="D601" s="4">
        <f t="shared" si="18"/>
        <v>9491.76</v>
      </c>
      <c r="E601" s="2" t="s">
        <v>78</v>
      </c>
      <c r="F601" s="4">
        <v>0</v>
      </c>
      <c r="G601" s="4">
        <v>0</v>
      </c>
      <c r="H601" s="3">
        <v>46046</v>
      </c>
      <c r="I601" s="4">
        <v>861.91</v>
      </c>
      <c r="J601" s="2" t="s">
        <v>4823</v>
      </c>
      <c r="K601" s="3">
        <v>46054</v>
      </c>
      <c r="L601" s="2">
        <f>IF(G601&lt;=0,0,MAX(0,Assumptions!$B$3-K601))</f>
        <v>0</v>
      </c>
      <c r="M601" s="2" t="str">
        <f t="shared" si="19"/>
        <v>Current</v>
      </c>
      <c r="N601" s="4">
        <v>0</v>
      </c>
      <c r="O601" s="2" t="s">
        <v>78</v>
      </c>
      <c r="P601" s="2" t="s">
        <v>36</v>
      </c>
    </row>
    <row r="602" spans="1:16" x14ac:dyDescent="0.2">
      <c r="A602" s="2" t="s">
        <v>3552</v>
      </c>
      <c r="B602" s="2" t="s">
        <v>1221</v>
      </c>
      <c r="C602" s="4">
        <v>790.98</v>
      </c>
      <c r="D602" s="4">
        <f t="shared" si="18"/>
        <v>9491.76</v>
      </c>
      <c r="E602" s="2" t="s">
        <v>78</v>
      </c>
      <c r="F602" s="4">
        <v>0</v>
      </c>
      <c r="G602" s="4">
        <v>1714.63</v>
      </c>
      <c r="H602" s="3">
        <v>46019</v>
      </c>
      <c r="I602" s="4">
        <v>702.12</v>
      </c>
      <c r="J602" s="2" t="s">
        <v>4825</v>
      </c>
      <c r="K602" s="3">
        <v>45994</v>
      </c>
      <c r="L602" s="2">
        <f>IF(G602&lt;=0,0,MAX(0,Assumptions!$B$3-K602))</f>
        <v>0</v>
      </c>
      <c r="M602" s="2" t="str">
        <f t="shared" si="19"/>
        <v>30 days</v>
      </c>
      <c r="N602" s="4">
        <v>25</v>
      </c>
      <c r="O602" s="2" t="s">
        <v>78</v>
      </c>
      <c r="P602" s="2" t="s">
        <v>78</v>
      </c>
    </row>
    <row r="603" spans="1:16" x14ac:dyDescent="0.2">
      <c r="A603" s="2" t="s">
        <v>3556</v>
      </c>
      <c r="B603" s="2" t="s">
        <v>3557</v>
      </c>
      <c r="C603" s="4">
        <v>970.99</v>
      </c>
      <c r="D603" s="4">
        <f t="shared" si="18"/>
        <v>11651.880000000001</v>
      </c>
      <c r="E603" s="2" t="s">
        <v>78</v>
      </c>
      <c r="F603" s="4">
        <v>0</v>
      </c>
      <c r="G603" s="4">
        <v>0</v>
      </c>
      <c r="H603" s="3">
        <v>46063</v>
      </c>
      <c r="I603" s="4">
        <v>812.67</v>
      </c>
      <c r="J603" s="2" t="s">
        <v>4824</v>
      </c>
      <c r="K603" s="3">
        <v>46054</v>
      </c>
      <c r="L603" s="2">
        <f>IF(G603&lt;=0,0,MAX(0,Assumptions!$B$3-K603))</f>
        <v>0</v>
      </c>
      <c r="M603" s="2" t="str">
        <f t="shared" si="19"/>
        <v>Current</v>
      </c>
      <c r="N603" s="4">
        <v>0</v>
      </c>
      <c r="O603" s="2" t="s">
        <v>78</v>
      </c>
      <c r="P603" s="2" t="s">
        <v>36</v>
      </c>
    </row>
    <row r="604" spans="1:16" x14ac:dyDescent="0.2">
      <c r="A604" s="2" t="s">
        <v>3562</v>
      </c>
      <c r="B604" s="2" t="s">
        <v>532</v>
      </c>
      <c r="C604" s="4">
        <v>970.99</v>
      </c>
      <c r="D604" s="4">
        <f t="shared" si="18"/>
        <v>11651.880000000001</v>
      </c>
      <c r="E604" s="2" t="s">
        <v>78</v>
      </c>
      <c r="F604" s="4">
        <v>0</v>
      </c>
      <c r="G604" s="4">
        <v>1998.85</v>
      </c>
      <c r="H604" s="3">
        <v>45985</v>
      </c>
      <c r="I604" s="4">
        <v>884.97</v>
      </c>
      <c r="J604" s="2" t="s">
        <v>4826</v>
      </c>
      <c r="K604" s="3">
        <v>45994</v>
      </c>
      <c r="L604" s="2">
        <f>IF(G604&lt;=0,0,MAX(0,Assumptions!$B$3-K604))</f>
        <v>0</v>
      </c>
      <c r="M604" s="2" t="str">
        <f t="shared" si="19"/>
        <v>30 days</v>
      </c>
      <c r="N604" s="4">
        <v>0</v>
      </c>
      <c r="O604" s="2" t="s">
        <v>78</v>
      </c>
      <c r="P604" s="2" t="s">
        <v>78</v>
      </c>
    </row>
    <row r="605" spans="1:16" x14ac:dyDescent="0.2">
      <c r="A605" s="2" t="s">
        <v>3566</v>
      </c>
      <c r="B605" s="2" t="s">
        <v>3567</v>
      </c>
      <c r="C605" s="4">
        <v>970.99</v>
      </c>
      <c r="D605" s="4">
        <f t="shared" si="18"/>
        <v>11651.880000000001</v>
      </c>
      <c r="E605" s="2" t="s">
        <v>36</v>
      </c>
      <c r="F605" s="4">
        <v>7910.39</v>
      </c>
      <c r="G605" s="4">
        <v>0</v>
      </c>
      <c r="H605" s="3">
        <v>46037</v>
      </c>
      <c r="I605" s="4">
        <v>1031.04</v>
      </c>
      <c r="J605" s="2" t="s">
        <v>4826</v>
      </c>
      <c r="K605" s="3">
        <v>46054</v>
      </c>
      <c r="L605" s="2">
        <f>IF(G605&lt;=0,0,MAX(0,Assumptions!$B$3-K605))</f>
        <v>0</v>
      </c>
      <c r="M605" s="2" t="str">
        <f t="shared" si="19"/>
        <v>Current</v>
      </c>
      <c r="N605" s="4">
        <v>0</v>
      </c>
      <c r="O605" s="2" t="s">
        <v>78</v>
      </c>
      <c r="P605" s="2" t="s">
        <v>36</v>
      </c>
    </row>
    <row r="606" spans="1:16" x14ac:dyDescent="0.2">
      <c r="A606" s="2" t="s">
        <v>3572</v>
      </c>
      <c r="B606" s="2" t="s">
        <v>3573</v>
      </c>
      <c r="C606" s="4">
        <v>970.99</v>
      </c>
      <c r="D606" s="4">
        <f t="shared" si="18"/>
        <v>11651.880000000001</v>
      </c>
      <c r="E606" s="2" t="s">
        <v>78</v>
      </c>
      <c r="F606" s="4">
        <v>0</v>
      </c>
      <c r="G606" s="4">
        <v>0</v>
      </c>
      <c r="H606" s="3">
        <v>46058</v>
      </c>
      <c r="I606" s="4">
        <v>783.47</v>
      </c>
      <c r="J606" s="2" t="s">
        <v>4826</v>
      </c>
      <c r="K606" s="3">
        <v>46054</v>
      </c>
      <c r="L606" s="2">
        <f>IF(G606&lt;=0,0,MAX(0,Assumptions!$B$3-K606))</f>
        <v>0</v>
      </c>
      <c r="M606" s="2" t="str">
        <f t="shared" si="19"/>
        <v>Current</v>
      </c>
      <c r="N606" s="4">
        <v>0</v>
      </c>
      <c r="O606" s="2" t="s">
        <v>78</v>
      </c>
      <c r="P606" s="2" t="s">
        <v>78</v>
      </c>
    </row>
    <row r="607" spans="1:16" x14ac:dyDescent="0.2">
      <c r="A607" s="2" t="s">
        <v>3577</v>
      </c>
      <c r="B607" s="2" t="s">
        <v>504</v>
      </c>
      <c r="C607" s="4">
        <v>970.99</v>
      </c>
      <c r="D607" s="4">
        <f t="shared" si="18"/>
        <v>11651.880000000001</v>
      </c>
      <c r="E607" s="2" t="s">
        <v>78</v>
      </c>
      <c r="F607" s="4">
        <v>0</v>
      </c>
      <c r="G607" s="4">
        <v>0</v>
      </c>
      <c r="H607" s="3">
        <v>46062</v>
      </c>
      <c r="I607" s="4">
        <v>984.18</v>
      </c>
      <c r="J607" s="2" t="s">
        <v>4823</v>
      </c>
      <c r="K607" s="3">
        <v>46054</v>
      </c>
      <c r="L607" s="2">
        <f>IF(G607&lt;=0,0,MAX(0,Assumptions!$B$3-K607))</f>
        <v>0</v>
      </c>
      <c r="M607" s="2" t="str">
        <f t="shared" si="19"/>
        <v>Current</v>
      </c>
      <c r="N607" s="4">
        <v>0</v>
      </c>
      <c r="O607" s="2" t="s">
        <v>78</v>
      </c>
      <c r="P607" s="2" t="s">
        <v>36</v>
      </c>
    </row>
    <row r="608" spans="1:16" x14ac:dyDescent="0.2">
      <c r="A608" s="2" t="s">
        <v>3582</v>
      </c>
      <c r="B608" s="2" t="s">
        <v>2186</v>
      </c>
      <c r="C608" s="4">
        <v>970.99</v>
      </c>
      <c r="D608" s="4">
        <f t="shared" si="18"/>
        <v>11651.880000000001</v>
      </c>
      <c r="E608" s="2" t="s">
        <v>78</v>
      </c>
      <c r="F608" s="4">
        <v>0</v>
      </c>
      <c r="G608" s="4">
        <v>15</v>
      </c>
      <c r="H608" s="3">
        <v>46062</v>
      </c>
      <c r="I608" s="4">
        <v>872.2</v>
      </c>
      <c r="J608" s="2" t="s">
        <v>4825</v>
      </c>
      <c r="K608" s="3">
        <v>46054</v>
      </c>
      <c r="L608" s="2">
        <f>IF(G608&lt;=0,0,MAX(0,Assumptions!$B$3-K608))</f>
        <v>0</v>
      </c>
      <c r="M608" s="2" t="str">
        <f t="shared" si="19"/>
        <v>30 days</v>
      </c>
      <c r="N608" s="4">
        <v>0</v>
      </c>
      <c r="O608" s="2" t="s">
        <v>78</v>
      </c>
      <c r="P608" s="2" t="s">
        <v>36</v>
      </c>
    </row>
    <row r="609" spans="1:16" x14ac:dyDescent="0.2">
      <c r="A609" s="2" t="s">
        <v>3586</v>
      </c>
      <c r="B609" s="2" t="s">
        <v>2616</v>
      </c>
      <c r="C609" s="4">
        <v>1145.55</v>
      </c>
      <c r="D609" s="4">
        <f t="shared" si="18"/>
        <v>13746.599999999999</v>
      </c>
      <c r="E609" s="2" t="s">
        <v>78</v>
      </c>
      <c r="F609" s="4">
        <v>0</v>
      </c>
      <c r="G609" s="4">
        <v>0</v>
      </c>
      <c r="H609" s="3">
        <v>46041</v>
      </c>
      <c r="I609" s="4">
        <v>1147.6199999999999</v>
      </c>
      <c r="J609" s="2" t="s">
        <v>4825</v>
      </c>
      <c r="K609" s="3">
        <v>46054</v>
      </c>
      <c r="L609" s="2">
        <f>IF(G609&lt;=0,0,MAX(0,Assumptions!$B$3-K609))</f>
        <v>0</v>
      </c>
      <c r="M609" s="2" t="str">
        <f t="shared" si="19"/>
        <v>Current</v>
      </c>
      <c r="N609" s="4">
        <v>0</v>
      </c>
      <c r="O609" s="2" t="s">
        <v>78</v>
      </c>
      <c r="P609" s="2" t="s">
        <v>36</v>
      </c>
    </row>
    <row r="610" spans="1:16" x14ac:dyDescent="0.2">
      <c r="A610" s="2" t="s">
        <v>3592</v>
      </c>
      <c r="B610" s="2" t="s">
        <v>2549</v>
      </c>
      <c r="C610" s="4">
        <v>1145.55</v>
      </c>
      <c r="D610" s="4">
        <f t="shared" si="18"/>
        <v>13746.599999999999</v>
      </c>
      <c r="E610" s="2" t="s">
        <v>78</v>
      </c>
      <c r="F610" s="4">
        <v>0</v>
      </c>
      <c r="G610" s="4">
        <v>0</v>
      </c>
      <c r="H610" s="3">
        <v>46058</v>
      </c>
      <c r="I610" s="4">
        <v>1311.28</v>
      </c>
      <c r="J610" s="2" t="s">
        <v>4827</v>
      </c>
      <c r="K610" s="3">
        <v>46054</v>
      </c>
      <c r="L610" s="2">
        <f>IF(G610&lt;=0,0,MAX(0,Assumptions!$B$3-K610))</f>
        <v>0</v>
      </c>
      <c r="M610" s="2" t="str">
        <f t="shared" si="19"/>
        <v>Current</v>
      </c>
      <c r="N610" s="4">
        <v>0</v>
      </c>
      <c r="O610" s="2" t="s">
        <v>78</v>
      </c>
      <c r="P610" s="2" t="s">
        <v>36</v>
      </c>
    </row>
    <row r="611" spans="1:16" x14ac:dyDescent="0.2">
      <c r="A611" s="2" t="s">
        <v>3598</v>
      </c>
      <c r="B611" s="2" t="s">
        <v>636</v>
      </c>
      <c r="C611" s="4">
        <v>1145.55</v>
      </c>
      <c r="D611" s="4">
        <f t="shared" si="18"/>
        <v>13746.599999999999</v>
      </c>
      <c r="E611" s="2" t="s">
        <v>78</v>
      </c>
      <c r="F611" s="4">
        <v>0</v>
      </c>
      <c r="G611" s="4">
        <v>0</v>
      </c>
      <c r="H611" s="3">
        <v>46066</v>
      </c>
      <c r="I611" s="4">
        <v>1243.3499999999999</v>
      </c>
      <c r="J611" s="2" t="s">
        <v>4826</v>
      </c>
      <c r="K611" s="3">
        <v>46054</v>
      </c>
      <c r="L611" s="2">
        <f>IF(G611&lt;=0,0,MAX(0,Assumptions!$B$3-K611))</f>
        <v>0</v>
      </c>
      <c r="M611" s="2" t="str">
        <f t="shared" si="19"/>
        <v>Current</v>
      </c>
      <c r="N611" s="4">
        <v>0</v>
      </c>
      <c r="O611" s="2" t="s">
        <v>78</v>
      </c>
      <c r="P611" s="2" t="s">
        <v>36</v>
      </c>
    </row>
    <row r="612" spans="1:16" x14ac:dyDescent="0.2">
      <c r="A612" s="2" t="s">
        <v>3604</v>
      </c>
      <c r="B612" s="2" t="s">
        <v>2215</v>
      </c>
      <c r="C612" s="4">
        <v>1145.55</v>
      </c>
      <c r="D612" s="4">
        <f t="shared" si="18"/>
        <v>13746.599999999999</v>
      </c>
      <c r="E612" s="2" t="s">
        <v>36</v>
      </c>
      <c r="F612" s="4">
        <v>3708.11</v>
      </c>
      <c r="G612" s="4">
        <v>0</v>
      </c>
      <c r="H612" s="3">
        <v>46055</v>
      </c>
      <c r="I612" s="4">
        <v>1127.58</v>
      </c>
      <c r="J612" s="2" t="s">
        <v>4823</v>
      </c>
      <c r="K612" s="3">
        <v>46054</v>
      </c>
      <c r="L612" s="2">
        <f>IF(G612&lt;=0,0,MAX(0,Assumptions!$B$3-K612))</f>
        <v>0</v>
      </c>
      <c r="M612" s="2" t="str">
        <f t="shared" si="19"/>
        <v>Current</v>
      </c>
      <c r="N612" s="4">
        <v>0</v>
      </c>
      <c r="O612" s="2" t="s">
        <v>78</v>
      </c>
      <c r="P612" s="2" t="s">
        <v>78</v>
      </c>
    </row>
    <row r="613" spans="1:16" x14ac:dyDescent="0.2">
      <c r="A613" s="2" t="s">
        <v>3608</v>
      </c>
      <c r="B613" s="2" t="s">
        <v>1048</v>
      </c>
      <c r="C613" s="4">
        <v>1581.95</v>
      </c>
      <c r="D613" s="4">
        <f t="shared" si="18"/>
        <v>18983.400000000001</v>
      </c>
      <c r="E613" s="2" t="s">
        <v>78</v>
      </c>
      <c r="F613" s="4">
        <v>0</v>
      </c>
      <c r="G613" s="4">
        <v>0</v>
      </c>
      <c r="H613" s="3">
        <v>46040</v>
      </c>
      <c r="I613" s="4">
        <v>1560.83</v>
      </c>
      <c r="J613" s="2" t="s">
        <v>4824</v>
      </c>
      <c r="K613" s="3">
        <v>46054</v>
      </c>
      <c r="L613" s="2">
        <f>IF(G613&lt;=0,0,MAX(0,Assumptions!$B$3-K613))</f>
        <v>0</v>
      </c>
      <c r="M613" s="2" t="str">
        <f t="shared" si="19"/>
        <v>Current</v>
      </c>
      <c r="N613" s="4">
        <v>0</v>
      </c>
      <c r="O613" s="2" t="s">
        <v>78</v>
      </c>
      <c r="P613" s="2" t="s">
        <v>36</v>
      </c>
    </row>
    <row r="614" spans="1:16" x14ac:dyDescent="0.2">
      <c r="A614" s="2" t="s">
        <v>3614</v>
      </c>
      <c r="B614" s="2" t="s">
        <v>1176</v>
      </c>
      <c r="C614" s="4">
        <v>793.51</v>
      </c>
      <c r="D614" s="4">
        <f t="shared" si="18"/>
        <v>9522.119999999999</v>
      </c>
      <c r="E614" s="2" t="s">
        <v>78</v>
      </c>
      <c r="F614" s="4">
        <v>0</v>
      </c>
      <c r="G614" s="4">
        <v>0</v>
      </c>
      <c r="H614" s="3">
        <v>46057</v>
      </c>
      <c r="I614" s="4">
        <v>800.96</v>
      </c>
      <c r="J614" s="2" t="s">
        <v>4823</v>
      </c>
      <c r="K614" s="3">
        <v>46054</v>
      </c>
      <c r="L614" s="2">
        <f>IF(G614&lt;=0,0,MAX(0,Assumptions!$B$3-K614))</f>
        <v>0</v>
      </c>
      <c r="M614" s="2" t="str">
        <f t="shared" si="19"/>
        <v>Current</v>
      </c>
      <c r="N614" s="4">
        <v>0</v>
      </c>
      <c r="O614" s="2" t="s">
        <v>78</v>
      </c>
      <c r="P614" s="2" t="s">
        <v>78</v>
      </c>
    </row>
    <row r="615" spans="1:16" x14ac:dyDescent="0.2">
      <c r="A615" s="2" t="s">
        <v>3619</v>
      </c>
      <c r="B615" s="2" t="s">
        <v>1519</v>
      </c>
      <c r="C615" s="4">
        <v>793.51</v>
      </c>
      <c r="D615" s="4">
        <f t="shared" si="18"/>
        <v>9522.119999999999</v>
      </c>
      <c r="E615" s="2" t="s">
        <v>36</v>
      </c>
      <c r="F615" s="4">
        <v>809.54</v>
      </c>
      <c r="G615" s="4">
        <v>0</v>
      </c>
      <c r="H615" s="3">
        <v>46035</v>
      </c>
      <c r="I615" s="4">
        <v>950.53</v>
      </c>
      <c r="J615" s="2" t="s">
        <v>4827</v>
      </c>
      <c r="K615" s="3">
        <v>46054</v>
      </c>
      <c r="L615" s="2">
        <f>IF(G615&lt;=0,0,MAX(0,Assumptions!$B$3-K615))</f>
        <v>0</v>
      </c>
      <c r="M615" s="2" t="str">
        <f t="shared" si="19"/>
        <v>Current</v>
      </c>
      <c r="N615" s="4">
        <v>0</v>
      </c>
      <c r="O615" s="2" t="s">
        <v>78</v>
      </c>
      <c r="P615" s="2" t="s">
        <v>78</v>
      </c>
    </row>
    <row r="616" spans="1:16" x14ac:dyDescent="0.2">
      <c r="A616" s="2" t="s">
        <v>3624</v>
      </c>
      <c r="B616" s="2" t="s">
        <v>2440</v>
      </c>
      <c r="C616" s="4">
        <v>793.51</v>
      </c>
      <c r="D616" s="4">
        <f t="shared" si="18"/>
        <v>9522.119999999999</v>
      </c>
      <c r="E616" s="2" t="s">
        <v>78</v>
      </c>
      <c r="F616" s="4">
        <v>0</v>
      </c>
      <c r="G616" s="4">
        <v>0</v>
      </c>
      <c r="H616" s="3">
        <v>46050</v>
      </c>
      <c r="I616" s="4">
        <v>642.39</v>
      </c>
      <c r="J616" s="2" t="s">
        <v>4823</v>
      </c>
      <c r="K616" s="3">
        <v>46054</v>
      </c>
      <c r="L616" s="2">
        <f>IF(G616&lt;=0,0,MAX(0,Assumptions!$B$3-K616))</f>
        <v>0</v>
      </c>
      <c r="M616" s="2" t="str">
        <f t="shared" si="19"/>
        <v>Current</v>
      </c>
      <c r="N616" s="4">
        <v>0</v>
      </c>
      <c r="O616" s="2" t="s">
        <v>78</v>
      </c>
      <c r="P616" s="2" t="s">
        <v>78</v>
      </c>
    </row>
    <row r="617" spans="1:16" x14ac:dyDescent="0.2">
      <c r="A617" s="2" t="s">
        <v>3629</v>
      </c>
      <c r="B617" s="2" t="s">
        <v>1627</v>
      </c>
      <c r="C617" s="4">
        <v>793.51</v>
      </c>
      <c r="D617" s="4">
        <f t="shared" si="18"/>
        <v>9522.119999999999</v>
      </c>
      <c r="E617" s="2" t="s">
        <v>78</v>
      </c>
      <c r="F617" s="4">
        <v>0</v>
      </c>
      <c r="G617" s="4">
        <v>0</v>
      </c>
      <c r="H617" s="3">
        <v>46045</v>
      </c>
      <c r="I617" s="4">
        <v>909.43</v>
      </c>
      <c r="J617" s="2" t="s">
        <v>4826</v>
      </c>
      <c r="K617" s="3">
        <v>46054</v>
      </c>
      <c r="L617" s="2">
        <f>IF(G617&lt;=0,0,MAX(0,Assumptions!$B$3-K617))</f>
        <v>0</v>
      </c>
      <c r="M617" s="2" t="str">
        <f t="shared" si="19"/>
        <v>Current</v>
      </c>
      <c r="N617" s="4">
        <v>0</v>
      </c>
      <c r="O617" s="2" t="s">
        <v>78</v>
      </c>
      <c r="P617" s="2" t="s">
        <v>36</v>
      </c>
    </row>
    <row r="618" spans="1:16" x14ac:dyDescent="0.2">
      <c r="A618" s="2" t="s">
        <v>3634</v>
      </c>
      <c r="B618" s="2" t="s">
        <v>1387</v>
      </c>
      <c r="C618" s="4">
        <v>793.51</v>
      </c>
      <c r="D618" s="4">
        <f t="shared" si="18"/>
        <v>9522.119999999999</v>
      </c>
      <c r="E618" s="2" t="s">
        <v>78</v>
      </c>
      <c r="F618" s="4">
        <v>0</v>
      </c>
      <c r="G618" s="4">
        <v>0</v>
      </c>
      <c r="H618" s="3">
        <v>46059</v>
      </c>
      <c r="I618" s="4">
        <v>921.63</v>
      </c>
      <c r="J618" s="2" t="s">
        <v>4827</v>
      </c>
      <c r="K618" s="3">
        <v>46054</v>
      </c>
      <c r="L618" s="2">
        <f>IF(G618&lt;=0,0,MAX(0,Assumptions!$B$3-K618))</f>
        <v>0</v>
      </c>
      <c r="M618" s="2" t="str">
        <f t="shared" si="19"/>
        <v>Current</v>
      </c>
      <c r="N618" s="4">
        <v>0</v>
      </c>
      <c r="O618" s="2" t="s">
        <v>78</v>
      </c>
      <c r="P618" s="2" t="s">
        <v>36</v>
      </c>
    </row>
    <row r="619" spans="1:16" x14ac:dyDescent="0.2">
      <c r="A619" s="2" t="s">
        <v>3638</v>
      </c>
      <c r="B619" s="2" t="s">
        <v>294</v>
      </c>
      <c r="C619" s="4">
        <v>793.51</v>
      </c>
      <c r="D619" s="4">
        <f t="shared" si="18"/>
        <v>9522.119999999999</v>
      </c>
      <c r="E619" s="2" t="s">
        <v>78</v>
      </c>
      <c r="F619" s="4">
        <v>0</v>
      </c>
      <c r="G619" s="4">
        <v>25</v>
      </c>
      <c r="H619" s="3">
        <v>46044</v>
      </c>
      <c r="I619" s="4">
        <v>676.2</v>
      </c>
      <c r="J619" s="2" t="s">
        <v>4825</v>
      </c>
      <c r="K619" s="3">
        <v>46054</v>
      </c>
      <c r="L619" s="2">
        <f>IF(G619&lt;=0,0,MAX(0,Assumptions!$B$3-K619))</f>
        <v>0</v>
      </c>
      <c r="M619" s="2" t="str">
        <f t="shared" si="19"/>
        <v>30 days</v>
      </c>
      <c r="N619" s="4">
        <v>0</v>
      </c>
      <c r="O619" s="2" t="s">
        <v>78</v>
      </c>
      <c r="P619" s="2" t="s">
        <v>78</v>
      </c>
    </row>
    <row r="620" spans="1:16" x14ac:dyDescent="0.2">
      <c r="A620" s="2" t="s">
        <v>3642</v>
      </c>
      <c r="B620" s="2" t="s">
        <v>385</v>
      </c>
      <c r="C620" s="4">
        <v>974.11</v>
      </c>
      <c r="D620" s="4">
        <f t="shared" si="18"/>
        <v>11689.32</v>
      </c>
      <c r="E620" s="2" t="s">
        <v>78</v>
      </c>
      <c r="F620" s="4">
        <v>0</v>
      </c>
      <c r="G620" s="4">
        <v>0</v>
      </c>
      <c r="H620" s="3">
        <v>46055</v>
      </c>
      <c r="I620" s="4">
        <v>925.03</v>
      </c>
      <c r="J620" s="2" t="s">
        <v>4827</v>
      </c>
      <c r="K620" s="3">
        <v>46054</v>
      </c>
      <c r="L620" s="2">
        <f>IF(G620&lt;=0,0,MAX(0,Assumptions!$B$3-K620))</f>
        <v>0</v>
      </c>
      <c r="M620" s="2" t="str">
        <f t="shared" si="19"/>
        <v>Current</v>
      </c>
      <c r="N620" s="4">
        <v>0</v>
      </c>
      <c r="O620" s="2" t="s">
        <v>78</v>
      </c>
      <c r="P620" s="2" t="s">
        <v>36</v>
      </c>
    </row>
    <row r="621" spans="1:16" x14ac:dyDescent="0.2">
      <c r="A621" s="2" t="s">
        <v>3646</v>
      </c>
      <c r="B621" s="2" t="s">
        <v>3647</v>
      </c>
      <c r="C621" s="4">
        <v>974.11</v>
      </c>
      <c r="D621" s="4">
        <f t="shared" si="18"/>
        <v>11689.32</v>
      </c>
      <c r="E621" s="2" t="s">
        <v>78</v>
      </c>
      <c r="F621" s="4">
        <v>0</v>
      </c>
      <c r="G621" s="4">
        <v>0</v>
      </c>
      <c r="H621" s="3">
        <v>46069</v>
      </c>
      <c r="I621" s="4">
        <v>1012.39</v>
      </c>
      <c r="J621" s="2" t="s">
        <v>4827</v>
      </c>
      <c r="K621" s="3">
        <v>46054</v>
      </c>
      <c r="L621" s="2">
        <f>IF(G621&lt;=0,0,MAX(0,Assumptions!$B$3-K621))</f>
        <v>0</v>
      </c>
      <c r="M621" s="2" t="str">
        <f t="shared" si="19"/>
        <v>Current</v>
      </c>
      <c r="N621" s="4">
        <v>0</v>
      </c>
      <c r="O621" s="2" t="s">
        <v>78</v>
      </c>
      <c r="P621" s="2" t="s">
        <v>36</v>
      </c>
    </row>
    <row r="622" spans="1:16" x14ac:dyDescent="0.2">
      <c r="A622" s="2" t="s">
        <v>3651</v>
      </c>
      <c r="B622" s="2" t="s">
        <v>704</v>
      </c>
      <c r="C622" s="4">
        <v>974.11</v>
      </c>
      <c r="D622" s="4">
        <f t="shared" si="18"/>
        <v>11689.32</v>
      </c>
      <c r="E622" s="2" t="s">
        <v>36</v>
      </c>
      <c r="F622" s="4">
        <v>8841.5400000000009</v>
      </c>
      <c r="G622" s="4">
        <v>0</v>
      </c>
      <c r="H622" s="3">
        <v>46069</v>
      </c>
      <c r="I622" s="4">
        <v>916.63</v>
      </c>
      <c r="J622" s="2" t="s">
        <v>4826</v>
      </c>
      <c r="K622" s="3">
        <v>46054</v>
      </c>
      <c r="L622" s="2">
        <f>IF(G622&lt;=0,0,MAX(0,Assumptions!$B$3-K622))</f>
        <v>0</v>
      </c>
      <c r="M622" s="2" t="str">
        <f t="shared" si="19"/>
        <v>Current</v>
      </c>
      <c r="N622" s="4">
        <v>0</v>
      </c>
      <c r="O622" s="2" t="s">
        <v>78</v>
      </c>
      <c r="P622" s="2" t="s">
        <v>78</v>
      </c>
    </row>
    <row r="623" spans="1:16" x14ac:dyDescent="0.2">
      <c r="A623" s="2" t="s">
        <v>3658</v>
      </c>
      <c r="B623" s="2" t="s">
        <v>549</v>
      </c>
      <c r="C623" s="4">
        <v>974.11</v>
      </c>
      <c r="D623" s="4">
        <f t="shared" si="18"/>
        <v>11689.32</v>
      </c>
      <c r="E623" s="2" t="s">
        <v>36</v>
      </c>
      <c r="F623" s="4">
        <v>1361.07</v>
      </c>
      <c r="G623" s="4">
        <v>15</v>
      </c>
      <c r="H623" s="3">
        <v>46056</v>
      </c>
      <c r="I623" s="4">
        <v>802.62</v>
      </c>
      <c r="J623" s="2" t="s">
        <v>4824</v>
      </c>
      <c r="K623" s="3">
        <v>46054</v>
      </c>
      <c r="L623" s="2">
        <f>IF(G623&lt;=0,0,MAX(0,Assumptions!$B$3-K623))</f>
        <v>0</v>
      </c>
      <c r="M623" s="2" t="str">
        <f t="shared" si="19"/>
        <v>30 days</v>
      </c>
      <c r="N623" s="4">
        <v>0</v>
      </c>
      <c r="O623" s="2" t="s">
        <v>78</v>
      </c>
      <c r="P623" s="2" t="s">
        <v>78</v>
      </c>
    </row>
    <row r="624" spans="1:16" x14ac:dyDescent="0.2">
      <c r="A624" s="2" t="s">
        <v>3664</v>
      </c>
      <c r="B624" s="2" t="s">
        <v>3320</v>
      </c>
      <c r="C624" s="4">
        <v>974.11</v>
      </c>
      <c r="D624" s="4">
        <f t="shared" si="18"/>
        <v>11689.32</v>
      </c>
      <c r="E624" s="2" t="s">
        <v>36</v>
      </c>
      <c r="F624" s="4">
        <v>3929</v>
      </c>
      <c r="G624" s="4">
        <v>0</v>
      </c>
      <c r="H624" s="3">
        <v>46051</v>
      </c>
      <c r="I624" s="4">
        <v>1021.56</v>
      </c>
      <c r="J624" s="2" t="s">
        <v>4827</v>
      </c>
      <c r="K624" s="3">
        <v>46054</v>
      </c>
      <c r="L624" s="2">
        <f>IF(G624&lt;=0,0,MAX(0,Assumptions!$B$3-K624))</f>
        <v>0</v>
      </c>
      <c r="M624" s="2" t="str">
        <f t="shared" si="19"/>
        <v>Current</v>
      </c>
      <c r="N624" s="4">
        <v>0</v>
      </c>
      <c r="O624" s="2" t="s">
        <v>78</v>
      </c>
      <c r="P624" s="2" t="s">
        <v>78</v>
      </c>
    </row>
    <row r="625" spans="1:16" x14ac:dyDescent="0.2">
      <c r="A625" s="2" t="s">
        <v>3670</v>
      </c>
      <c r="B625" s="2" t="s">
        <v>2079</v>
      </c>
      <c r="C625" s="4">
        <v>974.11</v>
      </c>
      <c r="D625" s="4">
        <f t="shared" si="18"/>
        <v>11689.32</v>
      </c>
      <c r="E625" s="2" t="s">
        <v>78</v>
      </c>
      <c r="F625" s="4">
        <v>0</v>
      </c>
      <c r="G625" s="4">
        <v>0</v>
      </c>
      <c r="H625" s="3">
        <v>46042</v>
      </c>
      <c r="I625" s="4">
        <v>948.16</v>
      </c>
      <c r="J625" s="2" t="s">
        <v>4824</v>
      </c>
      <c r="K625" s="3">
        <v>46054</v>
      </c>
      <c r="L625" s="2">
        <f>IF(G625&lt;=0,0,MAX(0,Assumptions!$B$3-K625))</f>
        <v>0</v>
      </c>
      <c r="M625" s="2" t="str">
        <f t="shared" si="19"/>
        <v>Current</v>
      </c>
      <c r="N625" s="4">
        <v>0</v>
      </c>
      <c r="O625" s="2" t="s">
        <v>78</v>
      </c>
      <c r="P625" s="2" t="s">
        <v>78</v>
      </c>
    </row>
    <row r="626" spans="1:16" x14ac:dyDescent="0.2">
      <c r="A626" s="2" t="s">
        <v>3675</v>
      </c>
      <c r="B626" s="2" t="s">
        <v>3676</v>
      </c>
      <c r="C626" s="4">
        <v>1149.23</v>
      </c>
      <c r="D626" s="4">
        <f t="shared" si="18"/>
        <v>13790.76</v>
      </c>
      <c r="E626" s="2" t="s">
        <v>78</v>
      </c>
      <c r="F626" s="4">
        <v>0</v>
      </c>
      <c r="G626" s="4">
        <v>1398.93</v>
      </c>
      <c r="H626" s="3">
        <v>46021</v>
      </c>
      <c r="I626" s="4">
        <v>1348.25</v>
      </c>
      <c r="J626" s="2" t="s">
        <v>4827</v>
      </c>
      <c r="K626" s="3">
        <v>46024</v>
      </c>
      <c r="L626" s="2">
        <f>IF(G626&lt;=0,0,MAX(0,Assumptions!$B$3-K626))</f>
        <v>0</v>
      </c>
      <c r="M626" s="2" t="str">
        <f t="shared" si="19"/>
        <v>30 days</v>
      </c>
      <c r="N626" s="4">
        <v>75</v>
      </c>
      <c r="O626" s="2" t="s">
        <v>78</v>
      </c>
      <c r="P626" s="2" t="s">
        <v>78</v>
      </c>
    </row>
    <row r="627" spans="1:16" x14ac:dyDescent="0.2">
      <c r="A627" s="2" t="s">
        <v>3682</v>
      </c>
      <c r="B627" s="2" t="s">
        <v>3683</v>
      </c>
      <c r="C627" s="4">
        <v>1149.23</v>
      </c>
      <c r="D627" s="4">
        <f t="shared" si="18"/>
        <v>13790.76</v>
      </c>
      <c r="E627" s="2" t="s">
        <v>78</v>
      </c>
      <c r="F627" s="4">
        <v>0</v>
      </c>
      <c r="G627" s="4">
        <v>0</v>
      </c>
      <c r="H627" s="3">
        <v>46064</v>
      </c>
      <c r="I627" s="4">
        <v>984.76</v>
      </c>
      <c r="J627" s="2" t="s">
        <v>4826</v>
      </c>
      <c r="K627" s="3">
        <v>46054</v>
      </c>
      <c r="L627" s="2">
        <f>IF(G627&lt;=0,0,MAX(0,Assumptions!$B$3-K627))</f>
        <v>0</v>
      </c>
      <c r="M627" s="2" t="str">
        <f t="shared" si="19"/>
        <v>Current</v>
      </c>
      <c r="N627" s="4">
        <v>0</v>
      </c>
      <c r="O627" s="2" t="s">
        <v>78</v>
      </c>
      <c r="P627" s="2" t="s">
        <v>36</v>
      </c>
    </row>
    <row r="628" spans="1:16" x14ac:dyDescent="0.2">
      <c r="A628" s="2" t="s">
        <v>3689</v>
      </c>
      <c r="B628" s="2" t="s">
        <v>704</v>
      </c>
      <c r="C628" s="4">
        <v>1149.23</v>
      </c>
      <c r="D628" s="4">
        <f t="shared" si="18"/>
        <v>13790.76</v>
      </c>
      <c r="E628" s="2" t="s">
        <v>36</v>
      </c>
      <c r="F628" s="4">
        <v>3074.74</v>
      </c>
      <c r="G628" s="4">
        <v>2367.2199999999998</v>
      </c>
      <c r="H628" s="3">
        <v>45968</v>
      </c>
      <c r="I628" s="4">
        <v>1008.41</v>
      </c>
      <c r="J628" s="2" t="s">
        <v>4823</v>
      </c>
      <c r="K628" s="3">
        <v>45994</v>
      </c>
      <c r="L628" s="2">
        <f>IF(G628&lt;=0,0,MAX(0,Assumptions!$B$3-K628))</f>
        <v>0</v>
      </c>
      <c r="M628" s="2" t="str">
        <f t="shared" si="19"/>
        <v>30 days</v>
      </c>
      <c r="N628" s="4">
        <v>0</v>
      </c>
      <c r="O628" s="2" t="s">
        <v>78</v>
      </c>
      <c r="P628" s="2" t="s">
        <v>78</v>
      </c>
    </row>
    <row r="629" spans="1:16" x14ac:dyDescent="0.2">
      <c r="A629" s="2" t="s">
        <v>3693</v>
      </c>
      <c r="B629" s="2" t="s">
        <v>1685</v>
      </c>
      <c r="C629" s="4">
        <v>1149.23</v>
      </c>
      <c r="D629" s="4">
        <f t="shared" si="18"/>
        <v>13790.76</v>
      </c>
      <c r="E629" s="2" t="s">
        <v>78</v>
      </c>
      <c r="F629" s="4">
        <v>0</v>
      </c>
      <c r="G629" s="4">
        <v>0</v>
      </c>
      <c r="H629" s="3">
        <v>46069</v>
      </c>
      <c r="I629" s="4">
        <v>994.49</v>
      </c>
      <c r="J629" s="2" t="s">
        <v>4825</v>
      </c>
      <c r="K629" s="3">
        <v>46054</v>
      </c>
      <c r="L629" s="2">
        <f>IF(G629&lt;=0,0,MAX(0,Assumptions!$B$3-K629))</f>
        <v>0</v>
      </c>
      <c r="M629" s="2" t="str">
        <f t="shared" si="19"/>
        <v>Current</v>
      </c>
      <c r="N629" s="4">
        <v>0</v>
      </c>
      <c r="O629" s="2" t="s">
        <v>78</v>
      </c>
      <c r="P629" s="2" t="s">
        <v>36</v>
      </c>
    </row>
    <row r="630" spans="1:16" x14ac:dyDescent="0.2">
      <c r="A630" s="2" t="s">
        <v>3698</v>
      </c>
      <c r="B630" s="2" t="s">
        <v>1342</v>
      </c>
      <c r="C630" s="4">
        <v>1587.03</v>
      </c>
      <c r="D630" s="4">
        <f t="shared" si="18"/>
        <v>19044.36</v>
      </c>
      <c r="E630" s="2" t="s">
        <v>36</v>
      </c>
      <c r="F630" s="4">
        <v>4480.6099999999997</v>
      </c>
      <c r="G630" s="4">
        <v>0</v>
      </c>
      <c r="H630" s="3">
        <v>46030</v>
      </c>
      <c r="I630" s="4">
        <v>1582.89</v>
      </c>
      <c r="J630" s="2" t="s">
        <v>4825</v>
      </c>
      <c r="K630" s="3">
        <v>46054</v>
      </c>
      <c r="L630" s="2">
        <f>IF(G630&lt;=0,0,MAX(0,Assumptions!$B$3-K630))</f>
        <v>0</v>
      </c>
      <c r="M630" s="2" t="str">
        <f t="shared" si="19"/>
        <v>Current</v>
      </c>
      <c r="N630" s="4">
        <v>0</v>
      </c>
      <c r="O630" s="2" t="s">
        <v>78</v>
      </c>
      <c r="P630" s="2" t="s">
        <v>78</v>
      </c>
    </row>
    <row r="631" spans="1:16" x14ac:dyDescent="0.2">
      <c r="A631" s="2" t="s">
        <v>3703</v>
      </c>
      <c r="B631" s="2" t="s">
        <v>1059</v>
      </c>
      <c r="C631" s="4">
        <v>796.05</v>
      </c>
      <c r="D631" s="4">
        <f t="shared" si="18"/>
        <v>9552.5999999999985</v>
      </c>
      <c r="E631" s="2" t="s">
        <v>78</v>
      </c>
      <c r="F631" s="4">
        <v>0</v>
      </c>
      <c r="G631" s="4">
        <v>-50</v>
      </c>
      <c r="H631" s="3">
        <v>46043</v>
      </c>
      <c r="I631" s="4">
        <v>941.14</v>
      </c>
      <c r="J631" s="2" t="s">
        <v>4827</v>
      </c>
      <c r="K631" s="3">
        <v>46054</v>
      </c>
      <c r="L631" s="2">
        <f>IF(G631&lt;=0,0,MAX(0,Assumptions!$B$3-K631))</f>
        <v>0</v>
      </c>
      <c r="M631" s="2" t="str">
        <f t="shared" si="19"/>
        <v>Current</v>
      </c>
      <c r="N631" s="4">
        <v>0</v>
      </c>
      <c r="O631" s="2" t="s">
        <v>78</v>
      </c>
      <c r="P631" s="2" t="s">
        <v>78</v>
      </c>
    </row>
    <row r="632" spans="1:16" x14ac:dyDescent="0.2">
      <c r="A632" s="2" t="s">
        <v>3707</v>
      </c>
      <c r="B632" s="2" t="s">
        <v>3109</v>
      </c>
      <c r="C632" s="4">
        <v>796.05</v>
      </c>
      <c r="D632" s="4">
        <f t="shared" si="18"/>
        <v>9552.5999999999985</v>
      </c>
      <c r="E632" s="2" t="s">
        <v>78</v>
      </c>
      <c r="F632" s="4">
        <v>0</v>
      </c>
      <c r="G632" s="4">
        <v>-50</v>
      </c>
      <c r="H632" s="3">
        <v>46033</v>
      </c>
      <c r="I632" s="4">
        <v>848.57</v>
      </c>
      <c r="J632" s="2" t="s">
        <v>4824</v>
      </c>
      <c r="K632" s="3">
        <v>46054</v>
      </c>
      <c r="L632" s="2">
        <f>IF(G632&lt;=0,0,MAX(0,Assumptions!$B$3-K632))</f>
        <v>0</v>
      </c>
      <c r="M632" s="2" t="str">
        <f t="shared" si="19"/>
        <v>Current</v>
      </c>
      <c r="N632" s="4">
        <v>0</v>
      </c>
      <c r="O632" s="2" t="s">
        <v>78</v>
      </c>
      <c r="P632" s="2" t="s">
        <v>78</v>
      </c>
    </row>
    <row r="633" spans="1:16" x14ac:dyDescent="0.2">
      <c r="A633" s="2" t="s">
        <v>3713</v>
      </c>
      <c r="B633" s="2" t="s">
        <v>2506</v>
      </c>
      <c r="C633" s="4">
        <v>796.05</v>
      </c>
      <c r="D633" s="4">
        <f t="shared" si="18"/>
        <v>9552.5999999999985</v>
      </c>
      <c r="E633" s="2" t="s">
        <v>78</v>
      </c>
      <c r="F633" s="4">
        <v>0</v>
      </c>
      <c r="G633" s="4">
        <v>15</v>
      </c>
      <c r="H633" s="3">
        <v>46030</v>
      </c>
      <c r="I633" s="4">
        <v>725.67</v>
      </c>
      <c r="J633" s="2" t="s">
        <v>4824</v>
      </c>
      <c r="K633" s="3">
        <v>46054</v>
      </c>
      <c r="L633" s="2">
        <f>IF(G633&lt;=0,0,MAX(0,Assumptions!$B$3-K633))</f>
        <v>0</v>
      </c>
      <c r="M633" s="2" t="str">
        <f t="shared" si="19"/>
        <v>30 days</v>
      </c>
      <c r="N633" s="4">
        <v>0</v>
      </c>
      <c r="O633" s="2" t="s">
        <v>78</v>
      </c>
      <c r="P633" s="2" t="s">
        <v>78</v>
      </c>
    </row>
    <row r="634" spans="1:16" x14ac:dyDescent="0.2">
      <c r="A634" s="2" t="s">
        <v>3717</v>
      </c>
      <c r="B634" s="2" t="s">
        <v>1622</v>
      </c>
      <c r="C634" s="4">
        <v>796.05</v>
      </c>
      <c r="D634" s="4">
        <f t="shared" si="18"/>
        <v>9552.5999999999985</v>
      </c>
      <c r="E634" s="2" t="s">
        <v>78</v>
      </c>
      <c r="F634" s="4">
        <v>0</v>
      </c>
      <c r="G634" s="4">
        <v>0</v>
      </c>
      <c r="H634" s="3">
        <v>46043</v>
      </c>
      <c r="I634" s="4">
        <v>723.51</v>
      </c>
      <c r="J634" s="2" t="s">
        <v>4824</v>
      </c>
      <c r="K634" s="3">
        <v>46054</v>
      </c>
      <c r="L634" s="2">
        <f>IF(G634&lt;=0,0,MAX(0,Assumptions!$B$3-K634))</f>
        <v>0</v>
      </c>
      <c r="M634" s="2" t="str">
        <f t="shared" si="19"/>
        <v>Current</v>
      </c>
      <c r="N634" s="4">
        <v>0</v>
      </c>
      <c r="O634" s="2" t="s">
        <v>78</v>
      </c>
      <c r="P634" s="2" t="s">
        <v>36</v>
      </c>
    </row>
    <row r="635" spans="1:16" x14ac:dyDescent="0.2">
      <c r="A635" s="2" t="s">
        <v>3722</v>
      </c>
      <c r="B635" s="2" t="s">
        <v>3240</v>
      </c>
      <c r="C635" s="4">
        <v>796.05</v>
      </c>
      <c r="D635" s="4">
        <f t="shared" si="18"/>
        <v>9552.5999999999985</v>
      </c>
      <c r="E635" s="2" t="s">
        <v>78</v>
      </c>
      <c r="F635" s="4">
        <v>0</v>
      </c>
      <c r="G635" s="4">
        <v>0</v>
      </c>
      <c r="H635" s="3">
        <v>46036</v>
      </c>
      <c r="I635" s="4">
        <v>732.48</v>
      </c>
      <c r="J635" s="2" t="s">
        <v>4827</v>
      </c>
      <c r="K635" s="3">
        <v>46054</v>
      </c>
      <c r="L635" s="2">
        <f>IF(G635&lt;=0,0,MAX(0,Assumptions!$B$3-K635))</f>
        <v>0</v>
      </c>
      <c r="M635" s="2" t="str">
        <f t="shared" si="19"/>
        <v>Current</v>
      </c>
      <c r="N635" s="4">
        <v>0</v>
      </c>
      <c r="O635" s="2" t="s">
        <v>78</v>
      </c>
      <c r="P635" s="2" t="s">
        <v>78</v>
      </c>
    </row>
    <row r="636" spans="1:16" x14ac:dyDescent="0.2">
      <c r="A636" s="2" t="s">
        <v>3727</v>
      </c>
      <c r="B636" s="2" t="s">
        <v>3015</v>
      </c>
      <c r="C636" s="4">
        <v>796.05</v>
      </c>
      <c r="D636" s="4">
        <f t="shared" si="18"/>
        <v>9552.5999999999985</v>
      </c>
      <c r="E636" s="2" t="s">
        <v>78</v>
      </c>
      <c r="F636" s="4">
        <v>0</v>
      </c>
      <c r="G636" s="4">
        <v>25</v>
      </c>
      <c r="H636" s="3">
        <v>46058</v>
      </c>
      <c r="I636" s="4">
        <v>784.7</v>
      </c>
      <c r="J636" s="2" t="s">
        <v>4826</v>
      </c>
      <c r="K636" s="3">
        <v>46054</v>
      </c>
      <c r="L636" s="2">
        <f>IF(G636&lt;=0,0,MAX(0,Assumptions!$B$3-K636))</f>
        <v>0</v>
      </c>
      <c r="M636" s="2" t="str">
        <f t="shared" si="19"/>
        <v>30 days</v>
      </c>
      <c r="N636" s="4">
        <v>0</v>
      </c>
      <c r="O636" s="2" t="s">
        <v>78</v>
      </c>
      <c r="P636" s="2" t="s">
        <v>36</v>
      </c>
    </row>
    <row r="637" spans="1:16" x14ac:dyDescent="0.2">
      <c r="A637" s="2" t="s">
        <v>3731</v>
      </c>
      <c r="B637" s="2" t="s">
        <v>433</v>
      </c>
      <c r="C637" s="4">
        <v>977.22</v>
      </c>
      <c r="D637" s="4">
        <f t="shared" si="18"/>
        <v>11726.64</v>
      </c>
      <c r="E637" s="2" t="s">
        <v>78</v>
      </c>
      <c r="F637" s="4">
        <v>0</v>
      </c>
      <c r="G637" s="4">
        <v>0</v>
      </c>
      <c r="H637" s="3">
        <v>46048</v>
      </c>
      <c r="I637" s="4">
        <v>945.67</v>
      </c>
      <c r="J637" s="2" t="s">
        <v>4827</v>
      </c>
      <c r="K637" s="3">
        <v>46054</v>
      </c>
      <c r="L637" s="2">
        <f>IF(G637&lt;=0,0,MAX(0,Assumptions!$B$3-K637))</f>
        <v>0</v>
      </c>
      <c r="M637" s="2" t="str">
        <f t="shared" si="19"/>
        <v>Current</v>
      </c>
      <c r="N637" s="4">
        <v>0</v>
      </c>
      <c r="O637" s="2" t="s">
        <v>78</v>
      </c>
      <c r="P637" s="2" t="s">
        <v>78</v>
      </c>
    </row>
    <row r="638" spans="1:16" x14ac:dyDescent="0.2">
      <c r="A638" s="2" t="s">
        <v>3736</v>
      </c>
      <c r="B638" s="2" t="s">
        <v>412</v>
      </c>
      <c r="C638" s="4">
        <v>977.22</v>
      </c>
      <c r="D638" s="4">
        <f t="shared" si="18"/>
        <v>11726.64</v>
      </c>
      <c r="E638" s="2" t="s">
        <v>78</v>
      </c>
      <c r="F638" s="4">
        <v>0</v>
      </c>
      <c r="G638" s="4">
        <v>0</v>
      </c>
      <c r="H638" s="3">
        <v>46053</v>
      </c>
      <c r="I638" s="4">
        <v>1143.79</v>
      </c>
      <c r="J638" s="2" t="s">
        <v>4825</v>
      </c>
      <c r="K638" s="3">
        <v>46054</v>
      </c>
      <c r="L638" s="2">
        <f>IF(G638&lt;=0,0,MAX(0,Assumptions!$B$3-K638))</f>
        <v>0</v>
      </c>
      <c r="M638" s="2" t="str">
        <f t="shared" si="19"/>
        <v>Current</v>
      </c>
      <c r="N638" s="4">
        <v>0</v>
      </c>
      <c r="O638" s="2" t="s">
        <v>78</v>
      </c>
      <c r="P638" s="2" t="s">
        <v>36</v>
      </c>
    </row>
    <row r="639" spans="1:16" x14ac:dyDescent="0.2">
      <c r="A639" s="2" t="s">
        <v>3741</v>
      </c>
      <c r="B639" s="2" t="s">
        <v>3742</v>
      </c>
      <c r="C639" s="4">
        <v>977.22</v>
      </c>
      <c r="D639" s="4">
        <f t="shared" si="18"/>
        <v>11726.64</v>
      </c>
      <c r="E639" s="2" t="s">
        <v>78</v>
      </c>
      <c r="F639" s="4">
        <v>0</v>
      </c>
      <c r="G639" s="4">
        <v>0</v>
      </c>
      <c r="H639" s="3">
        <v>46072</v>
      </c>
      <c r="I639" s="4">
        <v>912.25</v>
      </c>
      <c r="J639" s="2" t="s">
        <v>4827</v>
      </c>
      <c r="K639" s="3">
        <v>46054</v>
      </c>
      <c r="L639" s="2">
        <f>IF(G639&lt;=0,0,MAX(0,Assumptions!$B$3-K639))</f>
        <v>0</v>
      </c>
      <c r="M639" s="2" t="str">
        <f t="shared" si="19"/>
        <v>Current</v>
      </c>
      <c r="N639" s="4">
        <v>0</v>
      </c>
      <c r="O639" s="2" t="s">
        <v>78</v>
      </c>
      <c r="P639" s="2" t="s">
        <v>78</v>
      </c>
    </row>
    <row r="640" spans="1:16" x14ac:dyDescent="0.2">
      <c r="A640" s="2" t="s">
        <v>3748</v>
      </c>
      <c r="B640" s="2" t="s">
        <v>3224</v>
      </c>
      <c r="C640" s="4">
        <v>977.22</v>
      </c>
      <c r="D640" s="4">
        <f t="shared" si="18"/>
        <v>11726.64</v>
      </c>
      <c r="E640" s="2" t="s">
        <v>78</v>
      </c>
      <c r="F640" s="4">
        <v>0</v>
      </c>
      <c r="G640" s="4">
        <v>0</v>
      </c>
      <c r="H640" s="3">
        <v>46048</v>
      </c>
      <c r="I640" s="4">
        <v>1011.78</v>
      </c>
      <c r="J640" s="2" t="s">
        <v>4823</v>
      </c>
      <c r="K640" s="3">
        <v>46054</v>
      </c>
      <c r="L640" s="2">
        <f>IF(G640&lt;=0,0,MAX(0,Assumptions!$B$3-K640))</f>
        <v>0</v>
      </c>
      <c r="M640" s="2" t="str">
        <f t="shared" si="19"/>
        <v>Current</v>
      </c>
      <c r="N640" s="4">
        <v>0</v>
      </c>
      <c r="O640" s="2" t="s">
        <v>78</v>
      </c>
      <c r="P640" s="2" t="s">
        <v>36</v>
      </c>
    </row>
    <row r="641" spans="1:16" x14ac:dyDescent="0.2">
      <c r="A641" s="2" t="s">
        <v>3753</v>
      </c>
      <c r="B641" s="2" t="s">
        <v>2072</v>
      </c>
      <c r="C641" s="4">
        <v>977.22</v>
      </c>
      <c r="D641" s="4">
        <f t="shared" si="18"/>
        <v>11726.64</v>
      </c>
      <c r="E641" s="2" t="s">
        <v>78</v>
      </c>
      <c r="F641" s="4">
        <v>0</v>
      </c>
      <c r="G641" s="4">
        <v>0</v>
      </c>
      <c r="H641" s="3">
        <v>46052</v>
      </c>
      <c r="I641" s="4">
        <v>844</v>
      </c>
      <c r="J641" s="2" t="s">
        <v>4827</v>
      </c>
      <c r="K641" s="3">
        <v>46054</v>
      </c>
      <c r="L641" s="2">
        <f>IF(G641&lt;=0,0,MAX(0,Assumptions!$B$3-K641))</f>
        <v>0</v>
      </c>
      <c r="M641" s="2" t="str">
        <f t="shared" si="19"/>
        <v>Current</v>
      </c>
      <c r="N641" s="4">
        <v>0</v>
      </c>
      <c r="O641" s="2" t="s">
        <v>78</v>
      </c>
      <c r="P641" s="2" t="s">
        <v>36</v>
      </c>
    </row>
    <row r="642" spans="1:16" x14ac:dyDescent="0.2">
      <c r="A642" s="2" t="s">
        <v>3758</v>
      </c>
      <c r="B642" s="2" t="s">
        <v>3759</v>
      </c>
      <c r="C642" s="4">
        <v>977.22</v>
      </c>
      <c r="D642" s="4">
        <f t="shared" ref="D642:D705" si="20">C642*12</f>
        <v>11726.64</v>
      </c>
      <c r="E642" s="2" t="s">
        <v>36</v>
      </c>
      <c r="F642" s="4">
        <v>1199.6400000000001</v>
      </c>
      <c r="G642" s="4">
        <v>0</v>
      </c>
      <c r="H642" s="3">
        <v>46064</v>
      </c>
      <c r="I642" s="4">
        <v>993</v>
      </c>
      <c r="J642" s="2" t="s">
        <v>4823</v>
      </c>
      <c r="K642" s="3">
        <v>46054</v>
      </c>
      <c r="L642" s="2">
        <f>IF(G642&lt;=0,0,MAX(0,Assumptions!$B$3-K642))</f>
        <v>0</v>
      </c>
      <c r="M642" s="2" t="str">
        <f t="shared" ref="M642:M705" si="21">IF(G642&lt;=0,"Current",IF(L642&lt;=30,"30 days",IF(L642&lt;=60,"60 days",IF(L642&lt;=90,"90 days","90+ days"))))</f>
        <v>Current</v>
      </c>
      <c r="N642" s="4">
        <v>0</v>
      </c>
      <c r="O642" s="2" t="s">
        <v>78</v>
      </c>
      <c r="P642" s="2" t="s">
        <v>78</v>
      </c>
    </row>
    <row r="643" spans="1:16" x14ac:dyDescent="0.2">
      <c r="A643" s="2" t="s">
        <v>3764</v>
      </c>
      <c r="B643" s="2" t="s">
        <v>200</v>
      </c>
      <c r="C643" s="4">
        <v>1152.9000000000001</v>
      </c>
      <c r="D643" s="4">
        <f t="shared" si="20"/>
        <v>13834.800000000001</v>
      </c>
      <c r="E643" s="2" t="s">
        <v>78</v>
      </c>
      <c r="F643" s="4">
        <v>0</v>
      </c>
      <c r="G643" s="4">
        <v>0</v>
      </c>
      <c r="H643" s="3">
        <v>46070</v>
      </c>
      <c r="I643" s="4">
        <v>923.28</v>
      </c>
      <c r="J643" s="2" t="s">
        <v>4826</v>
      </c>
      <c r="K643" s="3">
        <v>46054</v>
      </c>
      <c r="L643" s="2">
        <f>IF(G643&lt;=0,0,MAX(0,Assumptions!$B$3-K643))</f>
        <v>0</v>
      </c>
      <c r="M643" s="2" t="str">
        <f t="shared" si="21"/>
        <v>Current</v>
      </c>
      <c r="N643" s="4">
        <v>0</v>
      </c>
      <c r="O643" s="2" t="s">
        <v>78</v>
      </c>
      <c r="P643" s="2" t="s">
        <v>78</v>
      </c>
    </row>
    <row r="644" spans="1:16" x14ac:dyDescent="0.2">
      <c r="A644" s="2" t="s">
        <v>3768</v>
      </c>
      <c r="B644" s="2" t="s">
        <v>1593</v>
      </c>
      <c r="C644" s="4">
        <v>1152.9000000000001</v>
      </c>
      <c r="D644" s="4">
        <f t="shared" si="20"/>
        <v>13834.800000000001</v>
      </c>
      <c r="E644" s="2" t="s">
        <v>78</v>
      </c>
      <c r="F644" s="4">
        <v>0</v>
      </c>
      <c r="G644" s="4">
        <v>4716.9799999999996</v>
      </c>
      <c r="H644" s="3">
        <v>45967</v>
      </c>
      <c r="I644" s="4">
        <v>962.68</v>
      </c>
      <c r="J644" s="2" t="s">
        <v>4827</v>
      </c>
      <c r="K644" s="3">
        <v>45934</v>
      </c>
      <c r="L644" s="2">
        <f>IF(G644&lt;=0,0,MAX(0,Assumptions!$B$3-K644))</f>
        <v>0</v>
      </c>
      <c r="M644" s="2" t="str">
        <f t="shared" si="21"/>
        <v>30 days</v>
      </c>
      <c r="N644" s="4">
        <v>0</v>
      </c>
      <c r="O644" s="2" t="s">
        <v>78</v>
      </c>
      <c r="P644" s="2" t="s">
        <v>78</v>
      </c>
    </row>
    <row r="645" spans="1:16" x14ac:dyDescent="0.2">
      <c r="A645" s="2" t="s">
        <v>3775</v>
      </c>
      <c r="B645" s="2" t="s">
        <v>3776</v>
      </c>
      <c r="C645" s="4">
        <v>1152.9000000000001</v>
      </c>
      <c r="D645" s="4">
        <f t="shared" si="20"/>
        <v>13834.800000000001</v>
      </c>
      <c r="E645" s="2" t="s">
        <v>78</v>
      </c>
      <c r="F645" s="4">
        <v>0</v>
      </c>
      <c r="G645" s="4">
        <v>0</v>
      </c>
      <c r="H645" s="3">
        <v>46034</v>
      </c>
      <c r="I645" s="4">
        <v>922.42</v>
      </c>
      <c r="J645" s="2" t="s">
        <v>4826</v>
      </c>
      <c r="K645" s="3">
        <v>46054</v>
      </c>
      <c r="L645" s="2">
        <f>IF(G645&lt;=0,0,MAX(0,Assumptions!$B$3-K645))</f>
        <v>0</v>
      </c>
      <c r="M645" s="2" t="str">
        <f t="shared" si="21"/>
        <v>Current</v>
      </c>
      <c r="N645" s="4">
        <v>0</v>
      </c>
      <c r="O645" s="2" t="s">
        <v>78</v>
      </c>
      <c r="P645" s="2" t="s">
        <v>36</v>
      </c>
    </row>
    <row r="646" spans="1:16" x14ac:dyDescent="0.2">
      <c r="A646" s="2" t="s">
        <v>3781</v>
      </c>
      <c r="B646" s="2" t="s">
        <v>3782</v>
      </c>
      <c r="C646" s="4">
        <v>1152.9000000000001</v>
      </c>
      <c r="D646" s="4">
        <f t="shared" si="20"/>
        <v>13834.800000000001</v>
      </c>
      <c r="E646" s="2" t="s">
        <v>78</v>
      </c>
      <c r="F646" s="4">
        <v>0</v>
      </c>
      <c r="G646" s="4">
        <v>0</v>
      </c>
      <c r="H646" s="3">
        <v>46067</v>
      </c>
      <c r="I646" s="4">
        <v>1045.5999999999999</v>
      </c>
      <c r="J646" s="2" t="s">
        <v>4827</v>
      </c>
      <c r="K646" s="3">
        <v>46054</v>
      </c>
      <c r="L646" s="2">
        <f>IF(G646&lt;=0,0,MAX(0,Assumptions!$B$3-K646))</f>
        <v>0</v>
      </c>
      <c r="M646" s="2" t="str">
        <f t="shared" si="21"/>
        <v>Current</v>
      </c>
      <c r="N646" s="4">
        <v>0</v>
      </c>
      <c r="O646" s="2" t="s">
        <v>78</v>
      </c>
      <c r="P646" s="2" t="s">
        <v>78</v>
      </c>
    </row>
    <row r="647" spans="1:16" x14ac:dyDescent="0.2">
      <c r="A647" s="2" t="s">
        <v>3786</v>
      </c>
      <c r="B647" s="2" t="s">
        <v>3787</v>
      </c>
      <c r="C647" s="4">
        <v>1592.1</v>
      </c>
      <c r="D647" s="4">
        <f t="shared" si="20"/>
        <v>19105.199999999997</v>
      </c>
      <c r="E647" s="2" t="s">
        <v>78</v>
      </c>
      <c r="F647" s="4">
        <v>0</v>
      </c>
      <c r="G647" s="4">
        <v>0</v>
      </c>
      <c r="H647" s="3">
        <v>46065</v>
      </c>
      <c r="I647" s="4">
        <v>1315.04</v>
      </c>
      <c r="J647" s="2" t="s">
        <v>4824</v>
      </c>
      <c r="K647" s="3">
        <v>46054</v>
      </c>
      <c r="L647" s="2">
        <f>IF(G647&lt;=0,0,MAX(0,Assumptions!$B$3-K647))</f>
        <v>0</v>
      </c>
      <c r="M647" s="2" t="str">
        <f t="shared" si="21"/>
        <v>Current</v>
      </c>
      <c r="N647" s="4">
        <v>0</v>
      </c>
      <c r="O647" s="2" t="s">
        <v>78</v>
      </c>
      <c r="P647" s="2" t="s">
        <v>78</v>
      </c>
    </row>
    <row r="648" spans="1:16" x14ac:dyDescent="0.2">
      <c r="A648" s="2" t="s">
        <v>3793</v>
      </c>
      <c r="B648" s="2" t="s">
        <v>1055</v>
      </c>
      <c r="C648" s="4">
        <v>798.59</v>
      </c>
      <c r="D648" s="4">
        <f t="shared" si="20"/>
        <v>9583.08</v>
      </c>
      <c r="E648" s="2" t="s">
        <v>78</v>
      </c>
      <c r="F648" s="4">
        <v>0</v>
      </c>
      <c r="G648" s="4">
        <v>15</v>
      </c>
      <c r="H648" s="3">
        <v>46067</v>
      </c>
      <c r="I648" s="4">
        <v>797.44</v>
      </c>
      <c r="J648" s="2" t="s">
        <v>4826</v>
      </c>
      <c r="K648" s="3">
        <v>46054</v>
      </c>
      <c r="L648" s="2">
        <f>IF(G648&lt;=0,0,MAX(0,Assumptions!$B$3-K648))</f>
        <v>0</v>
      </c>
      <c r="M648" s="2" t="str">
        <f t="shared" si="21"/>
        <v>30 days</v>
      </c>
      <c r="N648" s="4">
        <v>0</v>
      </c>
      <c r="O648" s="2" t="s">
        <v>78</v>
      </c>
      <c r="P648" s="2" t="s">
        <v>36</v>
      </c>
    </row>
    <row r="649" spans="1:16" x14ac:dyDescent="0.2">
      <c r="A649" s="2" t="s">
        <v>3797</v>
      </c>
      <c r="B649" s="2" t="s">
        <v>2440</v>
      </c>
      <c r="C649" s="4">
        <v>798.59</v>
      </c>
      <c r="D649" s="4">
        <f t="shared" si="20"/>
        <v>9583.08</v>
      </c>
      <c r="E649" s="2" t="s">
        <v>78</v>
      </c>
      <c r="F649" s="4">
        <v>0</v>
      </c>
      <c r="G649" s="4">
        <v>0</v>
      </c>
      <c r="H649" s="3">
        <v>46043</v>
      </c>
      <c r="I649" s="4">
        <v>897.7</v>
      </c>
      <c r="J649" s="2" t="s">
        <v>4827</v>
      </c>
      <c r="K649" s="3">
        <v>46054</v>
      </c>
      <c r="L649" s="2">
        <f>IF(G649&lt;=0,0,MAX(0,Assumptions!$B$3-K649))</f>
        <v>0</v>
      </c>
      <c r="M649" s="2" t="str">
        <f t="shared" si="21"/>
        <v>Current</v>
      </c>
      <c r="N649" s="4">
        <v>0</v>
      </c>
      <c r="O649" s="2" t="s">
        <v>78</v>
      </c>
      <c r="P649" s="2" t="s">
        <v>36</v>
      </c>
    </row>
    <row r="650" spans="1:16" x14ac:dyDescent="0.2">
      <c r="A650" s="2" t="s">
        <v>3801</v>
      </c>
      <c r="B650" s="2" t="s">
        <v>3802</v>
      </c>
      <c r="C650" s="4">
        <v>798.59</v>
      </c>
      <c r="D650" s="4">
        <f t="shared" si="20"/>
        <v>9583.08</v>
      </c>
      <c r="E650" s="2" t="s">
        <v>78</v>
      </c>
      <c r="F650" s="4">
        <v>0</v>
      </c>
      <c r="G650" s="4">
        <v>0</v>
      </c>
      <c r="H650" s="3">
        <v>46047</v>
      </c>
      <c r="I650" s="4">
        <v>896.65</v>
      </c>
      <c r="J650" s="2" t="s">
        <v>4826</v>
      </c>
      <c r="K650" s="3">
        <v>46054</v>
      </c>
      <c r="L650" s="2">
        <f>IF(G650&lt;=0,0,MAX(0,Assumptions!$B$3-K650))</f>
        <v>0</v>
      </c>
      <c r="M650" s="2" t="str">
        <f t="shared" si="21"/>
        <v>Current</v>
      </c>
      <c r="N650" s="4">
        <v>0</v>
      </c>
      <c r="O650" s="2" t="s">
        <v>78</v>
      </c>
      <c r="P650" s="2" t="s">
        <v>36</v>
      </c>
    </row>
    <row r="651" spans="1:16" x14ac:dyDescent="0.2">
      <c r="A651" s="2" t="s">
        <v>3806</v>
      </c>
      <c r="B651" s="2" t="s">
        <v>3807</v>
      </c>
      <c r="C651" s="4">
        <v>798.59</v>
      </c>
      <c r="D651" s="4">
        <f t="shared" si="20"/>
        <v>9583.08</v>
      </c>
      <c r="E651" s="2" t="s">
        <v>78</v>
      </c>
      <c r="F651" s="4">
        <v>0</v>
      </c>
      <c r="G651" s="4">
        <v>25</v>
      </c>
      <c r="H651" s="3">
        <v>46058</v>
      </c>
      <c r="I651" s="4">
        <v>786.22</v>
      </c>
      <c r="J651" s="2" t="s">
        <v>4826</v>
      </c>
      <c r="K651" s="3">
        <v>46054</v>
      </c>
      <c r="L651" s="2">
        <f>IF(G651&lt;=0,0,MAX(0,Assumptions!$B$3-K651))</f>
        <v>0</v>
      </c>
      <c r="M651" s="2" t="str">
        <f t="shared" si="21"/>
        <v>30 days</v>
      </c>
      <c r="N651" s="4">
        <v>0</v>
      </c>
      <c r="O651" s="2" t="s">
        <v>78</v>
      </c>
      <c r="P651" s="2" t="s">
        <v>78</v>
      </c>
    </row>
    <row r="652" spans="1:16" x14ac:dyDescent="0.2">
      <c r="A652" s="2" t="s">
        <v>3811</v>
      </c>
      <c r="B652" s="2" t="s">
        <v>3812</v>
      </c>
      <c r="C652" s="4">
        <v>798.59</v>
      </c>
      <c r="D652" s="4">
        <f t="shared" si="20"/>
        <v>9583.08</v>
      </c>
      <c r="E652" s="2" t="s">
        <v>36</v>
      </c>
      <c r="F652" s="4">
        <v>8984.92</v>
      </c>
      <c r="G652" s="4">
        <v>1655.78</v>
      </c>
      <c r="H652" s="3">
        <v>46031</v>
      </c>
      <c r="I652" s="4">
        <v>729.1</v>
      </c>
      <c r="J652" s="2" t="s">
        <v>4827</v>
      </c>
      <c r="K652" s="3">
        <v>45994</v>
      </c>
      <c r="L652" s="2">
        <f>IF(G652&lt;=0,0,MAX(0,Assumptions!$B$3-K652))</f>
        <v>0</v>
      </c>
      <c r="M652" s="2" t="str">
        <f t="shared" si="21"/>
        <v>30 days</v>
      </c>
      <c r="N652" s="4">
        <v>50</v>
      </c>
      <c r="O652" s="2" t="s">
        <v>78</v>
      </c>
      <c r="P652" s="2" t="s">
        <v>78</v>
      </c>
    </row>
    <row r="653" spans="1:16" x14ac:dyDescent="0.2">
      <c r="A653" s="2" t="s">
        <v>3816</v>
      </c>
      <c r="B653" s="2" t="s">
        <v>600</v>
      </c>
      <c r="C653" s="4">
        <v>798.59</v>
      </c>
      <c r="D653" s="4">
        <f t="shared" si="20"/>
        <v>9583.08</v>
      </c>
      <c r="E653" s="2" t="s">
        <v>78</v>
      </c>
      <c r="F653" s="4">
        <v>0</v>
      </c>
      <c r="G653" s="4">
        <v>0</v>
      </c>
      <c r="H653" s="3">
        <v>46032</v>
      </c>
      <c r="I653" s="4">
        <v>852.34</v>
      </c>
      <c r="J653" s="2" t="s">
        <v>4824</v>
      </c>
      <c r="K653" s="3">
        <v>46054</v>
      </c>
      <c r="L653" s="2">
        <f>IF(G653&lt;=0,0,MAX(0,Assumptions!$B$3-K653))</f>
        <v>0</v>
      </c>
      <c r="M653" s="2" t="str">
        <f t="shared" si="21"/>
        <v>Current</v>
      </c>
      <c r="N653" s="4">
        <v>0</v>
      </c>
      <c r="O653" s="2" t="s">
        <v>78</v>
      </c>
      <c r="P653" s="2" t="s">
        <v>78</v>
      </c>
    </row>
    <row r="654" spans="1:16" x14ac:dyDescent="0.2">
      <c r="A654" s="2" t="s">
        <v>3820</v>
      </c>
      <c r="B654" s="2" t="s">
        <v>3076</v>
      </c>
      <c r="C654" s="4">
        <v>980.33</v>
      </c>
      <c r="D654" s="4">
        <f t="shared" si="20"/>
        <v>11763.960000000001</v>
      </c>
      <c r="E654" s="2" t="s">
        <v>78</v>
      </c>
      <c r="F654" s="4">
        <v>0</v>
      </c>
      <c r="G654" s="4">
        <v>0</v>
      </c>
      <c r="H654" s="3">
        <v>46032</v>
      </c>
      <c r="I654" s="4">
        <v>797.53</v>
      </c>
      <c r="J654" s="2" t="s">
        <v>4826</v>
      </c>
      <c r="K654" s="3">
        <v>46054</v>
      </c>
      <c r="L654" s="2">
        <f>IF(G654&lt;=0,0,MAX(0,Assumptions!$B$3-K654))</f>
        <v>0</v>
      </c>
      <c r="M654" s="2" t="str">
        <f t="shared" si="21"/>
        <v>Current</v>
      </c>
      <c r="N654" s="4">
        <v>0</v>
      </c>
      <c r="O654" s="2" t="s">
        <v>78</v>
      </c>
      <c r="P654" s="2" t="s">
        <v>36</v>
      </c>
    </row>
    <row r="655" spans="1:16" x14ac:dyDescent="0.2">
      <c r="A655" s="2" t="s">
        <v>3824</v>
      </c>
      <c r="B655" s="2" t="s">
        <v>3825</v>
      </c>
      <c r="C655" s="4">
        <v>980.33</v>
      </c>
      <c r="D655" s="4">
        <f t="shared" si="20"/>
        <v>11763.960000000001</v>
      </c>
      <c r="E655" s="2" t="s">
        <v>36</v>
      </c>
      <c r="F655" s="4">
        <v>7649.53</v>
      </c>
      <c r="G655" s="4">
        <v>0</v>
      </c>
      <c r="H655" s="3">
        <v>46049</v>
      </c>
      <c r="I655" s="4">
        <v>857.42</v>
      </c>
      <c r="J655" s="2" t="s">
        <v>4823</v>
      </c>
      <c r="K655" s="3">
        <v>46054</v>
      </c>
      <c r="L655" s="2">
        <f>IF(G655&lt;=0,0,MAX(0,Assumptions!$B$3-K655))</f>
        <v>0</v>
      </c>
      <c r="M655" s="2" t="str">
        <f t="shared" si="21"/>
        <v>Current</v>
      </c>
      <c r="N655" s="4">
        <v>0</v>
      </c>
      <c r="O655" s="2" t="s">
        <v>78</v>
      </c>
      <c r="P655" s="2" t="s">
        <v>36</v>
      </c>
    </row>
    <row r="656" spans="1:16" x14ac:dyDescent="0.2">
      <c r="A656" s="2" t="s">
        <v>3832</v>
      </c>
      <c r="B656" s="2" t="s">
        <v>3833</v>
      </c>
      <c r="C656" s="4">
        <v>980.33</v>
      </c>
      <c r="D656" s="4">
        <f t="shared" si="20"/>
        <v>11763.960000000001</v>
      </c>
      <c r="E656" s="2" t="s">
        <v>78</v>
      </c>
      <c r="F656" s="4">
        <v>0</v>
      </c>
      <c r="G656" s="4">
        <v>-50</v>
      </c>
      <c r="H656" s="3">
        <v>46045</v>
      </c>
      <c r="I656" s="4">
        <v>836.38</v>
      </c>
      <c r="J656" s="2" t="s">
        <v>4827</v>
      </c>
      <c r="K656" s="3">
        <v>46054</v>
      </c>
      <c r="L656" s="2">
        <f>IF(G656&lt;=0,0,MAX(0,Assumptions!$B$3-K656))</f>
        <v>0</v>
      </c>
      <c r="M656" s="2" t="str">
        <f t="shared" si="21"/>
        <v>Current</v>
      </c>
      <c r="N656" s="4">
        <v>0</v>
      </c>
      <c r="O656" s="2" t="s">
        <v>78</v>
      </c>
      <c r="P656" s="2" t="s">
        <v>78</v>
      </c>
    </row>
    <row r="657" spans="1:16" x14ac:dyDescent="0.2">
      <c r="A657" s="2" t="s">
        <v>3837</v>
      </c>
      <c r="B657" s="2" t="s">
        <v>988</v>
      </c>
      <c r="C657" s="4">
        <v>980.33</v>
      </c>
      <c r="D657" s="4">
        <f t="shared" si="20"/>
        <v>11763.960000000001</v>
      </c>
      <c r="E657" s="2" t="s">
        <v>78</v>
      </c>
      <c r="F657" s="4">
        <v>0</v>
      </c>
      <c r="G657" s="4">
        <v>0</v>
      </c>
      <c r="H657" s="3">
        <v>46073</v>
      </c>
      <c r="I657" s="4">
        <v>1125.0999999999999</v>
      </c>
      <c r="J657" s="2" t="s">
        <v>4826</v>
      </c>
      <c r="K657" s="3">
        <v>46054</v>
      </c>
      <c r="L657" s="2">
        <f>IF(G657&lt;=0,0,MAX(0,Assumptions!$B$3-K657))</f>
        <v>0</v>
      </c>
      <c r="M657" s="2" t="str">
        <f t="shared" si="21"/>
        <v>Current</v>
      </c>
      <c r="N657" s="4">
        <v>0</v>
      </c>
      <c r="O657" s="2" t="s">
        <v>78</v>
      </c>
      <c r="P657" s="2" t="s">
        <v>78</v>
      </c>
    </row>
    <row r="658" spans="1:16" x14ac:dyDescent="0.2">
      <c r="A658" s="2" t="s">
        <v>3842</v>
      </c>
      <c r="B658" s="2" t="s">
        <v>723</v>
      </c>
      <c r="C658" s="4">
        <v>980.33</v>
      </c>
      <c r="D658" s="4">
        <f t="shared" si="20"/>
        <v>11763.960000000001</v>
      </c>
      <c r="E658" s="2" t="s">
        <v>78</v>
      </c>
      <c r="F658" s="4">
        <v>0</v>
      </c>
      <c r="G658" s="4">
        <v>-50</v>
      </c>
      <c r="H658" s="3">
        <v>46064</v>
      </c>
      <c r="I658" s="4">
        <v>800.74</v>
      </c>
      <c r="J658" s="2" t="s">
        <v>4826</v>
      </c>
      <c r="K658" s="3">
        <v>46054</v>
      </c>
      <c r="L658" s="2">
        <f>IF(G658&lt;=0,0,MAX(0,Assumptions!$B$3-K658))</f>
        <v>0</v>
      </c>
      <c r="M658" s="2" t="str">
        <f t="shared" si="21"/>
        <v>Current</v>
      </c>
      <c r="N658" s="4">
        <v>0</v>
      </c>
      <c r="O658" s="2" t="s">
        <v>78</v>
      </c>
      <c r="P658" s="2" t="s">
        <v>36</v>
      </c>
    </row>
    <row r="659" spans="1:16" x14ac:dyDescent="0.2">
      <c r="A659" s="2" t="s">
        <v>3847</v>
      </c>
      <c r="B659" s="2" t="s">
        <v>2274</v>
      </c>
      <c r="C659" s="4">
        <v>980.33</v>
      </c>
      <c r="D659" s="4">
        <f t="shared" si="20"/>
        <v>11763.960000000001</v>
      </c>
      <c r="E659" s="2" t="s">
        <v>78</v>
      </c>
      <c r="F659" s="4">
        <v>0</v>
      </c>
      <c r="G659" s="4">
        <v>25</v>
      </c>
      <c r="H659" s="3">
        <v>46062</v>
      </c>
      <c r="I659" s="4">
        <v>948.12</v>
      </c>
      <c r="J659" s="2" t="s">
        <v>4825</v>
      </c>
      <c r="K659" s="3">
        <v>46054</v>
      </c>
      <c r="L659" s="2">
        <f>IF(G659&lt;=0,0,MAX(0,Assumptions!$B$3-K659))</f>
        <v>0</v>
      </c>
      <c r="M659" s="2" t="str">
        <f t="shared" si="21"/>
        <v>30 days</v>
      </c>
      <c r="N659" s="4">
        <v>0</v>
      </c>
      <c r="O659" s="2" t="s">
        <v>78</v>
      </c>
      <c r="P659" s="2" t="s">
        <v>78</v>
      </c>
    </row>
    <row r="660" spans="1:16" x14ac:dyDescent="0.2">
      <c r="A660" s="2" t="s">
        <v>3852</v>
      </c>
      <c r="B660" s="2" t="s">
        <v>3853</v>
      </c>
      <c r="C660" s="4">
        <v>1156.57</v>
      </c>
      <c r="D660" s="4">
        <f t="shared" si="20"/>
        <v>13878.84</v>
      </c>
      <c r="E660" s="2" t="s">
        <v>78</v>
      </c>
      <c r="F660" s="4">
        <v>0</v>
      </c>
      <c r="G660" s="4">
        <v>-50</v>
      </c>
      <c r="H660" s="3">
        <v>46052</v>
      </c>
      <c r="I660" s="4">
        <v>926.52</v>
      </c>
      <c r="J660" s="2" t="s">
        <v>4823</v>
      </c>
      <c r="K660" s="3">
        <v>46054</v>
      </c>
      <c r="L660" s="2">
        <f>IF(G660&lt;=0,0,MAX(0,Assumptions!$B$3-K660))</f>
        <v>0</v>
      </c>
      <c r="M660" s="2" t="str">
        <f t="shared" si="21"/>
        <v>Current</v>
      </c>
      <c r="N660" s="4">
        <v>0</v>
      </c>
      <c r="O660" s="2" t="s">
        <v>78</v>
      </c>
      <c r="P660" s="2" t="s">
        <v>78</v>
      </c>
    </row>
    <row r="661" spans="1:16" x14ac:dyDescent="0.2">
      <c r="A661" s="2" t="s">
        <v>3859</v>
      </c>
      <c r="B661" s="2" t="s">
        <v>849</v>
      </c>
      <c r="C661" s="4">
        <v>1156.57</v>
      </c>
      <c r="D661" s="4">
        <f t="shared" si="20"/>
        <v>13878.84</v>
      </c>
      <c r="E661" s="2" t="s">
        <v>78</v>
      </c>
      <c r="F661" s="4">
        <v>0</v>
      </c>
      <c r="G661" s="4">
        <v>0</v>
      </c>
      <c r="H661" s="3">
        <v>46052</v>
      </c>
      <c r="I661" s="4">
        <v>1240.01</v>
      </c>
      <c r="J661" s="2" t="s">
        <v>4824</v>
      </c>
      <c r="K661" s="3">
        <v>46054</v>
      </c>
      <c r="L661" s="2">
        <f>IF(G661&lt;=0,0,MAX(0,Assumptions!$B$3-K661))</f>
        <v>0</v>
      </c>
      <c r="M661" s="2" t="str">
        <f t="shared" si="21"/>
        <v>Current</v>
      </c>
      <c r="N661" s="4">
        <v>0</v>
      </c>
      <c r="O661" s="2" t="s">
        <v>78</v>
      </c>
      <c r="P661" s="2" t="s">
        <v>78</v>
      </c>
    </row>
    <row r="662" spans="1:16" x14ac:dyDescent="0.2">
      <c r="A662" s="2" t="s">
        <v>3864</v>
      </c>
      <c r="B662" s="2" t="s">
        <v>278</v>
      </c>
      <c r="C662" s="4">
        <v>1156.57</v>
      </c>
      <c r="D662" s="4">
        <f t="shared" si="20"/>
        <v>13878.84</v>
      </c>
      <c r="E662" s="2" t="s">
        <v>78</v>
      </c>
      <c r="F662" s="4">
        <v>0</v>
      </c>
      <c r="G662" s="4">
        <v>25</v>
      </c>
      <c r="H662" s="3">
        <v>46046</v>
      </c>
      <c r="I662" s="4">
        <v>1281.3499999999999</v>
      </c>
      <c r="J662" s="2" t="s">
        <v>4825</v>
      </c>
      <c r="K662" s="3">
        <v>46054</v>
      </c>
      <c r="L662" s="2">
        <f>IF(G662&lt;=0,0,MAX(0,Assumptions!$B$3-K662))</f>
        <v>0</v>
      </c>
      <c r="M662" s="2" t="str">
        <f t="shared" si="21"/>
        <v>30 days</v>
      </c>
      <c r="N662" s="4">
        <v>0</v>
      </c>
      <c r="O662" s="2" t="s">
        <v>78</v>
      </c>
      <c r="P662" s="2" t="s">
        <v>36</v>
      </c>
    </row>
    <row r="663" spans="1:16" x14ac:dyDescent="0.2">
      <c r="A663" s="2" t="s">
        <v>3870</v>
      </c>
      <c r="B663" s="2" t="s">
        <v>3483</v>
      </c>
      <c r="C663" s="4">
        <v>1156.57</v>
      </c>
      <c r="D663" s="4">
        <f t="shared" si="20"/>
        <v>13878.84</v>
      </c>
      <c r="E663" s="2" t="s">
        <v>78</v>
      </c>
      <c r="F663" s="4">
        <v>0</v>
      </c>
      <c r="G663" s="4">
        <v>15</v>
      </c>
      <c r="H663" s="3">
        <v>46044</v>
      </c>
      <c r="I663" s="4">
        <v>945.85</v>
      </c>
      <c r="J663" s="2" t="s">
        <v>4827</v>
      </c>
      <c r="K663" s="3">
        <v>46054</v>
      </c>
      <c r="L663" s="2">
        <f>IF(G663&lt;=0,0,MAX(0,Assumptions!$B$3-K663))</f>
        <v>0</v>
      </c>
      <c r="M663" s="2" t="str">
        <f t="shared" si="21"/>
        <v>30 days</v>
      </c>
      <c r="N663" s="4">
        <v>0</v>
      </c>
      <c r="O663" s="2" t="s">
        <v>78</v>
      </c>
      <c r="P663" s="2" t="s">
        <v>78</v>
      </c>
    </row>
    <row r="664" spans="1:16" x14ac:dyDescent="0.2">
      <c r="A664" s="2" t="s">
        <v>3875</v>
      </c>
      <c r="B664" s="2" t="s">
        <v>3876</v>
      </c>
      <c r="C664" s="4">
        <v>1597.17</v>
      </c>
      <c r="D664" s="4">
        <f t="shared" si="20"/>
        <v>19166.04</v>
      </c>
      <c r="E664" s="2" t="s">
        <v>36</v>
      </c>
      <c r="F664" s="4">
        <v>7551.2</v>
      </c>
      <c r="G664" s="4">
        <v>5025.55</v>
      </c>
      <c r="H664" s="3">
        <v>45923</v>
      </c>
      <c r="I664" s="4">
        <v>1424.05</v>
      </c>
      <c r="J664" s="2" t="s">
        <v>4827</v>
      </c>
      <c r="K664" s="3">
        <v>45964</v>
      </c>
      <c r="L664" s="2">
        <f>IF(G664&lt;=0,0,MAX(0,Assumptions!$B$3-K664))</f>
        <v>0</v>
      </c>
      <c r="M664" s="2" t="str">
        <f t="shared" si="21"/>
        <v>30 days</v>
      </c>
      <c r="N664" s="4">
        <v>25</v>
      </c>
      <c r="O664" s="2" t="s">
        <v>78</v>
      </c>
      <c r="P664" s="2" t="s">
        <v>78</v>
      </c>
    </row>
    <row r="665" spans="1:16" x14ac:dyDescent="0.2">
      <c r="A665" s="2" t="s">
        <v>3883</v>
      </c>
      <c r="B665" s="2" t="s">
        <v>1998</v>
      </c>
      <c r="C665" s="4">
        <v>801.12</v>
      </c>
      <c r="D665" s="4">
        <f t="shared" si="20"/>
        <v>9613.44</v>
      </c>
      <c r="E665" s="2" t="s">
        <v>78</v>
      </c>
      <c r="F665" s="4">
        <v>0</v>
      </c>
      <c r="G665" s="4">
        <v>0</v>
      </c>
      <c r="H665" s="3">
        <v>46059</v>
      </c>
      <c r="I665" s="4">
        <v>855.09</v>
      </c>
      <c r="J665" s="2" t="s">
        <v>4824</v>
      </c>
      <c r="K665" s="3">
        <v>46054</v>
      </c>
      <c r="L665" s="2">
        <f>IF(G665&lt;=0,0,MAX(0,Assumptions!$B$3-K665))</f>
        <v>0</v>
      </c>
      <c r="M665" s="2" t="str">
        <f t="shared" si="21"/>
        <v>Current</v>
      </c>
      <c r="N665" s="4">
        <v>0</v>
      </c>
      <c r="O665" s="2" t="s">
        <v>78</v>
      </c>
      <c r="P665" s="2" t="s">
        <v>36</v>
      </c>
    </row>
    <row r="666" spans="1:16" x14ac:dyDescent="0.2">
      <c r="A666" s="2" t="s">
        <v>3888</v>
      </c>
      <c r="B666" s="2" t="s">
        <v>1808</v>
      </c>
      <c r="C666" s="4">
        <v>801.12</v>
      </c>
      <c r="D666" s="4">
        <f t="shared" si="20"/>
        <v>9613.44</v>
      </c>
      <c r="E666" s="2" t="s">
        <v>78</v>
      </c>
      <c r="F666" s="4">
        <v>0</v>
      </c>
      <c r="G666" s="4">
        <v>0</v>
      </c>
      <c r="H666" s="3">
        <v>46059</v>
      </c>
      <c r="I666" s="4">
        <v>945.97</v>
      </c>
      <c r="J666" s="2" t="s">
        <v>4823</v>
      </c>
      <c r="K666" s="3">
        <v>46054</v>
      </c>
      <c r="L666" s="2">
        <f>IF(G666&lt;=0,0,MAX(0,Assumptions!$B$3-K666))</f>
        <v>0</v>
      </c>
      <c r="M666" s="2" t="str">
        <f t="shared" si="21"/>
        <v>Current</v>
      </c>
      <c r="N666" s="4">
        <v>0</v>
      </c>
      <c r="O666" s="2" t="s">
        <v>78</v>
      </c>
      <c r="P666" s="2" t="s">
        <v>36</v>
      </c>
    </row>
    <row r="667" spans="1:16" x14ac:dyDescent="0.2">
      <c r="A667" s="2" t="s">
        <v>3893</v>
      </c>
      <c r="B667" s="2" t="s">
        <v>3894</v>
      </c>
      <c r="C667" s="4">
        <v>801.12</v>
      </c>
      <c r="D667" s="4">
        <f t="shared" si="20"/>
        <v>9613.44</v>
      </c>
      <c r="E667" s="2" t="s">
        <v>36</v>
      </c>
      <c r="F667" s="4">
        <v>1146.9000000000001</v>
      </c>
      <c r="G667" s="4">
        <v>0</v>
      </c>
      <c r="H667" s="3">
        <v>46039</v>
      </c>
      <c r="I667" s="4">
        <v>901.88</v>
      </c>
      <c r="J667" s="2" t="s">
        <v>4824</v>
      </c>
      <c r="K667" s="3">
        <v>46054</v>
      </c>
      <c r="L667" s="2">
        <f>IF(G667&lt;=0,0,MAX(0,Assumptions!$B$3-K667))</f>
        <v>0</v>
      </c>
      <c r="M667" s="2" t="str">
        <f t="shared" si="21"/>
        <v>Current</v>
      </c>
      <c r="N667" s="4">
        <v>0</v>
      </c>
      <c r="O667" s="2" t="s">
        <v>78</v>
      </c>
      <c r="P667" s="2" t="s">
        <v>36</v>
      </c>
    </row>
    <row r="668" spans="1:16" x14ac:dyDescent="0.2">
      <c r="A668" s="2" t="s">
        <v>3899</v>
      </c>
      <c r="B668" s="2" t="s">
        <v>1474</v>
      </c>
      <c r="C668" s="4">
        <v>801.12</v>
      </c>
      <c r="D668" s="4">
        <f t="shared" si="20"/>
        <v>9613.44</v>
      </c>
      <c r="E668" s="2" t="s">
        <v>78</v>
      </c>
      <c r="F668" s="4">
        <v>0</v>
      </c>
      <c r="G668" s="4">
        <v>0</v>
      </c>
      <c r="H668" s="3">
        <v>46035</v>
      </c>
      <c r="I668" s="4">
        <v>853.45</v>
      </c>
      <c r="J668" s="2" t="s">
        <v>4823</v>
      </c>
      <c r="K668" s="3">
        <v>46054</v>
      </c>
      <c r="L668" s="2">
        <f>IF(G668&lt;=0,0,MAX(0,Assumptions!$B$3-K668))</f>
        <v>0</v>
      </c>
      <c r="M668" s="2" t="str">
        <f t="shared" si="21"/>
        <v>Current</v>
      </c>
      <c r="N668" s="4">
        <v>0</v>
      </c>
      <c r="O668" s="2" t="s">
        <v>78</v>
      </c>
      <c r="P668" s="2" t="s">
        <v>36</v>
      </c>
    </row>
    <row r="669" spans="1:16" x14ac:dyDescent="0.2">
      <c r="A669" s="2" t="s">
        <v>3903</v>
      </c>
      <c r="B669" s="2" t="s">
        <v>412</v>
      </c>
      <c r="C669" s="4">
        <v>801.12</v>
      </c>
      <c r="D669" s="4">
        <f t="shared" si="20"/>
        <v>9613.44</v>
      </c>
      <c r="E669" s="2" t="s">
        <v>78</v>
      </c>
      <c r="F669" s="4">
        <v>0</v>
      </c>
      <c r="G669" s="4">
        <v>0</v>
      </c>
      <c r="H669" s="3">
        <v>46066</v>
      </c>
      <c r="I669" s="4">
        <v>914.95</v>
      </c>
      <c r="J669" s="2" t="s">
        <v>4823</v>
      </c>
      <c r="K669" s="3">
        <v>46054</v>
      </c>
      <c r="L669" s="2">
        <f>IF(G669&lt;=0,0,MAX(0,Assumptions!$B$3-K669))</f>
        <v>0</v>
      </c>
      <c r="M669" s="2" t="str">
        <f t="shared" si="21"/>
        <v>Current</v>
      </c>
      <c r="N669" s="4">
        <v>0</v>
      </c>
      <c r="O669" s="2" t="s">
        <v>78</v>
      </c>
      <c r="P669" s="2" t="s">
        <v>36</v>
      </c>
    </row>
    <row r="670" spans="1:16" x14ac:dyDescent="0.2">
      <c r="A670" s="2" t="s">
        <v>3908</v>
      </c>
      <c r="B670" s="2" t="s">
        <v>2293</v>
      </c>
      <c r="C670" s="4">
        <v>801.12</v>
      </c>
      <c r="D670" s="4">
        <f t="shared" si="20"/>
        <v>9613.44</v>
      </c>
      <c r="E670" s="2" t="s">
        <v>78</v>
      </c>
      <c r="F670" s="4">
        <v>0</v>
      </c>
      <c r="G670" s="4">
        <v>25</v>
      </c>
      <c r="H670" s="3">
        <v>46073</v>
      </c>
      <c r="I670" s="4">
        <v>860.43</v>
      </c>
      <c r="J670" s="2" t="s">
        <v>4825</v>
      </c>
      <c r="K670" s="3">
        <v>46054</v>
      </c>
      <c r="L670" s="2">
        <f>IF(G670&lt;=0,0,MAX(0,Assumptions!$B$3-K670))</f>
        <v>0</v>
      </c>
      <c r="M670" s="2" t="str">
        <f t="shared" si="21"/>
        <v>30 days</v>
      </c>
      <c r="N670" s="4">
        <v>0</v>
      </c>
      <c r="O670" s="2" t="s">
        <v>78</v>
      </c>
      <c r="P670" s="2" t="s">
        <v>36</v>
      </c>
    </row>
    <row r="671" spans="1:16" x14ac:dyDescent="0.2">
      <c r="A671" s="2" t="s">
        <v>3912</v>
      </c>
      <c r="B671" s="2" t="s">
        <v>334</v>
      </c>
      <c r="C671" s="4">
        <v>983.45</v>
      </c>
      <c r="D671" s="4">
        <f t="shared" si="20"/>
        <v>11801.400000000001</v>
      </c>
      <c r="E671" s="2" t="s">
        <v>78</v>
      </c>
      <c r="F671" s="4">
        <v>0</v>
      </c>
      <c r="G671" s="4">
        <v>0</v>
      </c>
      <c r="H671" s="3">
        <v>46065</v>
      </c>
      <c r="I671" s="4">
        <v>1153.03</v>
      </c>
      <c r="J671" s="2" t="s">
        <v>4827</v>
      </c>
      <c r="K671" s="3">
        <v>46054</v>
      </c>
      <c r="L671" s="2">
        <f>IF(G671&lt;=0,0,MAX(0,Assumptions!$B$3-K671))</f>
        <v>0</v>
      </c>
      <c r="M671" s="2" t="str">
        <f t="shared" si="21"/>
        <v>Current</v>
      </c>
      <c r="N671" s="4">
        <v>0</v>
      </c>
      <c r="O671" s="2" t="s">
        <v>78</v>
      </c>
      <c r="P671" s="2" t="s">
        <v>36</v>
      </c>
    </row>
    <row r="672" spans="1:16" x14ac:dyDescent="0.2">
      <c r="A672" s="2" t="s">
        <v>3918</v>
      </c>
      <c r="B672" s="2" t="s">
        <v>3919</v>
      </c>
      <c r="C672" s="4">
        <v>983.45</v>
      </c>
      <c r="D672" s="4">
        <f t="shared" si="20"/>
        <v>11801.400000000001</v>
      </c>
      <c r="E672" s="2" t="s">
        <v>78</v>
      </c>
      <c r="F672" s="4">
        <v>0</v>
      </c>
      <c r="G672" s="4">
        <v>0</v>
      </c>
      <c r="H672" s="3">
        <v>46046</v>
      </c>
      <c r="I672" s="4">
        <v>867.05</v>
      </c>
      <c r="J672" s="2" t="s">
        <v>4826</v>
      </c>
      <c r="K672" s="3">
        <v>46054</v>
      </c>
      <c r="L672" s="2">
        <f>IF(G672&lt;=0,0,MAX(0,Assumptions!$B$3-K672))</f>
        <v>0</v>
      </c>
      <c r="M672" s="2" t="str">
        <f t="shared" si="21"/>
        <v>Current</v>
      </c>
      <c r="N672" s="4">
        <v>0</v>
      </c>
      <c r="O672" s="2" t="s">
        <v>78</v>
      </c>
      <c r="P672" s="2" t="s">
        <v>36</v>
      </c>
    </row>
    <row r="673" spans="1:16" x14ac:dyDescent="0.2">
      <c r="A673" s="2" t="s">
        <v>3924</v>
      </c>
      <c r="B673" s="2" t="s">
        <v>3925</v>
      </c>
      <c r="C673" s="4">
        <v>983.45</v>
      </c>
      <c r="D673" s="4">
        <f t="shared" si="20"/>
        <v>11801.400000000001</v>
      </c>
      <c r="E673" s="2" t="s">
        <v>78</v>
      </c>
      <c r="F673" s="4">
        <v>0</v>
      </c>
      <c r="G673" s="4">
        <v>15</v>
      </c>
      <c r="H673" s="3">
        <v>46038</v>
      </c>
      <c r="I673" s="4">
        <v>1038.1400000000001</v>
      </c>
      <c r="J673" s="2" t="s">
        <v>4825</v>
      </c>
      <c r="K673" s="3">
        <v>46054</v>
      </c>
      <c r="L673" s="2">
        <f>IF(G673&lt;=0,0,MAX(0,Assumptions!$B$3-K673))</f>
        <v>0</v>
      </c>
      <c r="M673" s="2" t="str">
        <f t="shared" si="21"/>
        <v>30 days</v>
      </c>
      <c r="N673" s="4">
        <v>0</v>
      </c>
      <c r="O673" s="2" t="s">
        <v>78</v>
      </c>
      <c r="P673" s="2" t="s">
        <v>78</v>
      </c>
    </row>
    <row r="674" spans="1:16" x14ac:dyDescent="0.2">
      <c r="A674" s="2" t="s">
        <v>3931</v>
      </c>
      <c r="B674" s="2" t="s">
        <v>3932</v>
      </c>
      <c r="C674" s="4">
        <v>983.45</v>
      </c>
      <c r="D674" s="4">
        <f t="shared" si="20"/>
        <v>11801.400000000001</v>
      </c>
      <c r="E674" s="2" t="s">
        <v>78</v>
      </c>
      <c r="F674" s="4">
        <v>0</v>
      </c>
      <c r="G674" s="4">
        <v>0</v>
      </c>
      <c r="H674" s="3">
        <v>46058</v>
      </c>
      <c r="I674" s="4">
        <v>812.72</v>
      </c>
      <c r="J674" s="2" t="s">
        <v>4827</v>
      </c>
      <c r="K674" s="3">
        <v>46054</v>
      </c>
      <c r="L674" s="2">
        <f>IF(G674&lt;=0,0,MAX(0,Assumptions!$B$3-K674))</f>
        <v>0</v>
      </c>
      <c r="M674" s="2" t="str">
        <f t="shared" si="21"/>
        <v>Current</v>
      </c>
      <c r="N674" s="4">
        <v>0</v>
      </c>
      <c r="O674" s="2" t="s">
        <v>78</v>
      </c>
      <c r="P674" s="2" t="s">
        <v>78</v>
      </c>
    </row>
    <row r="675" spans="1:16" x14ac:dyDescent="0.2">
      <c r="A675" s="2" t="s">
        <v>3938</v>
      </c>
      <c r="B675" s="2" t="s">
        <v>743</v>
      </c>
      <c r="C675" s="4">
        <v>983.45</v>
      </c>
      <c r="D675" s="4">
        <f t="shared" si="20"/>
        <v>11801.400000000001</v>
      </c>
      <c r="E675" s="2" t="s">
        <v>78</v>
      </c>
      <c r="F675" s="4">
        <v>0</v>
      </c>
      <c r="G675" s="4">
        <v>0</v>
      </c>
      <c r="H675" s="3">
        <v>46041</v>
      </c>
      <c r="I675" s="4">
        <v>1088.0899999999999</v>
      </c>
      <c r="J675" s="2" t="s">
        <v>4824</v>
      </c>
      <c r="K675" s="3">
        <v>46054</v>
      </c>
      <c r="L675" s="2">
        <f>IF(G675&lt;=0,0,MAX(0,Assumptions!$B$3-K675))</f>
        <v>0</v>
      </c>
      <c r="M675" s="2" t="str">
        <f t="shared" si="21"/>
        <v>Current</v>
      </c>
      <c r="N675" s="4">
        <v>0</v>
      </c>
      <c r="O675" s="2" t="s">
        <v>78</v>
      </c>
      <c r="P675" s="2" t="s">
        <v>36</v>
      </c>
    </row>
    <row r="676" spans="1:16" x14ac:dyDescent="0.2">
      <c r="A676" s="2" t="s">
        <v>3943</v>
      </c>
      <c r="B676" s="2" t="s">
        <v>2136</v>
      </c>
      <c r="C676" s="4">
        <v>983.45</v>
      </c>
      <c r="D676" s="4">
        <f t="shared" si="20"/>
        <v>11801.400000000001</v>
      </c>
      <c r="E676" s="2" t="s">
        <v>78</v>
      </c>
      <c r="F676" s="4">
        <v>0</v>
      </c>
      <c r="G676" s="4">
        <v>0</v>
      </c>
      <c r="H676" s="3">
        <v>46068</v>
      </c>
      <c r="I676" s="4">
        <v>926.91</v>
      </c>
      <c r="J676" s="2" t="s">
        <v>4825</v>
      </c>
      <c r="K676" s="3">
        <v>46054</v>
      </c>
      <c r="L676" s="2">
        <f>IF(G676&lt;=0,0,MAX(0,Assumptions!$B$3-K676))</f>
        <v>0</v>
      </c>
      <c r="M676" s="2" t="str">
        <f t="shared" si="21"/>
        <v>Current</v>
      </c>
      <c r="N676" s="4">
        <v>0</v>
      </c>
      <c r="O676" s="2" t="s">
        <v>78</v>
      </c>
      <c r="P676" s="2" t="s">
        <v>36</v>
      </c>
    </row>
    <row r="677" spans="1:16" x14ac:dyDescent="0.2">
      <c r="A677" s="2" t="s">
        <v>3949</v>
      </c>
      <c r="B677" s="2" t="s">
        <v>2371</v>
      </c>
      <c r="C677" s="4">
        <v>1160.25</v>
      </c>
      <c r="D677" s="4">
        <f t="shared" si="20"/>
        <v>13923</v>
      </c>
      <c r="E677" s="2" t="s">
        <v>78</v>
      </c>
      <c r="F677" s="4">
        <v>0</v>
      </c>
      <c r="G677" s="4">
        <v>0</v>
      </c>
      <c r="H677" s="3">
        <v>46072</v>
      </c>
      <c r="I677" s="4">
        <v>1350.96</v>
      </c>
      <c r="J677" s="2" t="s">
        <v>4824</v>
      </c>
      <c r="K677" s="3">
        <v>46054</v>
      </c>
      <c r="L677" s="2">
        <f>IF(G677&lt;=0,0,MAX(0,Assumptions!$B$3-K677))</f>
        <v>0</v>
      </c>
      <c r="M677" s="2" t="str">
        <f t="shared" si="21"/>
        <v>Current</v>
      </c>
      <c r="N677" s="4">
        <v>0</v>
      </c>
      <c r="O677" s="2" t="s">
        <v>78</v>
      </c>
      <c r="P677" s="2" t="s">
        <v>36</v>
      </c>
    </row>
    <row r="678" spans="1:16" x14ac:dyDescent="0.2">
      <c r="A678" s="2" t="s">
        <v>3954</v>
      </c>
      <c r="B678" s="2" t="s">
        <v>3054</v>
      </c>
      <c r="C678" s="4">
        <v>1160.25</v>
      </c>
      <c r="D678" s="4">
        <f t="shared" si="20"/>
        <v>13923</v>
      </c>
      <c r="E678" s="2" t="s">
        <v>36</v>
      </c>
      <c r="F678" s="4">
        <v>1039.18</v>
      </c>
      <c r="G678" s="4">
        <v>0</v>
      </c>
      <c r="H678" s="3">
        <v>46052</v>
      </c>
      <c r="I678" s="4">
        <v>1002.61</v>
      </c>
      <c r="J678" s="2" t="s">
        <v>4824</v>
      </c>
      <c r="K678" s="3">
        <v>46054</v>
      </c>
      <c r="L678" s="2">
        <f>IF(G678&lt;=0,0,MAX(0,Assumptions!$B$3-K678))</f>
        <v>0</v>
      </c>
      <c r="M678" s="2" t="str">
        <f t="shared" si="21"/>
        <v>Current</v>
      </c>
      <c r="N678" s="4">
        <v>0</v>
      </c>
      <c r="O678" s="2" t="s">
        <v>78</v>
      </c>
      <c r="P678" s="2" t="s">
        <v>78</v>
      </c>
    </row>
    <row r="679" spans="1:16" x14ac:dyDescent="0.2">
      <c r="A679" s="2" t="s">
        <v>3960</v>
      </c>
      <c r="B679" s="2" t="s">
        <v>3742</v>
      </c>
      <c r="C679" s="4">
        <v>1160.25</v>
      </c>
      <c r="D679" s="4">
        <f t="shared" si="20"/>
        <v>13923</v>
      </c>
      <c r="E679" s="2" t="s">
        <v>78</v>
      </c>
      <c r="F679" s="4">
        <v>0</v>
      </c>
      <c r="G679" s="4">
        <v>-50</v>
      </c>
      <c r="H679" s="3">
        <v>46072</v>
      </c>
      <c r="I679" s="4">
        <v>1086.08</v>
      </c>
      <c r="J679" s="2" t="s">
        <v>4823</v>
      </c>
      <c r="K679" s="3">
        <v>46054</v>
      </c>
      <c r="L679" s="2">
        <f>IF(G679&lt;=0,0,MAX(0,Assumptions!$B$3-K679))</f>
        <v>0</v>
      </c>
      <c r="M679" s="2" t="str">
        <f t="shared" si="21"/>
        <v>Current</v>
      </c>
      <c r="N679" s="4">
        <v>0</v>
      </c>
      <c r="O679" s="2" t="s">
        <v>78</v>
      </c>
      <c r="P679" s="2" t="s">
        <v>78</v>
      </c>
    </row>
    <row r="680" spans="1:16" x14ac:dyDescent="0.2">
      <c r="A680" s="2" t="s">
        <v>3965</v>
      </c>
      <c r="B680" s="2" t="s">
        <v>3966</v>
      </c>
      <c r="C680" s="4">
        <v>1160.25</v>
      </c>
      <c r="D680" s="4">
        <f t="shared" si="20"/>
        <v>13923</v>
      </c>
      <c r="E680" s="2" t="s">
        <v>78</v>
      </c>
      <c r="F680" s="4">
        <v>0</v>
      </c>
      <c r="G680" s="4">
        <v>0</v>
      </c>
      <c r="H680" s="3">
        <v>46060</v>
      </c>
      <c r="I680" s="4">
        <v>1005.95</v>
      </c>
      <c r="J680" s="2" t="s">
        <v>4824</v>
      </c>
      <c r="K680" s="3">
        <v>46054</v>
      </c>
      <c r="L680" s="2">
        <f>IF(G680&lt;=0,0,MAX(0,Assumptions!$B$3-K680))</f>
        <v>0</v>
      </c>
      <c r="M680" s="2" t="str">
        <f t="shared" si="21"/>
        <v>Current</v>
      </c>
      <c r="N680" s="4">
        <v>0</v>
      </c>
      <c r="O680" s="2" t="s">
        <v>78</v>
      </c>
      <c r="P680" s="2" t="s">
        <v>36</v>
      </c>
    </row>
    <row r="681" spans="1:16" x14ac:dyDescent="0.2">
      <c r="A681" s="2" t="s">
        <v>3973</v>
      </c>
      <c r="B681" s="2" t="s">
        <v>2840</v>
      </c>
      <c r="C681" s="4">
        <v>1602.25</v>
      </c>
      <c r="D681" s="4">
        <f t="shared" si="20"/>
        <v>19227</v>
      </c>
      <c r="E681" s="2" t="s">
        <v>78</v>
      </c>
      <c r="F681" s="4">
        <v>0</v>
      </c>
      <c r="G681" s="4">
        <v>0</v>
      </c>
      <c r="H681" s="3">
        <v>46059</v>
      </c>
      <c r="I681" s="4">
        <v>1816.64</v>
      </c>
      <c r="J681" s="2" t="s">
        <v>4823</v>
      </c>
      <c r="K681" s="3">
        <v>46054</v>
      </c>
      <c r="L681" s="2">
        <f>IF(G681&lt;=0,0,MAX(0,Assumptions!$B$3-K681))</f>
        <v>0</v>
      </c>
      <c r="M681" s="2" t="str">
        <f t="shared" si="21"/>
        <v>Current</v>
      </c>
      <c r="N681" s="4">
        <v>0</v>
      </c>
      <c r="O681" s="2" t="s">
        <v>78</v>
      </c>
      <c r="P681" s="2" t="s">
        <v>78</v>
      </c>
    </row>
    <row r="682" spans="1:16" x14ac:dyDescent="0.2">
      <c r="A682" s="2" t="s">
        <v>3978</v>
      </c>
      <c r="B682" s="2" t="s">
        <v>3069</v>
      </c>
      <c r="C682" s="4">
        <v>803.66</v>
      </c>
      <c r="D682" s="4">
        <f t="shared" si="20"/>
        <v>9643.92</v>
      </c>
      <c r="E682" s="2" t="s">
        <v>78</v>
      </c>
      <c r="F682" s="4">
        <v>0</v>
      </c>
      <c r="G682" s="4">
        <v>-50</v>
      </c>
      <c r="H682" s="3">
        <v>46061</v>
      </c>
      <c r="I682" s="4">
        <v>932.24</v>
      </c>
      <c r="J682" s="2" t="s">
        <v>4825</v>
      </c>
      <c r="K682" s="3">
        <v>46054</v>
      </c>
      <c r="L682" s="2">
        <f>IF(G682&lt;=0,0,MAX(0,Assumptions!$B$3-K682))</f>
        <v>0</v>
      </c>
      <c r="M682" s="2" t="str">
        <f t="shared" si="21"/>
        <v>Current</v>
      </c>
      <c r="N682" s="4">
        <v>0</v>
      </c>
      <c r="O682" s="2" t="s">
        <v>78</v>
      </c>
      <c r="P682" s="2" t="s">
        <v>36</v>
      </c>
    </row>
    <row r="683" spans="1:16" x14ac:dyDescent="0.2">
      <c r="A683" s="2" t="s">
        <v>3982</v>
      </c>
      <c r="B683" s="2" t="s">
        <v>803</v>
      </c>
      <c r="C683" s="4">
        <v>803.66</v>
      </c>
      <c r="D683" s="4">
        <f t="shared" si="20"/>
        <v>9643.92</v>
      </c>
      <c r="E683" s="2" t="s">
        <v>78</v>
      </c>
      <c r="F683" s="4">
        <v>0</v>
      </c>
      <c r="G683" s="4">
        <v>-50</v>
      </c>
      <c r="H683" s="3">
        <v>46032</v>
      </c>
      <c r="I683" s="4">
        <v>751.82</v>
      </c>
      <c r="J683" s="2" t="s">
        <v>4825</v>
      </c>
      <c r="K683" s="3">
        <v>46054</v>
      </c>
      <c r="L683" s="2">
        <f>IF(G683&lt;=0,0,MAX(0,Assumptions!$B$3-K683))</f>
        <v>0</v>
      </c>
      <c r="M683" s="2" t="str">
        <f t="shared" si="21"/>
        <v>Current</v>
      </c>
      <c r="N683" s="4">
        <v>0</v>
      </c>
      <c r="O683" s="2" t="s">
        <v>78</v>
      </c>
      <c r="P683" s="2" t="s">
        <v>36</v>
      </c>
    </row>
    <row r="684" spans="1:16" x14ac:dyDescent="0.2">
      <c r="A684" s="2" t="s">
        <v>3987</v>
      </c>
      <c r="B684" s="2" t="s">
        <v>3988</v>
      </c>
      <c r="C684" s="4">
        <v>803.66</v>
      </c>
      <c r="D684" s="4">
        <f t="shared" si="20"/>
        <v>9643.92</v>
      </c>
      <c r="E684" s="2" t="s">
        <v>36</v>
      </c>
      <c r="F684" s="4">
        <v>7665.69</v>
      </c>
      <c r="G684" s="4">
        <v>15</v>
      </c>
      <c r="H684" s="3">
        <v>46038</v>
      </c>
      <c r="I684" s="4">
        <v>889.21</v>
      </c>
      <c r="J684" s="2" t="s">
        <v>4824</v>
      </c>
      <c r="K684" s="3">
        <v>46054</v>
      </c>
      <c r="L684" s="2">
        <f>IF(G684&lt;=0,0,MAX(0,Assumptions!$B$3-K684))</f>
        <v>0</v>
      </c>
      <c r="M684" s="2" t="str">
        <f t="shared" si="21"/>
        <v>30 days</v>
      </c>
      <c r="N684" s="4">
        <v>0</v>
      </c>
      <c r="O684" s="2" t="s">
        <v>78</v>
      </c>
      <c r="P684" s="2" t="s">
        <v>78</v>
      </c>
    </row>
    <row r="685" spans="1:16" x14ac:dyDescent="0.2">
      <c r="A685" s="2" t="s">
        <v>3994</v>
      </c>
      <c r="B685" s="2" t="s">
        <v>3995</v>
      </c>
      <c r="C685" s="4">
        <v>803.66</v>
      </c>
      <c r="D685" s="4">
        <f t="shared" si="20"/>
        <v>9643.92</v>
      </c>
      <c r="E685" s="2" t="s">
        <v>78</v>
      </c>
      <c r="F685" s="4">
        <v>0</v>
      </c>
      <c r="G685" s="4">
        <v>-50</v>
      </c>
      <c r="H685" s="3">
        <v>46066</v>
      </c>
      <c r="I685" s="4">
        <v>843.83</v>
      </c>
      <c r="J685" s="2" t="s">
        <v>4825</v>
      </c>
      <c r="K685" s="3">
        <v>46054</v>
      </c>
      <c r="L685" s="2">
        <f>IF(G685&lt;=0,0,MAX(0,Assumptions!$B$3-K685))</f>
        <v>0</v>
      </c>
      <c r="M685" s="2" t="str">
        <f t="shared" si="21"/>
        <v>Current</v>
      </c>
      <c r="N685" s="4">
        <v>0</v>
      </c>
      <c r="O685" s="2" t="s">
        <v>78</v>
      </c>
      <c r="P685" s="2" t="s">
        <v>78</v>
      </c>
    </row>
    <row r="686" spans="1:16" x14ac:dyDescent="0.2">
      <c r="A686" s="2" t="s">
        <v>3999</v>
      </c>
      <c r="B686" s="2" t="s">
        <v>821</v>
      </c>
      <c r="C686" s="4">
        <v>803.66</v>
      </c>
      <c r="D686" s="4">
        <f t="shared" si="20"/>
        <v>9643.92</v>
      </c>
      <c r="E686" s="2" t="s">
        <v>78</v>
      </c>
      <c r="F686" s="4">
        <v>0</v>
      </c>
      <c r="G686" s="4">
        <v>15</v>
      </c>
      <c r="H686" s="3">
        <v>46046</v>
      </c>
      <c r="I686" s="4">
        <v>737.26</v>
      </c>
      <c r="J686" s="2" t="s">
        <v>4825</v>
      </c>
      <c r="K686" s="3">
        <v>46054</v>
      </c>
      <c r="L686" s="2">
        <f>IF(G686&lt;=0,0,MAX(0,Assumptions!$B$3-K686))</f>
        <v>0</v>
      </c>
      <c r="M686" s="2" t="str">
        <f t="shared" si="21"/>
        <v>30 days</v>
      </c>
      <c r="N686" s="4">
        <v>0</v>
      </c>
      <c r="O686" s="2" t="s">
        <v>78</v>
      </c>
      <c r="P686" s="2" t="s">
        <v>78</v>
      </c>
    </row>
    <row r="687" spans="1:16" x14ac:dyDescent="0.2">
      <c r="A687" s="2" t="s">
        <v>4003</v>
      </c>
      <c r="B687" s="2" t="s">
        <v>875</v>
      </c>
      <c r="C687" s="4">
        <v>803.66</v>
      </c>
      <c r="D687" s="4">
        <f t="shared" si="20"/>
        <v>9643.92</v>
      </c>
      <c r="E687" s="2" t="s">
        <v>36</v>
      </c>
      <c r="F687" s="4">
        <v>2695.39</v>
      </c>
      <c r="G687" s="4">
        <v>2660.82</v>
      </c>
      <c r="H687" s="3">
        <v>46005</v>
      </c>
      <c r="I687" s="4">
        <v>752.21</v>
      </c>
      <c r="J687" s="2" t="s">
        <v>4825</v>
      </c>
      <c r="K687" s="3">
        <v>45964</v>
      </c>
      <c r="L687" s="2">
        <f>IF(G687&lt;=0,0,MAX(0,Assumptions!$B$3-K687))</f>
        <v>0</v>
      </c>
      <c r="M687" s="2" t="str">
        <f t="shared" si="21"/>
        <v>30 days</v>
      </c>
      <c r="N687" s="4">
        <v>75</v>
      </c>
      <c r="O687" s="2" t="s">
        <v>78</v>
      </c>
      <c r="P687" s="2" t="s">
        <v>78</v>
      </c>
    </row>
    <row r="688" spans="1:16" x14ac:dyDescent="0.2">
      <c r="A688" s="2" t="s">
        <v>4008</v>
      </c>
      <c r="B688" s="2" t="s">
        <v>3449</v>
      </c>
      <c r="C688" s="4">
        <v>986.57</v>
      </c>
      <c r="D688" s="4">
        <f t="shared" si="20"/>
        <v>11838.84</v>
      </c>
      <c r="E688" s="2" t="s">
        <v>78</v>
      </c>
      <c r="F688" s="4">
        <v>0</v>
      </c>
      <c r="G688" s="4">
        <v>0</v>
      </c>
      <c r="H688" s="3">
        <v>46047</v>
      </c>
      <c r="I688" s="4">
        <v>798.23</v>
      </c>
      <c r="J688" s="2" t="s">
        <v>4827</v>
      </c>
      <c r="K688" s="3">
        <v>46054</v>
      </c>
      <c r="L688" s="2">
        <f>IF(G688&lt;=0,0,MAX(0,Assumptions!$B$3-K688))</f>
        <v>0</v>
      </c>
      <c r="M688" s="2" t="str">
        <f t="shared" si="21"/>
        <v>Current</v>
      </c>
      <c r="N688" s="4">
        <v>0</v>
      </c>
      <c r="O688" s="2" t="s">
        <v>78</v>
      </c>
      <c r="P688" s="2" t="s">
        <v>36</v>
      </c>
    </row>
    <row r="689" spans="1:16" x14ac:dyDescent="0.2">
      <c r="A689" s="2" t="s">
        <v>4012</v>
      </c>
      <c r="B689" s="2" t="s">
        <v>3133</v>
      </c>
      <c r="C689" s="4">
        <v>986.57</v>
      </c>
      <c r="D689" s="4">
        <f t="shared" si="20"/>
        <v>11838.84</v>
      </c>
      <c r="E689" s="2" t="s">
        <v>78</v>
      </c>
      <c r="F689" s="4">
        <v>0</v>
      </c>
      <c r="G689" s="4">
        <v>15</v>
      </c>
      <c r="H689" s="3">
        <v>46035</v>
      </c>
      <c r="I689" s="4">
        <v>1025.8499999999999</v>
      </c>
      <c r="J689" s="2" t="s">
        <v>4825</v>
      </c>
      <c r="K689" s="3">
        <v>46054</v>
      </c>
      <c r="L689" s="2">
        <f>IF(G689&lt;=0,0,MAX(0,Assumptions!$B$3-K689))</f>
        <v>0</v>
      </c>
      <c r="M689" s="2" t="str">
        <f t="shared" si="21"/>
        <v>30 days</v>
      </c>
      <c r="N689" s="4">
        <v>0</v>
      </c>
      <c r="O689" s="2" t="s">
        <v>78</v>
      </c>
      <c r="P689" s="2" t="s">
        <v>78</v>
      </c>
    </row>
    <row r="690" spans="1:16" x14ac:dyDescent="0.2">
      <c r="A690" s="2" t="s">
        <v>4017</v>
      </c>
      <c r="B690" s="2" t="s">
        <v>1754</v>
      </c>
      <c r="C690" s="4">
        <v>986.57</v>
      </c>
      <c r="D690" s="4">
        <f t="shared" si="20"/>
        <v>11838.84</v>
      </c>
      <c r="E690" s="2" t="s">
        <v>78</v>
      </c>
      <c r="F690" s="4">
        <v>0</v>
      </c>
      <c r="G690" s="4">
        <v>-50</v>
      </c>
      <c r="H690" s="3">
        <v>46053</v>
      </c>
      <c r="I690" s="4">
        <v>1139.8499999999999</v>
      </c>
      <c r="J690" s="2" t="s">
        <v>4826</v>
      </c>
      <c r="K690" s="3">
        <v>46054</v>
      </c>
      <c r="L690" s="2">
        <f>IF(G690&lt;=0,0,MAX(0,Assumptions!$B$3-K690))</f>
        <v>0</v>
      </c>
      <c r="M690" s="2" t="str">
        <f t="shared" si="21"/>
        <v>Current</v>
      </c>
      <c r="N690" s="4">
        <v>0</v>
      </c>
      <c r="O690" s="2" t="s">
        <v>78</v>
      </c>
      <c r="P690" s="2" t="s">
        <v>36</v>
      </c>
    </row>
    <row r="691" spans="1:16" x14ac:dyDescent="0.2">
      <c r="A691" s="2" t="s">
        <v>4023</v>
      </c>
      <c r="B691" s="2" t="s">
        <v>2926</v>
      </c>
      <c r="C691" s="4">
        <v>986.57</v>
      </c>
      <c r="D691" s="4">
        <f t="shared" si="20"/>
        <v>11838.84</v>
      </c>
      <c r="E691" s="2" t="s">
        <v>36</v>
      </c>
      <c r="F691" s="4">
        <v>917.17</v>
      </c>
      <c r="G691" s="4">
        <v>0</v>
      </c>
      <c r="H691" s="3">
        <v>46038</v>
      </c>
      <c r="I691" s="4">
        <v>1087.1400000000001</v>
      </c>
      <c r="J691" s="2" t="s">
        <v>4825</v>
      </c>
      <c r="K691" s="3">
        <v>46054</v>
      </c>
      <c r="L691" s="2">
        <f>IF(G691&lt;=0,0,MAX(0,Assumptions!$B$3-K691))</f>
        <v>0</v>
      </c>
      <c r="M691" s="2" t="str">
        <f t="shared" si="21"/>
        <v>Current</v>
      </c>
      <c r="N691" s="4">
        <v>0</v>
      </c>
      <c r="O691" s="2" t="s">
        <v>78</v>
      </c>
      <c r="P691" s="2" t="s">
        <v>78</v>
      </c>
    </row>
    <row r="692" spans="1:16" x14ac:dyDescent="0.2">
      <c r="A692" s="2" t="s">
        <v>4028</v>
      </c>
      <c r="B692" s="2" t="s">
        <v>3879</v>
      </c>
      <c r="C692" s="4">
        <v>986.57</v>
      </c>
      <c r="D692" s="4">
        <f t="shared" si="20"/>
        <v>11838.84</v>
      </c>
      <c r="E692" s="2" t="s">
        <v>78</v>
      </c>
      <c r="F692" s="4">
        <v>0</v>
      </c>
      <c r="G692" s="4">
        <v>15</v>
      </c>
      <c r="H692" s="3">
        <v>46054</v>
      </c>
      <c r="I692" s="4">
        <v>1146.92</v>
      </c>
      <c r="J692" s="2" t="s">
        <v>4827</v>
      </c>
      <c r="K692" s="3">
        <v>46054</v>
      </c>
      <c r="L692" s="2">
        <f>IF(G692&lt;=0,0,MAX(0,Assumptions!$B$3-K692))</f>
        <v>0</v>
      </c>
      <c r="M692" s="2" t="str">
        <f t="shared" si="21"/>
        <v>30 days</v>
      </c>
      <c r="N692" s="4">
        <v>0</v>
      </c>
      <c r="O692" s="2" t="s">
        <v>78</v>
      </c>
      <c r="P692" s="2" t="s">
        <v>78</v>
      </c>
    </row>
    <row r="693" spans="1:16" x14ac:dyDescent="0.2">
      <c r="A693" s="2" t="s">
        <v>4032</v>
      </c>
      <c r="B693" s="2" t="s">
        <v>4033</v>
      </c>
      <c r="C693" s="4">
        <v>986.57</v>
      </c>
      <c r="D693" s="4">
        <f t="shared" si="20"/>
        <v>11838.84</v>
      </c>
      <c r="E693" s="2" t="s">
        <v>78</v>
      </c>
      <c r="F693" s="4">
        <v>0</v>
      </c>
      <c r="G693" s="4">
        <v>0</v>
      </c>
      <c r="H693" s="3">
        <v>46047</v>
      </c>
      <c r="I693" s="4">
        <v>825.94</v>
      </c>
      <c r="J693" s="2" t="s">
        <v>4827</v>
      </c>
      <c r="K693" s="3">
        <v>46054</v>
      </c>
      <c r="L693" s="2">
        <f>IF(G693&lt;=0,0,MAX(0,Assumptions!$B$3-K693))</f>
        <v>0</v>
      </c>
      <c r="M693" s="2" t="str">
        <f t="shared" si="21"/>
        <v>Current</v>
      </c>
      <c r="N693" s="4">
        <v>0</v>
      </c>
      <c r="O693" s="2" t="s">
        <v>78</v>
      </c>
      <c r="P693" s="2" t="s">
        <v>36</v>
      </c>
    </row>
    <row r="694" spans="1:16" x14ac:dyDescent="0.2">
      <c r="A694" s="2" t="s">
        <v>4037</v>
      </c>
      <c r="B694" s="2" t="s">
        <v>2866</v>
      </c>
      <c r="C694" s="4">
        <v>1163.92</v>
      </c>
      <c r="D694" s="4">
        <f t="shared" si="20"/>
        <v>13967.04</v>
      </c>
      <c r="E694" s="2" t="s">
        <v>36</v>
      </c>
      <c r="F694" s="4">
        <v>8566.36</v>
      </c>
      <c r="G694" s="4">
        <v>0</v>
      </c>
      <c r="H694" s="3">
        <v>46067</v>
      </c>
      <c r="I694" s="4">
        <v>1346.14</v>
      </c>
      <c r="J694" s="2" t="s">
        <v>4825</v>
      </c>
      <c r="K694" s="3">
        <v>46054</v>
      </c>
      <c r="L694" s="2">
        <f>IF(G694&lt;=0,0,MAX(0,Assumptions!$B$3-K694))</f>
        <v>0</v>
      </c>
      <c r="M694" s="2" t="str">
        <f t="shared" si="21"/>
        <v>Current</v>
      </c>
      <c r="N694" s="4">
        <v>0</v>
      </c>
      <c r="O694" s="2" t="s">
        <v>78</v>
      </c>
      <c r="P694" s="2" t="s">
        <v>36</v>
      </c>
    </row>
    <row r="695" spans="1:16" x14ac:dyDescent="0.2">
      <c r="A695" s="2" t="s">
        <v>4042</v>
      </c>
      <c r="B695" s="2" t="s">
        <v>151</v>
      </c>
      <c r="C695" s="4">
        <v>1163.92</v>
      </c>
      <c r="D695" s="4">
        <f t="shared" si="20"/>
        <v>13967.04</v>
      </c>
      <c r="E695" s="2" t="s">
        <v>78</v>
      </c>
      <c r="F695" s="4">
        <v>0</v>
      </c>
      <c r="G695" s="4">
        <v>0</v>
      </c>
      <c r="H695" s="3">
        <v>46063</v>
      </c>
      <c r="I695" s="4">
        <v>1206.22</v>
      </c>
      <c r="J695" s="2" t="s">
        <v>4824</v>
      </c>
      <c r="K695" s="3">
        <v>46054</v>
      </c>
      <c r="L695" s="2">
        <f>IF(G695&lt;=0,0,MAX(0,Assumptions!$B$3-K695))</f>
        <v>0</v>
      </c>
      <c r="M695" s="2" t="str">
        <f t="shared" si="21"/>
        <v>Current</v>
      </c>
      <c r="N695" s="4">
        <v>0</v>
      </c>
      <c r="O695" s="2" t="s">
        <v>78</v>
      </c>
      <c r="P695" s="2" t="s">
        <v>36</v>
      </c>
    </row>
    <row r="696" spans="1:16" x14ac:dyDescent="0.2">
      <c r="A696" s="2" t="s">
        <v>4048</v>
      </c>
      <c r="B696" s="2" t="s">
        <v>3327</v>
      </c>
      <c r="C696" s="4">
        <v>1163.92</v>
      </c>
      <c r="D696" s="4">
        <f t="shared" si="20"/>
        <v>13967.04</v>
      </c>
      <c r="E696" s="2" t="s">
        <v>78</v>
      </c>
      <c r="F696" s="4">
        <v>0</v>
      </c>
      <c r="G696" s="4">
        <v>0</v>
      </c>
      <c r="H696" s="3">
        <v>46032</v>
      </c>
      <c r="I696" s="4">
        <v>1358.6</v>
      </c>
      <c r="J696" s="2" t="s">
        <v>4825</v>
      </c>
      <c r="K696" s="3">
        <v>46054</v>
      </c>
      <c r="L696" s="2">
        <f>IF(G696&lt;=0,0,MAX(0,Assumptions!$B$3-K696))</f>
        <v>0</v>
      </c>
      <c r="M696" s="2" t="str">
        <f t="shared" si="21"/>
        <v>Current</v>
      </c>
      <c r="N696" s="4">
        <v>0</v>
      </c>
      <c r="O696" s="2" t="s">
        <v>78</v>
      </c>
      <c r="P696" s="2" t="s">
        <v>36</v>
      </c>
    </row>
    <row r="697" spans="1:16" x14ac:dyDescent="0.2">
      <c r="A697" s="2" t="s">
        <v>4053</v>
      </c>
      <c r="B697" s="2" t="s">
        <v>4054</v>
      </c>
      <c r="C697" s="4">
        <v>1163.92</v>
      </c>
      <c r="D697" s="4">
        <f t="shared" si="20"/>
        <v>13967.04</v>
      </c>
      <c r="E697" s="2" t="s">
        <v>78</v>
      </c>
      <c r="F697" s="4">
        <v>0</v>
      </c>
      <c r="G697" s="4">
        <v>0</v>
      </c>
      <c r="H697" s="3">
        <v>46063</v>
      </c>
      <c r="I697" s="4">
        <v>1274.6600000000001</v>
      </c>
      <c r="J697" s="2" t="s">
        <v>4824</v>
      </c>
      <c r="K697" s="3">
        <v>46054</v>
      </c>
      <c r="L697" s="2">
        <f>IF(G697&lt;=0,0,MAX(0,Assumptions!$B$3-K697))</f>
        <v>0</v>
      </c>
      <c r="M697" s="2" t="str">
        <f t="shared" si="21"/>
        <v>Current</v>
      </c>
      <c r="N697" s="4">
        <v>0</v>
      </c>
      <c r="O697" s="2" t="s">
        <v>78</v>
      </c>
      <c r="P697" s="2" t="s">
        <v>36</v>
      </c>
    </row>
    <row r="698" spans="1:16" x14ac:dyDescent="0.2">
      <c r="A698" s="2" t="s">
        <v>4059</v>
      </c>
      <c r="B698" s="2" t="s">
        <v>4060</v>
      </c>
      <c r="C698" s="4">
        <v>1607.33</v>
      </c>
      <c r="D698" s="4">
        <f t="shared" si="20"/>
        <v>19287.96</v>
      </c>
      <c r="E698" s="2" t="s">
        <v>78</v>
      </c>
      <c r="F698" s="4">
        <v>0</v>
      </c>
      <c r="G698" s="4">
        <v>0</v>
      </c>
      <c r="H698" s="3">
        <v>46037</v>
      </c>
      <c r="I698" s="4">
        <v>1796.78</v>
      </c>
      <c r="J698" s="2" t="s">
        <v>4826</v>
      </c>
      <c r="K698" s="3">
        <v>46054</v>
      </c>
      <c r="L698" s="2">
        <f>IF(G698&lt;=0,0,MAX(0,Assumptions!$B$3-K698))</f>
        <v>0</v>
      </c>
      <c r="M698" s="2" t="str">
        <f t="shared" si="21"/>
        <v>Current</v>
      </c>
      <c r="N698" s="4">
        <v>0</v>
      </c>
      <c r="O698" s="2" t="s">
        <v>78</v>
      </c>
      <c r="P698" s="2" t="s">
        <v>36</v>
      </c>
    </row>
    <row r="699" spans="1:16" x14ac:dyDescent="0.2">
      <c r="A699" s="2" t="s">
        <v>4067</v>
      </c>
      <c r="B699" s="2" t="s">
        <v>2067</v>
      </c>
      <c r="C699" s="4">
        <v>806.2</v>
      </c>
      <c r="D699" s="4">
        <f t="shared" si="20"/>
        <v>9674.4000000000015</v>
      </c>
      <c r="E699" s="2" t="s">
        <v>78</v>
      </c>
      <c r="F699" s="4">
        <v>0</v>
      </c>
      <c r="G699" s="4">
        <v>0</v>
      </c>
      <c r="H699" s="3">
        <v>46061</v>
      </c>
      <c r="I699" s="4">
        <v>911.01</v>
      </c>
      <c r="J699" s="2" t="s">
        <v>4827</v>
      </c>
      <c r="K699" s="3">
        <v>46054</v>
      </c>
      <c r="L699" s="2">
        <f>IF(G699&lt;=0,0,MAX(0,Assumptions!$B$3-K699))</f>
        <v>0</v>
      </c>
      <c r="M699" s="2" t="str">
        <f t="shared" si="21"/>
        <v>Current</v>
      </c>
      <c r="N699" s="4">
        <v>0</v>
      </c>
      <c r="O699" s="2" t="s">
        <v>78</v>
      </c>
      <c r="P699" s="2" t="s">
        <v>36</v>
      </c>
    </row>
    <row r="700" spans="1:16" x14ac:dyDescent="0.2">
      <c r="A700" s="2" t="s">
        <v>4071</v>
      </c>
      <c r="B700" s="2" t="s">
        <v>321</v>
      </c>
      <c r="C700" s="4">
        <v>806.2</v>
      </c>
      <c r="D700" s="4">
        <f t="shared" si="20"/>
        <v>9674.4000000000015</v>
      </c>
      <c r="E700" s="2" t="s">
        <v>78</v>
      </c>
      <c r="F700" s="4">
        <v>0</v>
      </c>
      <c r="G700" s="4">
        <v>0</v>
      </c>
      <c r="H700" s="3">
        <v>46056</v>
      </c>
      <c r="I700" s="4">
        <v>725.27</v>
      </c>
      <c r="J700" s="2" t="s">
        <v>4825</v>
      </c>
      <c r="K700" s="3">
        <v>46054</v>
      </c>
      <c r="L700" s="2">
        <f>IF(G700&lt;=0,0,MAX(0,Assumptions!$B$3-K700))</f>
        <v>0</v>
      </c>
      <c r="M700" s="2" t="str">
        <f t="shared" si="21"/>
        <v>Current</v>
      </c>
      <c r="N700" s="4">
        <v>0</v>
      </c>
      <c r="O700" s="2" t="s">
        <v>78</v>
      </c>
      <c r="P700" s="2" t="s">
        <v>36</v>
      </c>
    </row>
    <row r="701" spans="1:16" x14ac:dyDescent="0.2">
      <c r="A701" s="2" t="s">
        <v>4075</v>
      </c>
      <c r="B701" s="2" t="s">
        <v>3756</v>
      </c>
      <c r="C701" s="4">
        <v>806.2</v>
      </c>
      <c r="D701" s="4">
        <f t="shared" si="20"/>
        <v>9674.4000000000015</v>
      </c>
      <c r="E701" s="2" t="s">
        <v>78</v>
      </c>
      <c r="F701" s="4">
        <v>0</v>
      </c>
      <c r="G701" s="4">
        <v>0</v>
      </c>
      <c r="H701" s="3">
        <v>46066</v>
      </c>
      <c r="I701" s="4">
        <v>775.74</v>
      </c>
      <c r="J701" s="2" t="s">
        <v>4826</v>
      </c>
      <c r="K701" s="3">
        <v>46054</v>
      </c>
      <c r="L701" s="2">
        <f>IF(G701&lt;=0,0,MAX(0,Assumptions!$B$3-K701))</f>
        <v>0</v>
      </c>
      <c r="M701" s="2" t="str">
        <f t="shared" si="21"/>
        <v>Current</v>
      </c>
      <c r="N701" s="4">
        <v>0</v>
      </c>
      <c r="O701" s="2" t="s">
        <v>78</v>
      </c>
      <c r="P701" s="2" t="s">
        <v>36</v>
      </c>
    </row>
    <row r="702" spans="1:16" x14ac:dyDescent="0.2">
      <c r="A702" s="2" t="s">
        <v>4079</v>
      </c>
      <c r="B702" s="2" t="s">
        <v>3925</v>
      </c>
      <c r="C702" s="4">
        <v>806.2</v>
      </c>
      <c r="D702" s="4">
        <f t="shared" si="20"/>
        <v>9674.4000000000015</v>
      </c>
      <c r="E702" s="2" t="s">
        <v>78</v>
      </c>
      <c r="F702" s="4">
        <v>0</v>
      </c>
      <c r="G702" s="4">
        <v>0</v>
      </c>
      <c r="H702" s="3">
        <v>46031</v>
      </c>
      <c r="I702" s="4">
        <v>725.19</v>
      </c>
      <c r="J702" s="2" t="s">
        <v>4825</v>
      </c>
      <c r="K702" s="3">
        <v>46054</v>
      </c>
      <c r="L702" s="2">
        <f>IF(G702&lt;=0,0,MAX(0,Assumptions!$B$3-K702))</f>
        <v>0</v>
      </c>
      <c r="M702" s="2" t="str">
        <f t="shared" si="21"/>
        <v>Current</v>
      </c>
      <c r="N702" s="4">
        <v>0</v>
      </c>
      <c r="O702" s="2" t="s">
        <v>78</v>
      </c>
      <c r="P702" s="2" t="s">
        <v>78</v>
      </c>
    </row>
    <row r="703" spans="1:16" x14ac:dyDescent="0.2">
      <c r="A703" s="2" t="s">
        <v>4084</v>
      </c>
      <c r="B703" s="2" t="s">
        <v>1048</v>
      </c>
      <c r="C703" s="4">
        <v>806.2</v>
      </c>
      <c r="D703" s="4">
        <f t="shared" si="20"/>
        <v>9674.4000000000015</v>
      </c>
      <c r="E703" s="2" t="s">
        <v>36</v>
      </c>
      <c r="F703" s="4">
        <v>1113.69</v>
      </c>
      <c r="G703" s="4">
        <v>0</v>
      </c>
      <c r="H703" s="3">
        <v>46065</v>
      </c>
      <c r="I703" s="4">
        <v>956.22</v>
      </c>
      <c r="J703" s="2" t="s">
        <v>4827</v>
      </c>
      <c r="K703" s="3">
        <v>46054</v>
      </c>
      <c r="L703" s="2">
        <f>IF(G703&lt;=0,0,MAX(0,Assumptions!$B$3-K703))</f>
        <v>0</v>
      </c>
      <c r="M703" s="2" t="str">
        <f t="shared" si="21"/>
        <v>Current</v>
      </c>
      <c r="N703" s="4">
        <v>0</v>
      </c>
      <c r="O703" s="2" t="s">
        <v>78</v>
      </c>
      <c r="P703" s="2" t="s">
        <v>36</v>
      </c>
    </row>
    <row r="704" spans="1:16" x14ac:dyDescent="0.2">
      <c r="A704" s="2" t="s">
        <v>4088</v>
      </c>
      <c r="B704" s="2" t="s">
        <v>2225</v>
      </c>
      <c r="C704" s="4">
        <v>806.2</v>
      </c>
      <c r="D704" s="4">
        <f t="shared" si="20"/>
        <v>9674.4000000000015</v>
      </c>
      <c r="E704" s="2" t="s">
        <v>78</v>
      </c>
      <c r="F704" s="4">
        <v>0</v>
      </c>
      <c r="G704" s="4">
        <v>0</v>
      </c>
      <c r="H704" s="3">
        <v>46073</v>
      </c>
      <c r="I704" s="4">
        <v>778.26</v>
      </c>
      <c r="J704" s="2" t="s">
        <v>4827</v>
      </c>
      <c r="K704" s="3">
        <v>46054</v>
      </c>
      <c r="L704" s="2">
        <f>IF(G704&lt;=0,0,MAX(0,Assumptions!$B$3-K704))</f>
        <v>0</v>
      </c>
      <c r="M704" s="2" t="str">
        <f t="shared" si="21"/>
        <v>Current</v>
      </c>
      <c r="N704" s="4">
        <v>0</v>
      </c>
      <c r="O704" s="2" t="s">
        <v>78</v>
      </c>
      <c r="P704" s="2" t="s">
        <v>78</v>
      </c>
    </row>
    <row r="705" spans="1:16" x14ac:dyDescent="0.2">
      <c r="A705" s="2" t="s">
        <v>4092</v>
      </c>
      <c r="B705" s="2" t="s">
        <v>511</v>
      </c>
      <c r="C705" s="4">
        <v>989.68</v>
      </c>
      <c r="D705" s="4">
        <f t="shared" si="20"/>
        <v>11876.16</v>
      </c>
      <c r="E705" s="2" t="s">
        <v>78</v>
      </c>
      <c r="F705" s="4">
        <v>0</v>
      </c>
      <c r="G705" s="4">
        <v>0</v>
      </c>
      <c r="H705" s="3">
        <v>46050</v>
      </c>
      <c r="I705" s="4">
        <v>920.45</v>
      </c>
      <c r="J705" s="2" t="s">
        <v>4823</v>
      </c>
      <c r="K705" s="3">
        <v>46054</v>
      </c>
      <c r="L705" s="2">
        <f>IF(G705&lt;=0,0,MAX(0,Assumptions!$B$3-K705))</f>
        <v>0</v>
      </c>
      <c r="M705" s="2" t="str">
        <f t="shared" si="21"/>
        <v>Current</v>
      </c>
      <c r="N705" s="4">
        <v>0</v>
      </c>
      <c r="O705" s="2" t="s">
        <v>78</v>
      </c>
      <c r="P705" s="2" t="s">
        <v>36</v>
      </c>
    </row>
    <row r="706" spans="1:16" x14ac:dyDescent="0.2">
      <c r="A706" s="2" t="s">
        <v>4097</v>
      </c>
      <c r="B706" s="2" t="s">
        <v>4098</v>
      </c>
      <c r="C706" s="4">
        <v>989.68</v>
      </c>
      <c r="D706" s="4">
        <f t="shared" ref="D706:D769" si="22">C706*12</f>
        <v>11876.16</v>
      </c>
      <c r="E706" s="2" t="s">
        <v>78</v>
      </c>
      <c r="F706" s="4">
        <v>0</v>
      </c>
      <c r="G706" s="4">
        <v>25</v>
      </c>
      <c r="H706" s="3">
        <v>46033</v>
      </c>
      <c r="I706" s="4">
        <v>849.51</v>
      </c>
      <c r="J706" s="2" t="s">
        <v>4823</v>
      </c>
      <c r="K706" s="3">
        <v>46054</v>
      </c>
      <c r="L706" s="2">
        <f>IF(G706&lt;=0,0,MAX(0,Assumptions!$B$3-K706))</f>
        <v>0</v>
      </c>
      <c r="M706" s="2" t="str">
        <f t="shared" ref="M706:M769" si="23">IF(G706&lt;=0,"Current",IF(L706&lt;=30,"30 days",IF(L706&lt;=60,"60 days",IF(L706&lt;=90,"90 days","90+ days"))))</f>
        <v>30 days</v>
      </c>
      <c r="N706" s="4">
        <v>0</v>
      </c>
      <c r="O706" s="2" t="s">
        <v>78</v>
      </c>
      <c r="P706" s="2" t="s">
        <v>78</v>
      </c>
    </row>
    <row r="707" spans="1:16" x14ac:dyDescent="0.2">
      <c r="A707" s="2" t="s">
        <v>4105</v>
      </c>
      <c r="B707" s="2" t="s">
        <v>3025</v>
      </c>
      <c r="C707" s="4">
        <v>989.68</v>
      </c>
      <c r="D707" s="4">
        <f t="shared" si="22"/>
        <v>11876.16</v>
      </c>
      <c r="E707" s="2" t="s">
        <v>78</v>
      </c>
      <c r="F707" s="4">
        <v>0</v>
      </c>
      <c r="G707" s="4">
        <v>25</v>
      </c>
      <c r="H707" s="3">
        <v>46042</v>
      </c>
      <c r="I707" s="4">
        <v>985.29</v>
      </c>
      <c r="J707" s="2" t="s">
        <v>4827</v>
      </c>
      <c r="K707" s="3">
        <v>46054</v>
      </c>
      <c r="L707" s="2">
        <f>IF(G707&lt;=0,0,MAX(0,Assumptions!$B$3-K707))</f>
        <v>0</v>
      </c>
      <c r="M707" s="2" t="str">
        <f t="shared" si="23"/>
        <v>30 days</v>
      </c>
      <c r="N707" s="4">
        <v>0</v>
      </c>
      <c r="O707" s="2" t="s">
        <v>78</v>
      </c>
      <c r="P707" s="2" t="s">
        <v>78</v>
      </c>
    </row>
    <row r="708" spans="1:16" x14ac:dyDescent="0.2">
      <c r="A708" s="2" t="s">
        <v>4110</v>
      </c>
      <c r="B708" s="2" t="s">
        <v>3502</v>
      </c>
      <c r="C708" s="4">
        <v>989.68</v>
      </c>
      <c r="D708" s="4">
        <f t="shared" si="22"/>
        <v>11876.16</v>
      </c>
      <c r="E708" s="2" t="s">
        <v>78</v>
      </c>
      <c r="F708" s="4">
        <v>0</v>
      </c>
      <c r="G708" s="4">
        <v>0</v>
      </c>
      <c r="H708" s="3">
        <v>46070</v>
      </c>
      <c r="I708" s="4">
        <v>1101.08</v>
      </c>
      <c r="J708" s="2" t="s">
        <v>4825</v>
      </c>
      <c r="K708" s="3">
        <v>46054</v>
      </c>
      <c r="L708" s="2">
        <f>IF(G708&lt;=0,0,MAX(0,Assumptions!$B$3-K708))</f>
        <v>0</v>
      </c>
      <c r="M708" s="2" t="str">
        <f t="shared" si="23"/>
        <v>Current</v>
      </c>
      <c r="N708" s="4">
        <v>0</v>
      </c>
      <c r="O708" s="2" t="s">
        <v>78</v>
      </c>
      <c r="P708" s="2" t="s">
        <v>36</v>
      </c>
    </row>
    <row r="709" spans="1:16" x14ac:dyDescent="0.2">
      <c r="A709" s="2" t="s">
        <v>4115</v>
      </c>
      <c r="B709" s="2" t="s">
        <v>4116</v>
      </c>
      <c r="C709" s="4">
        <v>989.68</v>
      </c>
      <c r="D709" s="4">
        <f t="shared" si="22"/>
        <v>11876.16</v>
      </c>
      <c r="E709" s="2" t="s">
        <v>78</v>
      </c>
      <c r="F709" s="4">
        <v>0</v>
      </c>
      <c r="G709" s="4">
        <v>0</v>
      </c>
      <c r="H709" s="3">
        <v>46055</v>
      </c>
      <c r="I709" s="4">
        <v>847.44</v>
      </c>
      <c r="J709" s="2" t="s">
        <v>4827</v>
      </c>
      <c r="K709" s="3">
        <v>46054</v>
      </c>
      <c r="L709" s="2">
        <f>IF(G709&lt;=0,0,MAX(0,Assumptions!$B$3-K709))</f>
        <v>0</v>
      </c>
      <c r="M709" s="2" t="str">
        <f t="shared" si="23"/>
        <v>Current</v>
      </c>
      <c r="N709" s="4">
        <v>0</v>
      </c>
      <c r="O709" s="2" t="s">
        <v>78</v>
      </c>
      <c r="P709" s="2" t="s">
        <v>78</v>
      </c>
    </row>
    <row r="710" spans="1:16" x14ac:dyDescent="0.2">
      <c r="A710" s="2" t="s">
        <v>4121</v>
      </c>
      <c r="B710" s="2" t="s">
        <v>363</v>
      </c>
      <c r="C710" s="4">
        <v>989.68</v>
      </c>
      <c r="D710" s="4">
        <f t="shared" si="22"/>
        <v>11876.16</v>
      </c>
      <c r="E710" s="2" t="s">
        <v>78</v>
      </c>
      <c r="F710" s="4">
        <v>0</v>
      </c>
      <c r="G710" s="4">
        <v>15</v>
      </c>
      <c r="H710" s="3">
        <v>46069</v>
      </c>
      <c r="I710" s="4">
        <v>1023.92</v>
      </c>
      <c r="J710" s="2" t="s">
        <v>4827</v>
      </c>
      <c r="K710" s="3">
        <v>46054</v>
      </c>
      <c r="L710" s="2">
        <f>IF(G710&lt;=0,0,MAX(0,Assumptions!$B$3-K710))</f>
        <v>0</v>
      </c>
      <c r="M710" s="2" t="str">
        <f t="shared" si="23"/>
        <v>30 days</v>
      </c>
      <c r="N710" s="4">
        <v>0</v>
      </c>
      <c r="O710" s="2" t="s">
        <v>78</v>
      </c>
      <c r="P710" s="2" t="s">
        <v>78</v>
      </c>
    </row>
    <row r="711" spans="1:16" x14ac:dyDescent="0.2">
      <c r="A711" s="2" t="s">
        <v>4128</v>
      </c>
      <c r="B711" s="2" t="s">
        <v>2100</v>
      </c>
      <c r="C711" s="4">
        <v>1167.5999999999999</v>
      </c>
      <c r="D711" s="4">
        <f t="shared" si="22"/>
        <v>14011.199999999999</v>
      </c>
      <c r="E711" s="2" t="s">
        <v>78</v>
      </c>
      <c r="F711" s="4">
        <v>0</v>
      </c>
      <c r="G711" s="4">
        <v>0</v>
      </c>
      <c r="H711" s="3">
        <v>46043</v>
      </c>
      <c r="I711" s="4">
        <v>1384.08</v>
      </c>
      <c r="J711" s="2" t="s">
        <v>4827</v>
      </c>
      <c r="K711" s="3">
        <v>46054</v>
      </c>
      <c r="L711" s="2">
        <f>IF(G711&lt;=0,0,MAX(0,Assumptions!$B$3-K711))</f>
        <v>0</v>
      </c>
      <c r="M711" s="2" t="str">
        <f t="shared" si="23"/>
        <v>Current</v>
      </c>
      <c r="N711" s="4">
        <v>0</v>
      </c>
      <c r="O711" s="2" t="s">
        <v>78</v>
      </c>
      <c r="P711" s="2" t="s">
        <v>36</v>
      </c>
    </row>
    <row r="712" spans="1:16" x14ac:dyDescent="0.2">
      <c r="A712" s="2" t="s">
        <v>4132</v>
      </c>
      <c r="B712" s="2" t="s">
        <v>4133</v>
      </c>
      <c r="C712" s="4">
        <v>1167.5999999999999</v>
      </c>
      <c r="D712" s="4">
        <f t="shared" si="22"/>
        <v>14011.199999999999</v>
      </c>
      <c r="E712" s="2" t="s">
        <v>78</v>
      </c>
      <c r="F712" s="4">
        <v>0</v>
      </c>
      <c r="G712" s="4">
        <v>0</v>
      </c>
      <c r="H712" s="3">
        <v>46058</v>
      </c>
      <c r="I712" s="4">
        <v>1235.42</v>
      </c>
      <c r="J712" s="2" t="s">
        <v>4823</v>
      </c>
      <c r="K712" s="3">
        <v>46054</v>
      </c>
      <c r="L712" s="2">
        <f>IF(G712&lt;=0,0,MAX(0,Assumptions!$B$3-K712))</f>
        <v>0</v>
      </c>
      <c r="M712" s="2" t="str">
        <f t="shared" si="23"/>
        <v>Current</v>
      </c>
      <c r="N712" s="4">
        <v>0</v>
      </c>
      <c r="O712" s="2" t="s">
        <v>78</v>
      </c>
      <c r="P712" s="2" t="s">
        <v>36</v>
      </c>
    </row>
    <row r="713" spans="1:16" x14ac:dyDescent="0.2">
      <c r="A713" s="2" t="s">
        <v>4138</v>
      </c>
      <c r="B713" s="2" t="s">
        <v>2920</v>
      </c>
      <c r="C713" s="4">
        <v>1167.5999999999999</v>
      </c>
      <c r="D713" s="4">
        <f t="shared" si="22"/>
        <v>14011.199999999999</v>
      </c>
      <c r="E713" s="2" t="s">
        <v>78</v>
      </c>
      <c r="F713" s="4">
        <v>0</v>
      </c>
      <c r="G713" s="4">
        <v>0</v>
      </c>
      <c r="H713" s="3">
        <v>46066</v>
      </c>
      <c r="I713" s="4">
        <v>1059.0999999999999</v>
      </c>
      <c r="J713" s="2" t="s">
        <v>4827</v>
      </c>
      <c r="K713" s="3">
        <v>46054</v>
      </c>
      <c r="L713" s="2">
        <f>IF(G713&lt;=0,0,MAX(0,Assumptions!$B$3-K713))</f>
        <v>0</v>
      </c>
      <c r="M713" s="2" t="str">
        <f t="shared" si="23"/>
        <v>Current</v>
      </c>
      <c r="N713" s="4">
        <v>0</v>
      </c>
      <c r="O713" s="2" t="s">
        <v>78</v>
      </c>
      <c r="P713" s="2" t="s">
        <v>78</v>
      </c>
    </row>
    <row r="714" spans="1:16" x14ac:dyDescent="0.2">
      <c r="A714" s="2" t="s">
        <v>4143</v>
      </c>
      <c r="B714" s="2" t="s">
        <v>2420</v>
      </c>
      <c r="C714" s="4">
        <v>1167.5999999999999</v>
      </c>
      <c r="D714" s="4">
        <f t="shared" si="22"/>
        <v>14011.199999999999</v>
      </c>
      <c r="E714" s="2" t="s">
        <v>78</v>
      </c>
      <c r="F714" s="4">
        <v>0</v>
      </c>
      <c r="G714" s="4">
        <v>15</v>
      </c>
      <c r="H714" s="3">
        <v>46054</v>
      </c>
      <c r="I714" s="4">
        <v>1282.68</v>
      </c>
      <c r="J714" s="2" t="s">
        <v>4825</v>
      </c>
      <c r="K714" s="3">
        <v>46054</v>
      </c>
      <c r="L714" s="2">
        <f>IF(G714&lt;=0,0,MAX(0,Assumptions!$B$3-K714))</f>
        <v>0</v>
      </c>
      <c r="M714" s="2" t="str">
        <f t="shared" si="23"/>
        <v>30 days</v>
      </c>
      <c r="N714" s="4">
        <v>0</v>
      </c>
      <c r="O714" s="2" t="s">
        <v>78</v>
      </c>
      <c r="P714" s="2" t="s">
        <v>78</v>
      </c>
    </row>
    <row r="715" spans="1:16" x14ac:dyDescent="0.2">
      <c r="A715" s="2" t="s">
        <v>4148</v>
      </c>
      <c r="B715" s="2" t="s">
        <v>2089</v>
      </c>
      <c r="C715" s="4">
        <v>1612.4</v>
      </c>
      <c r="D715" s="4">
        <f t="shared" si="22"/>
        <v>19348.800000000003</v>
      </c>
      <c r="E715" s="2" t="s">
        <v>78</v>
      </c>
      <c r="F715" s="4">
        <v>0</v>
      </c>
      <c r="G715" s="4">
        <v>3431.98</v>
      </c>
      <c r="H715" s="3">
        <v>45944</v>
      </c>
      <c r="I715" s="4">
        <v>1548.39</v>
      </c>
      <c r="J715" s="2" t="s">
        <v>4823</v>
      </c>
      <c r="K715" s="3">
        <v>45994</v>
      </c>
      <c r="L715" s="2">
        <f>IF(G715&lt;=0,0,MAX(0,Assumptions!$B$3-K715))</f>
        <v>0</v>
      </c>
      <c r="M715" s="2" t="str">
        <f t="shared" si="23"/>
        <v>30 days</v>
      </c>
      <c r="N715" s="4">
        <v>0</v>
      </c>
      <c r="O715" s="2" t="s">
        <v>78</v>
      </c>
      <c r="P715" s="2" t="s">
        <v>78</v>
      </c>
    </row>
    <row r="716" spans="1:16" x14ac:dyDescent="0.2">
      <c r="A716" s="2" t="s">
        <v>4153</v>
      </c>
      <c r="B716" s="2" t="s">
        <v>1304</v>
      </c>
      <c r="C716" s="4">
        <v>808.74</v>
      </c>
      <c r="D716" s="4">
        <f t="shared" si="22"/>
        <v>9704.880000000001</v>
      </c>
      <c r="E716" s="2" t="s">
        <v>78</v>
      </c>
      <c r="F716" s="4">
        <v>0</v>
      </c>
      <c r="G716" s="4">
        <v>-50</v>
      </c>
      <c r="H716" s="3">
        <v>46038</v>
      </c>
      <c r="I716" s="4">
        <v>782.77</v>
      </c>
      <c r="J716" s="2" t="s">
        <v>4827</v>
      </c>
      <c r="K716" s="3">
        <v>46054</v>
      </c>
      <c r="L716" s="2">
        <f>IF(G716&lt;=0,0,MAX(0,Assumptions!$B$3-K716))</f>
        <v>0</v>
      </c>
      <c r="M716" s="2" t="str">
        <f t="shared" si="23"/>
        <v>Current</v>
      </c>
      <c r="N716" s="4">
        <v>0</v>
      </c>
      <c r="O716" s="2" t="s">
        <v>78</v>
      </c>
      <c r="P716" s="2" t="s">
        <v>36</v>
      </c>
    </row>
    <row r="717" spans="1:16" x14ac:dyDescent="0.2">
      <c r="A717" s="2" t="s">
        <v>4157</v>
      </c>
      <c r="B717" s="2" t="s">
        <v>388</v>
      </c>
      <c r="C717" s="4">
        <v>808.74</v>
      </c>
      <c r="D717" s="4">
        <f t="shared" si="22"/>
        <v>9704.880000000001</v>
      </c>
      <c r="E717" s="2" t="s">
        <v>78</v>
      </c>
      <c r="F717" s="4">
        <v>0</v>
      </c>
      <c r="G717" s="4">
        <v>2507.73</v>
      </c>
      <c r="H717" s="3">
        <v>45938</v>
      </c>
      <c r="I717" s="4">
        <v>292.74</v>
      </c>
      <c r="J717" s="2" t="s">
        <v>4823</v>
      </c>
      <c r="K717" s="3">
        <v>45964</v>
      </c>
      <c r="L717" s="2">
        <f>IF(G717&lt;=0,0,MAX(0,Assumptions!$B$3-K717))</f>
        <v>0</v>
      </c>
      <c r="M717" s="2" t="str">
        <f t="shared" si="23"/>
        <v>30 days</v>
      </c>
      <c r="N717" s="4">
        <v>25</v>
      </c>
      <c r="O717" s="2" t="s">
        <v>78</v>
      </c>
      <c r="P717" s="2" t="s">
        <v>78</v>
      </c>
    </row>
    <row r="718" spans="1:16" x14ac:dyDescent="0.2">
      <c r="A718" s="2" t="s">
        <v>4162</v>
      </c>
      <c r="B718" s="2" t="s">
        <v>4163</v>
      </c>
      <c r="C718" s="4">
        <v>808.74</v>
      </c>
      <c r="D718" s="4">
        <f t="shared" si="22"/>
        <v>9704.880000000001</v>
      </c>
      <c r="E718" s="2" t="s">
        <v>78</v>
      </c>
      <c r="F718" s="4">
        <v>0</v>
      </c>
      <c r="G718" s="4">
        <v>-50</v>
      </c>
      <c r="H718" s="3">
        <v>46067</v>
      </c>
      <c r="I718" s="4">
        <v>769.9</v>
      </c>
      <c r="J718" s="2" t="s">
        <v>4824</v>
      </c>
      <c r="K718" s="3">
        <v>46054</v>
      </c>
      <c r="L718" s="2">
        <f>IF(G718&lt;=0,0,MAX(0,Assumptions!$B$3-K718))</f>
        <v>0</v>
      </c>
      <c r="M718" s="2" t="str">
        <f t="shared" si="23"/>
        <v>Current</v>
      </c>
      <c r="N718" s="4">
        <v>0</v>
      </c>
      <c r="O718" s="2" t="s">
        <v>78</v>
      </c>
      <c r="P718" s="2" t="s">
        <v>78</v>
      </c>
    </row>
    <row r="719" spans="1:16" x14ac:dyDescent="0.2">
      <c r="A719" s="2" t="s">
        <v>4167</v>
      </c>
      <c r="B719" s="2" t="s">
        <v>511</v>
      </c>
      <c r="C719" s="4">
        <v>808.74</v>
      </c>
      <c r="D719" s="4">
        <f t="shared" si="22"/>
        <v>9704.880000000001</v>
      </c>
      <c r="E719" s="2" t="s">
        <v>36</v>
      </c>
      <c r="F719" s="4">
        <v>3357.26</v>
      </c>
      <c r="G719" s="4">
        <v>0</v>
      </c>
      <c r="H719" s="3">
        <v>46058</v>
      </c>
      <c r="I719" s="4">
        <v>819.25</v>
      </c>
      <c r="J719" s="2" t="s">
        <v>4823</v>
      </c>
      <c r="K719" s="3">
        <v>46054</v>
      </c>
      <c r="L719" s="2">
        <f>IF(G719&lt;=0,0,MAX(0,Assumptions!$B$3-K719))</f>
        <v>0</v>
      </c>
      <c r="M719" s="2" t="str">
        <f t="shared" si="23"/>
        <v>Current</v>
      </c>
      <c r="N719" s="4">
        <v>0</v>
      </c>
      <c r="O719" s="2" t="s">
        <v>78</v>
      </c>
      <c r="P719" s="2" t="s">
        <v>36</v>
      </c>
    </row>
    <row r="720" spans="1:16" x14ac:dyDescent="0.2">
      <c r="A720" s="2" t="s">
        <v>4171</v>
      </c>
      <c r="B720" s="2" t="s">
        <v>1622</v>
      </c>
      <c r="C720" s="4">
        <v>808.74</v>
      </c>
      <c r="D720" s="4">
        <f t="shared" si="22"/>
        <v>9704.880000000001</v>
      </c>
      <c r="E720" s="2" t="s">
        <v>36</v>
      </c>
      <c r="F720" s="4">
        <v>1148.28</v>
      </c>
      <c r="G720" s="4">
        <v>0</v>
      </c>
      <c r="H720" s="3">
        <v>46059</v>
      </c>
      <c r="I720" s="4">
        <v>779.86</v>
      </c>
      <c r="J720" s="2" t="s">
        <v>4825</v>
      </c>
      <c r="K720" s="3">
        <v>46054</v>
      </c>
      <c r="L720" s="2">
        <f>IF(G720&lt;=0,0,MAX(0,Assumptions!$B$3-K720))</f>
        <v>0</v>
      </c>
      <c r="M720" s="2" t="str">
        <f t="shared" si="23"/>
        <v>Current</v>
      </c>
      <c r="N720" s="4">
        <v>0</v>
      </c>
      <c r="O720" s="2" t="s">
        <v>78</v>
      </c>
      <c r="P720" s="2" t="s">
        <v>78</v>
      </c>
    </row>
    <row r="721" spans="1:16" x14ac:dyDescent="0.2">
      <c r="A721" s="2" t="s">
        <v>4176</v>
      </c>
      <c r="B721" s="2" t="s">
        <v>4177</v>
      </c>
      <c r="C721" s="4">
        <v>808.74</v>
      </c>
      <c r="D721" s="4">
        <f t="shared" si="22"/>
        <v>9704.880000000001</v>
      </c>
      <c r="E721" s="2" t="s">
        <v>78</v>
      </c>
      <c r="F721" s="4">
        <v>0</v>
      </c>
      <c r="G721" s="4">
        <v>0</v>
      </c>
      <c r="H721" s="3">
        <v>46067</v>
      </c>
      <c r="I721" s="4">
        <v>867.28</v>
      </c>
      <c r="J721" s="2" t="s">
        <v>4824</v>
      </c>
      <c r="K721" s="3">
        <v>46054</v>
      </c>
      <c r="L721" s="2">
        <f>IF(G721&lt;=0,0,MAX(0,Assumptions!$B$3-K721))</f>
        <v>0</v>
      </c>
      <c r="M721" s="2" t="str">
        <f t="shared" si="23"/>
        <v>Current</v>
      </c>
      <c r="N721" s="4">
        <v>0</v>
      </c>
      <c r="O721" s="2" t="s">
        <v>78</v>
      </c>
      <c r="P721" s="2" t="s">
        <v>36</v>
      </c>
    </row>
    <row r="722" spans="1:16" x14ac:dyDescent="0.2">
      <c r="A722" s="2" t="s">
        <v>4181</v>
      </c>
      <c r="B722" s="2" t="s">
        <v>4182</v>
      </c>
      <c r="C722" s="4">
        <v>992.79</v>
      </c>
      <c r="D722" s="4">
        <f t="shared" si="22"/>
        <v>11913.48</v>
      </c>
      <c r="E722" s="2" t="s">
        <v>78</v>
      </c>
      <c r="F722" s="4">
        <v>0</v>
      </c>
      <c r="G722" s="4">
        <v>25</v>
      </c>
      <c r="H722" s="3">
        <v>46050</v>
      </c>
      <c r="I722" s="4">
        <v>832.7</v>
      </c>
      <c r="J722" s="2" t="s">
        <v>4827</v>
      </c>
      <c r="K722" s="3">
        <v>46054</v>
      </c>
      <c r="L722" s="2">
        <f>IF(G722&lt;=0,0,MAX(0,Assumptions!$B$3-K722))</f>
        <v>0</v>
      </c>
      <c r="M722" s="2" t="str">
        <f t="shared" si="23"/>
        <v>30 days</v>
      </c>
      <c r="N722" s="4">
        <v>0</v>
      </c>
      <c r="O722" s="2" t="s">
        <v>78</v>
      </c>
      <c r="P722" s="2" t="s">
        <v>36</v>
      </c>
    </row>
    <row r="723" spans="1:16" x14ac:dyDescent="0.2">
      <c r="A723" s="2" t="s">
        <v>4187</v>
      </c>
      <c r="B723" s="2" t="s">
        <v>4188</v>
      </c>
      <c r="C723" s="4">
        <v>992.79</v>
      </c>
      <c r="D723" s="4">
        <f t="shared" si="22"/>
        <v>11913.48</v>
      </c>
      <c r="E723" s="2" t="s">
        <v>78</v>
      </c>
      <c r="F723" s="4">
        <v>0</v>
      </c>
      <c r="G723" s="4">
        <v>3203.58</v>
      </c>
      <c r="H723" s="3">
        <v>45926</v>
      </c>
      <c r="I723" s="4">
        <v>286.67</v>
      </c>
      <c r="J723" s="2" t="s">
        <v>4826</v>
      </c>
      <c r="K723" s="3">
        <v>45964</v>
      </c>
      <c r="L723" s="2">
        <f>IF(G723&lt;=0,0,MAX(0,Assumptions!$B$3-K723))</f>
        <v>0</v>
      </c>
      <c r="M723" s="2" t="str">
        <f t="shared" si="23"/>
        <v>30 days</v>
      </c>
      <c r="N723" s="4">
        <v>50</v>
      </c>
      <c r="O723" s="2" t="s">
        <v>78</v>
      </c>
      <c r="P723" s="2" t="s">
        <v>78</v>
      </c>
    </row>
    <row r="724" spans="1:16" x14ac:dyDescent="0.2">
      <c r="A724" s="2" t="s">
        <v>4193</v>
      </c>
      <c r="B724" s="2" t="s">
        <v>4194</v>
      </c>
      <c r="C724" s="4">
        <v>992.79</v>
      </c>
      <c r="D724" s="4">
        <f t="shared" si="22"/>
        <v>11913.48</v>
      </c>
      <c r="E724" s="2" t="s">
        <v>78</v>
      </c>
      <c r="F724" s="4">
        <v>0</v>
      </c>
      <c r="G724" s="4">
        <v>15</v>
      </c>
      <c r="H724" s="3">
        <v>46033</v>
      </c>
      <c r="I724" s="4">
        <v>1166.83</v>
      </c>
      <c r="J724" s="2" t="s">
        <v>4826</v>
      </c>
      <c r="K724" s="3">
        <v>46054</v>
      </c>
      <c r="L724" s="2">
        <f>IF(G724&lt;=0,0,MAX(0,Assumptions!$B$3-K724))</f>
        <v>0</v>
      </c>
      <c r="M724" s="2" t="str">
        <f t="shared" si="23"/>
        <v>30 days</v>
      </c>
      <c r="N724" s="4">
        <v>0</v>
      </c>
      <c r="O724" s="2" t="s">
        <v>78</v>
      </c>
      <c r="P724" s="2" t="s">
        <v>36</v>
      </c>
    </row>
    <row r="725" spans="1:16" x14ac:dyDescent="0.2">
      <c r="A725" s="2" t="s">
        <v>4199</v>
      </c>
      <c r="B725" s="2" t="s">
        <v>3710</v>
      </c>
      <c r="C725" s="4">
        <v>992.79</v>
      </c>
      <c r="D725" s="4">
        <f t="shared" si="22"/>
        <v>11913.48</v>
      </c>
      <c r="E725" s="2" t="s">
        <v>78</v>
      </c>
      <c r="F725" s="4">
        <v>0</v>
      </c>
      <c r="G725" s="4">
        <v>4160.1099999999997</v>
      </c>
      <c r="H725" s="3">
        <v>45922</v>
      </c>
      <c r="I725" s="4">
        <v>851.77</v>
      </c>
      <c r="J725" s="2" t="s">
        <v>4823</v>
      </c>
      <c r="K725" s="3">
        <v>45934</v>
      </c>
      <c r="L725" s="2">
        <f>IF(G725&lt;=0,0,MAX(0,Assumptions!$B$3-K725))</f>
        <v>0</v>
      </c>
      <c r="M725" s="2" t="str">
        <f t="shared" si="23"/>
        <v>30 days</v>
      </c>
      <c r="N725" s="4">
        <v>25</v>
      </c>
      <c r="O725" s="2" t="s">
        <v>78</v>
      </c>
      <c r="P725" s="2" t="s">
        <v>78</v>
      </c>
    </row>
    <row r="726" spans="1:16" x14ac:dyDescent="0.2">
      <c r="A726" s="2" t="s">
        <v>4204</v>
      </c>
      <c r="B726" s="2" t="s">
        <v>4205</v>
      </c>
      <c r="C726" s="4">
        <v>992.79</v>
      </c>
      <c r="D726" s="4">
        <f t="shared" si="22"/>
        <v>11913.48</v>
      </c>
      <c r="E726" s="2" t="s">
        <v>78</v>
      </c>
      <c r="F726" s="4">
        <v>0</v>
      </c>
      <c r="G726" s="4">
        <v>25</v>
      </c>
      <c r="H726" s="3">
        <v>46037</v>
      </c>
      <c r="I726" s="4">
        <v>904.5</v>
      </c>
      <c r="J726" s="2" t="s">
        <v>4823</v>
      </c>
      <c r="K726" s="3">
        <v>46054</v>
      </c>
      <c r="L726" s="2">
        <f>IF(G726&lt;=0,0,MAX(0,Assumptions!$B$3-K726))</f>
        <v>0</v>
      </c>
      <c r="M726" s="2" t="str">
        <f t="shared" si="23"/>
        <v>30 days</v>
      </c>
      <c r="N726" s="4">
        <v>0</v>
      </c>
      <c r="O726" s="2" t="s">
        <v>78</v>
      </c>
      <c r="P726" s="2" t="s">
        <v>36</v>
      </c>
    </row>
    <row r="727" spans="1:16" x14ac:dyDescent="0.2">
      <c r="A727" s="2" t="s">
        <v>4210</v>
      </c>
      <c r="B727" s="2" t="s">
        <v>626</v>
      </c>
      <c r="C727" s="4">
        <v>992.79</v>
      </c>
      <c r="D727" s="4">
        <f t="shared" si="22"/>
        <v>11913.48</v>
      </c>
      <c r="E727" s="2" t="s">
        <v>78</v>
      </c>
      <c r="F727" s="4">
        <v>0</v>
      </c>
      <c r="G727" s="4">
        <v>15</v>
      </c>
      <c r="H727" s="3">
        <v>46063</v>
      </c>
      <c r="I727" s="4">
        <v>804.91</v>
      </c>
      <c r="J727" s="2" t="s">
        <v>4825</v>
      </c>
      <c r="K727" s="3">
        <v>46054</v>
      </c>
      <c r="L727" s="2">
        <f>IF(G727&lt;=0,0,MAX(0,Assumptions!$B$3-K727))</f>
        <v>0</v>
      </c>
      <c r="M727" s="2" t="str">
        <f t="shared" si="23"/>
        <v>30 days</v>
      </c>
      <c r="N727" s="4">
        <v>0</v>
      </c>
      <c r="O727" s="2" t="s">
        <v>78</v>
      </c>
      <c r="P727" s="2" t="s">
        <v>78</v>
      </c>
    </row>
    <row r="728" spans="1:16" x14ac:dyDescent="0.2">
      <c r="A728" s="2" t="s">
        <v>4214</v>
      </c>
      <c r="B728" s="2" t="s">
        <v>2026</v>
      </c>
      <c r="C728" s="4">
        <v>1171.27</v>
      </c>
      <c r="D728" s="4">
        <f t="shared" si="22"/>
        <v>14055.24</v>
      </c>
      <c r="E728" s="2" t="s">
        <v>78</v>
      </c>
      <c r="F728" s="4">
        <v>0</v>
      </c>
      <c r="G728" s="4">
        <v>25</v>
      </c>
      <c r="H728" s="3">
        <v>46062</v>
      </c>
      <c r="I728" s="4">
        <v>1322.28</v>
      </c>
      <c r="J728" s="2" t="s">
        <v>4826</v>
      </c>
      <c r="K728" s="3">
        <v>46054</v>
      </c>
      <c r="L728" s="2">
        <f>IF(G728&lt;=0,0,MAX(0,Assumptions!$B$3-K728))</f>
        <v>0</v>
      </c>
      <c r="M728" s="2" t="str">
        <f t="shared" si="23"/>
        <v>30 days</v>
      </c>
      <c r="N728" s="4">
        <v>0</v>
      </c>
      <c r="O728" s="2" t="s">
        <v>78</v>
      </c>
      <c r="P728" s="2" t="s">
        <v>78</v>
      </c>
    </row>
    <row r="729" spans="1:16" x14ac:dyDescent="0.2">
      <c r="A729" s="2" t="s">
        <v>4218</v>
      </c>
      <c r="B729" s="2" t="s">
        <v>3426</v>
      </c>
      <c r="C729" s="4">
        <v>1171.27</v>
      </c>
      <c r="D729" s="4">
        <f t="shared" si="22"/>
        <v>14055.24</v>
      </c>
      <c r="E729" s="2" t="s">
        <v>78</v>
      </c>
      <c r="F729" s="4">
        <v>0</v>
      </c>
      <c r="G729" s="4">
        <v>25</v>
      </c>
      <c r="H729" s="3">
        <v>46061</v>
      </c>
      <c r="I729" s="4">
        <v>999.15</v>
      </c>
      <c r="J729" s="2" t="s">
        <v>4823</v>
      </c>
      <c r="K729" s="3">
        <v>46054</v>
      </c>
      <c r="L729" s="2">
        <f>IF(G729&lt;=0,0,MAX(0,Assumptions!$B$3-K729))</f>
        <v>0</v>
      </c>
      <c r="M729" s="2" t="str">
        <f t="shared" si="23"/>
        <v>30 days</v>
      </c>
      <c r="N729" s="4">
        <v>0</v>
      </c>
      <c r="O729" s="2" t="s">
        <v>78</v>
      </c>
      <c r="P729" s="2" t="s">
        <v>78</v>
      </c>
    </row>
    <row r="730" spans="1:16" x14ac:dyDescent="0.2">
      <c r="A730" s="2" t="s">
        <v>4224</v>
      </c>
      <c r="B730" s="2" t="s">
        <v>430</v>
      </c>
      <c r="C730" s="4">
        <v>1171.27</v>
      </c>
      <c r="D730" s="4">
        <f t="shared" si="22"/>
        <v>14055.24</v>
      </c>
      <c r="E730" s="2" t="s">
        <v>36</v>
      </c>
      <c r="F730" s="4">
        <v>6668.82</v>
      </c>
      <c r="G730" s="4">
        <v>4756.0200000000004</v>
      </c>
      <c r="H730" s="3">
        <v>45960</v>
      </c>
      <c r="I730" s="4">
        <v>1291.48</v>
      </c>
      <c r="J730" s="2" t="s">
        <v>4823</v>
      </c>
      <c r="K730" s="3">
        <v>45934</v>
      </c>
      <c r="L730" s="2">
        <f>IF(G730&lt;=0,0,MAX(0,Assumptions!$B$3-K730))</f>
        <v>0</v>
      </c>
      <c r="M730" s="2" t="str">
        <f t="shared" si="23"/>
        <v>30 days</v>
      </c>
      <c r="N730" s="4">
        <v>35</v>
      </c>
      <c r="O730" s="2" t="s">
        <v>78</v>
      </c>
      <c r="P730" s="2" t="s">
        <v>78</v>
      </c>
    </row>
    <row r="731" spans="1:16" x14ac:dyDescent="0.2">
      <c r="A731" s="2" t="s">
        <v>4230</v>
      </c>
      <c r="B731" s="2" t="s">
        <v>3133</v>
      </c>
      <c r="C731" s="4">
        <v>1171.27</v>
      </c>
      <c r="D731" s="4">
        <f t="shared" si="22"/>
        <v>14055.24</v>
      </c>
      <c r="E731" s="2" t="s">
        <v>78</v>
      </c>
      <c r="F731" s="4">
        <v>0</v>
      </c>
      <c r="G731" s="4">
        <v>0</v>
      </c>
      <c r="H731" s="3">
        <v>46049</v>
      </c>
      <c r="I731" s="4">
        <v>940.59</v>
      </c>
      <c r="J731" s="2" t="s">
        <v>4827</v>
      </c>
      <c r="K731" s="3">
        <v>46054</v>
      </c>
      <c r="L731" s="2">
        <f>IF(G731&lt;=0,0,MAX(0,Assumptions!$B$3-K731))</f>
        <v>0</v>
      </c>
      <c r="M731" s="2" t="str">
        <f t="shared" si="23"/>
        <v>Current</v>
      </c>
      <c r="N731" s="4">
        <v>0</v>
      </c>
      <c r="O731" s="2" t="s">
        <v>78</v>
      </c>
      <c r="P731" s="2" t="s">
        <v>36</v>
      </c>
    </row>
    <row r="732" spans="1:16" x14ac:dyDescent="0.2">
      <c r="A732" s="2" t="s">
        <v>4234</v>
      </c>
      <c r="B732" s="2" t="s">
        <v>4235</v>
      </c>
      <c r="C732" s="4">
        <v>1617.47</v>
      </c>
      <c r="D732" s="4">
        <f t="shared" si="22"/>
        <v>19409.64</v>
      </c>
      <c r="E732" s="2" t="s">
        <v>78</v>
      </c>
      <c r="F732" s="4">
        <v>0</v>
      </c>
      <c r="G732" s="4">
        <v>1814.46</v>
      </c>
      <c r="H732" s="3">
        <v>46013</v>
      </c>
      <c r="I732" s="4">
        <v>1341.34</v>
      </c>
      <c r="J732" s="2" t="s">
        <v>4825</v>
      </c>
      <c r="K732" s="3">
        <v>46024</v>
      </c>
      <c r="L732" s="2">
        <f>IF(G732&lt;=0,0,MAX(0,Assumptions!$B$3-K732))</f>
        <v>0</v>
      </c>
      <c r="M732" s="2" t="str">
        <f t="shared" si="23"/>
        <v>30 days</v>
      </c>
      <c r="N732" s="4">
        <v>75</v>
      </c>
      <c r="O732" s="2" t="s">
        <v>78</v>
      </c>
      <c r="P732" s="2" t="s">
        <v>78</v>
      </c>
    </row>
    <row r="733" spans="1:16" x14ac:dyDescent="0.2">
      <c r="A733" s="2" t="s">
        <v>4240</v>
      </c>
      <c r="B733" s="2" t="s">
        <v>4241</v>
      </c>
      <c r="C733" s="4">
        <v>811.27</v>
      </c>
      <c r="D733" s="4">
        <f t="shared" si="22"/>
        <v>9735.24</v>
      </c>
      <c r="E733" s="2" t="s">
        <v>78</v>
      </c>
      <c r="F733" s="4">
        <v>0</v>
      </c>
      <c r="G733" s="4">
        <v>15</v>
      </c>
      <c r="H733" s="3">
        <v>46038</v>
      </c>
      <c r="I733" s="4">
        <v>935.83</v>
      </c>
      <c r="J733" s="2" t="s">
        <v>4824</v>
      </c>
      <c r="K733" s="3">
        <v>46054</v>
      </c>
      <c r="L733" s="2">
        <f>IF(G733&lt;=0,0,MAX(0,Assumptions!$B$3-K733))</f>
        <v>0</v>
      </c>
      <c r="M733" s="2" t="str">
        <f t="shared" si="23"/>
        <v>30 days</v>
      </c>
      <c r="N733" s="4">
        <v>0</v>
      </c>
      <c r="O733" s="2" t="s">
        <v>78</v>
      </c>
      <c r="P733" s="2" t="s">
        <v>78</v>
      </c>
    </row>
    <row r="734" spans="1:16" x14ac:dyDescent="0.2">
      <c r="A734" s="2" t="s">
        <v>4245</v>
      </c>
      <c r="B734" s="2" t="s">
        <v>1491</v>
      </c>
      <c r="C734" s="4">
        <v>811.27</v>
      </c>
      <c r="D734" s="4">
        <f t="shared" si="22"/>
        <v>9735.24</v>
      </c>
      <c r="E734" s="2" t="s">
        <v>78</v>
      </c>
      <c r="F734" s="4">
        <v>0</v>
      </c>
      <c r="G734" s="4">
        <v>-50</v>
      </c>
      <c r="H734" s="3">
        <v>46045</v>
      </c>
      <c r="I734" s="4">
        <v>700.09</v>
      </c>
      <c r="J734" s="2" t="s">
        <v>4824</v>
      </c>
      <c r="K734" s="3">
        <v>46054</v>
      </c>
      <c r="L734" s="2">
        <f>IF(G734&lt;=0,0,MAX(0,Assumptions!$B$3-K734))</f>
        <v>0</v>
      </c>
      <c r="M734" s="2" t="str">
        <f t="shared" si="23"/>
        <v>Current</v>
      </c>
      <c r="N734" s="4">
        <v>0</v>
      </c>
      <c r="O734" s="2" t="s">
        <v>78</v>
      </c>
      <c r="P734" s="2" t="s">
        <v>78</v>
      </c>
    </row>
    <row r="735" spans="1:16" x14ac:dyDescent="0.2">
      <c r="A735" s="2" t="s">
        <v>4249</v>
      </c>
      <c r="B735" s="2" t="s">
        <v>518</v>
      </c>
      <c r="C735" s="4">
        <v>811.27</v>
      </c>
      <c r="D735" s="4">
        <f t="shared" si="22"/>
        <v>9735.24</v>
      </c>
      <c r="E735" s="2" t="s">
        <v>78</v>
      </c>
      <c r="F735" s="4">
        <v>0</v>
      </c>
      <c r="G735" s="4">
        <v>0</v>
      </c>
      <c r="H735" s="3">
        <v>46062</v>
      </c>
      <c r="I735" s="4">
        <v>847.27</v>
      </c>
      <c r="J735" s="2" t="s">
        <v>4823</v>
      </c>
      <c r="K735" s="3">
        <v>46054</v>
      </c>
      <c r="L735" s="2">
        <f>IF(G735&lt;=0,0,MAX(0,Assumptions!$B$3-K735))</f>
        <v>0</v>
      </c>
      <c r="M735" s="2" t="str">
        <f t="shared" si="23"/>
        <v>Current</v>
      </c>
      <c r="N735" s="4">
        <v>0</v>
      </c>
      <c r="O735" s="2" t="s">
        <v>78</v>
      </c>
      <c r="P735" s="2" t="s">
        <v>78</v>
      </c>
    </row>
    <row r="736" spans="1:16" x14ac:dyDescent="0.2">
      <c r="A736" s="2" t="s">
        <v>4253</v>
      </c>
      <c r="B736" s="2" t="s">
        <v>273</v>
      </c>
      <c r="C736" s="4">
        <v>811.27</v>
      </c>
      <c r="D736" s="4">
        <f t="shared" si="22"/>
        <v>9735.24</v>
      </c>
      <c r="E736" s="2" t="s">
        <v>78</v>
      </c>
      <c r="F736" s="4">
        <v>0</v>
      </c>
      <c r="G736" s="4">
        <v>0</v>
      </c>
      <c r="H736" s="3">
        <v>46061</v>
      </c>
      <c r="I736" s="4">
        <v>780.71</v>
      </c>
      <c r="J736" s="2" t="s">
        <v>4823</v>
      </c>
      <c r="K736" s="3">
        <v>46054</v>
      </c>
      <c r="L736" s="2">
        <f>IF(G736&lt;=0,0,MAX(0,Assumptions!$B$3-K736))</f>
        <v>0</v>
      </c>
      <c r="M736" s="2" t="str">
        <f t="shared" si="23"/>
        <v>Current</v>
      </c>
      <c r="N736" s="4">
        <v>0</v>
      </c>
      <c r="O736" s="2" t="s">
        <v>78</v>
      </c>
      <c r="P736" s="2" t="s">
        <v>36</v>
      </c>
    </row>
    <row r="737" spans="1:16" x14ac:dyDescent="0.2">
      <c r="A737" s="2" t="s">
        <v>4257</v>
      </c>
      <c r="B737" s="2" t="s">
        <v>600</v>
      </c>
      <c r="C737" s="4">
        <v>811.27</v>
      </c>
      <c r="D737" s="4">
        <f t="shared" si="22"/>
        <v>9735.24</v>
      </c>
      <c r="E737" s="2" t="s">
        <v>36</v>
      </c>
      <c r="F737" s="4">
        <v>5441.92</v>
      </c>
      <c r="G737" s="4">
        <v>0</v>
      </c>
      <c r="H737" s="3">
        <v>46070</v>
      </c>
      <c r="I737" s="4">
        <v>723.57</v>
      </c>
      <c r="J737" s="2" t="s">
        <v>4824</v>
      </c>
      <c r="K737" s="3">
        <v>46054</v>
      </c>
      <c r="L737" s="2">
        <f>IF(G737&lt;=0,0,MAX(0,Assumptions!$B$3-K737))</f>
        <v>0</v>
      </c>
      <c r="M737" s="2" t="str">
        <f t="shared" si="23"/>
        <v>Current</v>
      </c>
      <c r="N737" s="4">
        <v>0</v>
      </c>
      <c r="O737" s="2" t="s">
        <v>78</v>
      </c>
      <c r="P737" s="2" t="s">
        <v>78</v>
      </c>
    </row>
    <row r="738" spans="1:16" x14ac:dyDescent="0.2">
      <c r="A738" s="2" t="s">
        <v>4261</v>
      </c>
      <c r="B738" s="2" t="s">
        <v>4262</v>
      </c>
      <c r="C738" s="4">
        <v>811.27</v>
      </c>
      <c r="D738" s="4">
        <f t="shared" si="22"/>
        <v>9735.24</v>
      </c>
      <c r="E738" s="2" t="s">
        <v>78</v>
      </c>
      <c r="F738" s="4">
        <v>0</v>
      </c>
      <c r="G738" s="4">
        <v>0</v>
      </c>
      <c r="H738" s="3">
        <v>46070</v>
      </c>
      <c r="I738" s="4">
        <v>817.1</v>
      </c>
      <c r="J738" s="2" t="s">
        <v>4824</v>
      </c>
      <c r="K738" s="3">
        <v>46054</v>
      </c>
      <c r="L738" s="2">
        <f>IF(G738&lt;=0,0,MAX(0,Assumptions!$B$3-K738))</f>
        <v>0</v>
      </c>
      <c r="M738" s="2" t="str">
        <f t="shared" si="23"/>
        <v>Current</v>
      </c>
      <c r="N738" s="4">
        <v>0</v>
      </c>
      <c r="O738" s="2" t="s">
        <v>78</v>
      </c>
      <c r="P738" s="2" t="s">
        <v>36</v>
      </c>
    </row>
    <row r="739" spans="1:16" x14ac:dyDescent="0.2">
      <c r="A739" s="2" t="s">
        <v>4267</v>
      </c>
      <c r="B739" s="2" t="s">
        <v>299</v>
      </c>
      <c r="C739" s="4">
        <v>995.91</v>
      </c>
      <c r="D739" s="4">
        <f t="shared" si="22"/>
        <v>11950.92</v>
      </c>
      <c r="E739" s="2" t="s">
        <v>78</v>
      </c>
      <c r="F739" s="4">
        <v>0</v>
      </c>
      <c r="G739" s="4">
        <v>0</v>
      </c>
      <c r="H739" s="3">
        <v>46041</v>
      </c>
      <c r="I739" s="4">
        <v>1138.6500000000001</v>
      </c>
      <c r="J739" s="2" t="s">
        <v>4824</v>
      </c>
      <c r="K739" s="3">
        <v>46054</v>
      </c>
      <c r="L739" s="2">
        <f>IF(G739&lt;=0,0,MAX(0,Assumptions!$B$3-K739))</f>
        <v>0</v>
      </c>
      <c r="M739" s="2" t="str">
        <f t="shared" si="23"/>
        <v>Current</v>
      </c>
      <c r="N739" s="4">
        <v>0</v>
      </c>
      <c r="O739" s="2" t="s">
        <v>78</v>
      </c>
      <c r="P739" s="2" t="s">
        <v>78</v>
      </c>
    </row>
    <row r="740" spans="1:16" x14ac:dyDescent="0.2">
      <c r="A740" s="2" t="s">
        <v>4271</v>
      </c>
      <c r="B740" s="2" t="s">
        <v>2371</v>
      </c>
      <c r="C740" s="4">
        <v>995.91</v>
      </c>
      <c r="D740" s="4">
        <f t="shared" si="22"/>
        <v>11950.92</v>
      </c>
      <c r="E740" s="2" t="s">
        <v>78</v>
      </c>
      <c r="F740" s="4">
        <v>0</v>
      </c>
      <c r="G740" s="4">
        <v>-50</v>
      </c>
      <c r="H740" s="3">
        <v>46040</v>
      </c>
      <c r="I740" s="4">
        <v>1010.88</v>
      </c>
      <c r="J740" s="2" t="s">
        <v>4827</v>
      </c>
      <c r="K740" s="3">
        <v>46054</v>
      </c>
      <c r="L740" s="2">
        <f>IF(G740&lt;=0,0,MAX(0,Assumptions!$B$3-K740))</f>
        <v>0</v>
      </c>
      <c r="M740" s="2" t="str">
        <f t="shared" si="23"/>
        <v>Current</v>
      </c>
      <c r="N740" s="4">
        <v>0</v>
      </c>
      <c r="O740" s="2" t="s">
        <v>78</v>
      </c>
      <c r="P740" s="2" t="s">
        <v>36</v>
      </c>
    </row>
    <row r="741" spans="1:16" x14ac:dyDescent="0.2">
      <c r="A741" s="2" t="s">
        <v>4276</v>
      </c>
      <c r="B741" s="2" t="s">
        <v>821</v>
      </c>
      <c r="C741" s="4">
        <v>995.91</v>
      </c>
      <c r="D741" s="4">
        <f t="shared" si="22"/>
        <v>11950.92</v>
      </c>
      <c r="E741" s="2" t="s">
        <v>78</v>
      </c>
      <c r="F741" s="4">
        <v>0</v>
      </c>
      <c r="G741" s="4">
        <v>0</v>
      </c>
      <c r="H741" s="3">
        <v>46046</v>
      </c>
      <c r="I741" s="4">
        <v>992.13</v>
      </c>
      <c r="J741" s="2" t="s">
        <v>4826</v>
      </c>
      <c r="K741" s="3">
        <v>46054</v>
      </c>
      <c r="L741" s="2">
        <f>IF(G741&lt;=0,0,MAX(0,Assumptions!$B$3-K741))</f>
        <v>0</v>
      </c>
      <c r="M741" s="2" t="str">
        <f t="shared" si="23"/>
        <v>Current</v>
      </c>
      <c r="N741" s="4">
        <v>0</v>
      </c>
      <c r="O741" s="2" t="s">
        <v>78</v>
      </c>
      <c r="P741" s="2" t="s">
        <v>78</v>
      </c>
    </row>
    <row r="742" spans="1:16" x14ac:dyDescent="0.2">
      <c r="A742" s="2" t="s">
        <v>4281</v>
      </c>
      <c r="B742" s="2" t="s">
        <v>4282</v>
      </c>
      <c r="C742" s="4">
        <v>995.91</v>
      </c>
      <c r="D742" s="4">
        <f t="shared" si="22"/>
        <v>11950.92</v>
      </c>
      <c r="E742" s="2" t="s">
        <v>78</v>
      </c>
      <c r="F742" s="4">
        <v>0</v>
      </c>
      <c r="G742" s="4">
        <v>0</v>
      </c>
      <c r="H742" s="3">
        <v>46040</v>
      </c>
      <c r="I742" s="4">
        <v>855.62</v>
      </c>
      <c r="J742" s="2" t="s">
        <v>4823</v>
      </c>
      <c r="K742" s="3">
        <v>46054</v>
      </c>
      <c r="L742" s="2">
        <f>IF(G742&lt;=0,0,MAX(0,Assumptions!$B$3-K742))</f>
        <v>0</v>
      </c>
      <c r="M742" s="2" t="str">
        <f t="shared" si="23"/>
        <v>Current</v>
      </c>
      <c r="N742" s="4">
        <v>0</v>
      </c>
      <c r="O742" s="2" t="s">
        <v>78</v>
      </c>
      <c r="P742" s="2" t="s">
        <v>78</v>
      </c>
    </row>
    <row r="743" spans="1:16" x14ac:dyDescent="0.2">
      <c r="A743" s="2" t="s">
        <v>4286</v>
      </c>
      <c r="B743" s="2" t="s">
        <v>1296</v>
      </c>
      <c r="C743" s="4">
        <v>995.91</v>
      </c>
      <c r="D743" s="4">
        <f t="shared" si="22"/>
        <v>11950.92</v>
      </c>
      <c r="E743" s="2" t="s">
        <v>78</v>
      </c>
      <c r="F743" s="4">
        <v>0</v>
      </c>
      <c r="G743" s="4">
        <v>2120.52</v>
      </c>
      <c r="H743" s="3">
        <v>45953</v>
      </c>
      <c r="I743" s="4">
        <v>347.55</v>
      </c>
      <c r="J743" s="2" t="s">
        <v>4825</v>
      </c>
      <c r="K743" s="3">
        <v>45994</v>
      </c>
      <c r="L743" s="2">
        <f>IF(G743&lt;=0,0,MAX(0,Assumptions!$B$3-K743))</f>
        <v>0</v>
      </c>
      <c r="M743" s="2" t="str">
        <f t="shared" si="23"/>
        <v>30 days</v>
      </c>
      <c r="N743" s="4">
        <v>50</v>
      </c>
      <c r="O743" s="2" t="s">
        <v>78</v>
      </c>
      <c r="P743" s="2" t="s">
        <v>78</v>
      </c>
    </row>
    <row r="744" spans="1:16" x14ac:dyDescent="0.2">
      <c r="A744" s="2" t="s">
        <v>4290</v>
      </c>
      <c r="B744" s="2" t="s">
        <v>4060</v>
      </c>
      <c r="C744" s="4">
        <v>995.91</v>
      </c>
      <c r="D744" s="4">
        <f t="shared" si="22"/>
        <v>11950.92</v>
      </c>
      <c r="E744" s="2" t="s">
        <v>78</v>
      </c>
      <c r="F744" s="4">
        <v>0</v>
      </c>
      <c r="G744" s="4">
        <v>1215.06</v>
      </c>
      <c r="H744" s="3">
        <v>45948</v>
      </c>
      <c r="I744" s="4">
        <v>127.19</v>
      </c>
      <c r="J744" s="2" t="s">
        <v>4826</v>
      </c>
      <c r="K744" s="3">
        <v>46024</v>
      </c>
      <c r="L744" s="2">
        <f>IF(G744&lt;=0,0,MAX(0,Assumptions!$B$3-K744))</f>
        <v>0</v>
      </c>
      <c r="M744" s="2" t="str">
        <f t="shared" si="23"/>
        <v>30 days</v>
      </c>
      <c r="N744" s="4">
        <v>50</v>
      </c>
      <c r="O744" s="2" t="s">
        <v>36</v>
      </c>
      <c r="P744" s="2" t="s">
        <v>78</v>
      </c>
    </row>
    <row r="745" spans="1:16" x14ac:dyDescent="0.2">
      <c r="A745" s="2" t="s">
        <v>4295</v>
      </c>
      <c r="B745" s="2" t="s">
        <v>4296</v>
      </c>
      <c r="C745" s="4">
        <v>1174.95</v>
      </c>
      <c r="D745" s="4">
        <f t="shared" si="22"/>
        <v>14099.400000000001</v>
      </c>
      <c r="E745" s="2" t="s">
        <v>78</v>
      </c>
      <c r="F745" s="4">
        <v>0</v>
      </c>
      <c r="G745" s="4">
        <v>0</v>
      </c>
      <c r="H745" s="3">
        <v>46061</v>
      </c>
      <c r="I745" s="4">
        <v>1165.92</v>
      </c>
      <c r="J745" s="2" t="s">
        <v>4825</v>
      </c>
      <c r="K745" s="3">
        <v>46054</v>
      </c>
      <c r="L745" s="2">
        <f>IF(G745&lt;=0,0,MAX(0,Assumptions!$B$3-K745))</f>
        <v>0</v>
      </c>
      <c r="M745" s="2" t="str">
        <f t="shared" si="23"/>
        <v>Current</v>
      </c>
      <c r="N745" s="4">
        <v>0</v>
      </c>
      <c r="O745" s="2" t="s">
        <v>78</v>
      </c>
      <c r="P745" s="2" t="s">
        <v>78</v>
      </c>
    </row>
    <row r="746" spans="1:16" x14ac:dyDescent="0.2">
      <c r="A746" s="2" t="s">
        <v>4300</v>
      </c>
      <c r="B746" s="2" t="s">
        <v>321</v>
      </c>
      <c r="C746" s="4">
        <v>1174.95</v>
      </c>
      <c r="D746" s="4">
        <f t="shared" si="22"/>
        <v>14099.400000000001</v>
      </c>
      <c r="E746" s="2" t="s">
        <v>78</v>
      </c>
      <c r="F746" s="4">
        <v>0</v>
      </c>
      <c r="G746" s="4">
        <v>0</v>
      </c>
      <c r="H746" s="3">
        <v>46033</v>
      </c>
      <c r="I746" s="4">
        <v>1291.73</v>
      </c>
      <c r="J746" s="2" t="s">
        <v>4824</v>
      </c>
      <c r="K746" s="3">
        <v>46054</v>
      </c>
      <c r="L746" s="2">
        <f>IF(G746&lt;=0,0,MAX(0,Assumptions!$B$3-K746))</f>
        <v>0</v>
      </c>
      <c r="M746" s="2" t="str">
        <f t="shared" si="23"/>
        <v>Current</v>
      </c>
      <c r="N746" s="4">
        <v>0</v>
      </c>
      <c r="O746" s="2" t="s">
        <v>78</v>
      </c>
      <c r="P746" s="2" t="s">
        <v>78</v>
      </c>
    </row>
    <row r="747" spans="1:16" x14ac:dyDescent="0.2">
      <c r="A747" s="2" t="s">
        <v>4306</v>
      </c>
      <c r="B747" s="2" t="s">
        <v>1940</v>
      </c>
      <c r="C747" s="4">
        <v>1174.95</v>
      </c>
      <c r="D747" s="4">
        <f t="shared" si="22"/>
        <v>14099.400000000001</v>
      </c>
      <c r="E747" s="2" t="s">
        <v>78</v>
      </c>
      <c r="F747" s="4">
        <v>0</v>
      </c>
      <c r="G747" s="4">
        <v>1378.76</v>
      </c>
      <c r="H747" s="3">
        <v>45976</v>
      </c>
      <c r="I747" s="4">
        <v>1243.3800000000001</v>
      </c>
      <c r="J747" s="2" t="s">
        <v>4827</v>
      </c>
      <c r="K747" s="3">
        <v>46024</v>
      </c>
      <c r="L747" s="2">
        <f>IF(G747&lt;=0,0,MAX(0,Assumptions!$B$3-K747))</f>
        <v>0</v>
      </c>
      <c r="M747" s="2" t="str">
        <f t="shared" si="23"/>
        <v>30 days</v>
      </c>
      <c r="N747" s="4">
        <v>35</v>
      </c>
      <c r="O747" s="2" t="s">
        <v>78</v>
      </c>
      <c r="P747" s="2" t="s">
        <v>78</v>
      </c>
    </row>
    <row r="748" spans="1:16" x14ac:dyDescent="0.2">
      <c r="A748" s="2" t="s">
        <v>4311</v>
      </c>
      <c r="B748" s="2" t="s">
        <v>3627</v>
      </c>
      <c r="C748" s="4">
        <v>1174.95</v>
      </c>
      <c r="D748" s="4">
        <f t="shared" si="22"/>
        <v>14099.400000000001</v>
      </c>
      <c r="E748" s="2" t="s">
        <v>36</v>
      </c>
      <c r="F748" s="4">
        <v>6179.22</v>
      </c>
      <c r="G748" s="4">
        <v>15</v>
      </c>
      <c r="H748" s="3">
        <v>46043</v>
      </c>
      <c r="I748" s="4">
        <v>1074.93</v>
      </c>
      <c r="J748" s="2" t="s">
        <v>4824</v>
      </c>
      <c r="K748" s="3">
        <v>46054</v>
      </c>
      <c r="L748" s="2">
        <f>IF(G748&lt;=0,0,MAX(0,Assumptions!$B$3-K748))</f>
        <v>0</v>
      </c>
      <c r="M748" s="2" t="str">
        <f t="shared" si="23"/>
        <v>30 days</v>
      </c>
      <c r="N748" s="4">
        <v>0</v>
      </c>
      <c r="O748" s="2" t="s">
        <v>78</v>
      </c>
      <c r="P748" s="2" t="s">
        <v>78</v>
      </c>
    </row>
    <row r="749" spans="1:16" x14ac:dyDescent="0.2">
      <c r="A749" s="2" t="s">
        <v>4316</v>
      </c>
      <c r="B749" s="2" t="s">
        <v>867</v>
      </c>
      <c r="C749" s="4">
        <v>1622.55</v>
      </c>
      <c r="D749" s="4">
        <f t="shared" si="22"/>
        <v>19470.599999999999</v>
      </c>
      <c r="E749" s="2" t="s">
        <v>78</v>
      </c>
      <c r="F749" s="4">
        <v>0</v>
      </c>
      <c r="G749" s="4">
        <v>0</v>
      </c>
      <c r="H749" s="3">
        <v>46041</v>
      </c>
      <c r="I749" s="4">
        <v>1701.51</v>
      </c>
      <c r="J749" s="2" t="s">
        <v>4825</v>
      </c>
      <c r="K749" s="3">
        <v>46054</v>
      </c>
      <c r="L749" s="2">
        <f>IF(G749&lt;=0,0,MAX(0,Assumptions!$B$3-K749))</f>
        <v>0</v>
      </c>
      <c r="M749" s="2" t="str">
        <f t="shared" si="23"/>
        <v>Current</v>
      </c>
      <c r="N749" s="4">
        <v>0</v>
      </c>
      <c r="O749" s="2" t="s">
        <v>78</v>
      </c>
      <c r="P749" s="2" t="s">
        <v>36</v>
      </c>
    </row>
    <row r="750" spans="1:16" x14ac:dyDescent="0.2">
      <c r="A750" s="2" t="s">
        <v>4321</v>
      </c>
      <c r="B750" s="2" t="s">
        <v>4322</v>
      </c>
      <c r="C750" s="4">
        <v>813.81</v>
      </c>
      <c r="D750" s="4">
        <f t="shared" si="22"/>
        <v>9765.7199999999993</v>
      </c>
      <c r="E750" s="2" t="s">
        <v>78</v>
      </c>
      <c r="F750" s="4">
        <v>0</v>
      </c>
      <c r="G750" s="4">
        <v>0</v>
      </c>
      <c r="H750" s="3">
        <v>46072</v>
      </c>
      <c r="I750" s="4">
        <v>665.42</v>
      </c>
      <c r="J750" s="2" t="s">
        <v>4825</v>
      </c>
      <c r="K750" s="3">
        <v>46054</v>
      </c>
      <c r="L750" s="2">
        <f>IF(G750&lt;=0,0,MAX(0,Assumptions!$B$3-K750))</f>
        <v>0</v>
      </c>
      <c r="M750" s="2" t="str">
        <f t="shared" si="23"/>
        <v>Current</v>
      </c>
      <c r="N750" s="4">
        <v>0</v>
      </c>
      <c r="O750" s="2" t="s">
        <v>78</v>
      </c>
      <c r="P750" s="2" t="s">
        <v>78</v>
      </c>
    </row>
    <row r="751" spans="1:16" x14ac:dyDescent="0.2">
      <c r="A751" s="2" t="s">
        <v>4326</v>
      </c>
      <c r="B751" s="2" t="s">
        <v>1411</v>
      </c>
      <c r="C751" s="4">
        <v>813.81</v>
      </c>
      <c r="D751" s="4">
        <f t="shared" si="22"/>
        <v>9765.7199999999993</v>
      </c>
      <c r="E751" s="2" t="s">
        <v>78</v>
      </c>
      <c r="F751" s="4">
        <v>0</v>
      </c>
      <c r="G751" s="4">
        <v>1672.57</v>
      </c>
      <c r="H751" s="3">
        <v>45948</v>
      </c>
      <c r="I751" s="4">
        <v>468.25</v>
      </c>
      <c r="J751" s="2" t="s">
        <v>4823</v>
      </c>
      <c r="K751" s="3">
        <v>45994</v>
      </c>
      <c r="L751" s="2">
        <f>IF(G751&lt;=0,0,MAX(0,Assumptions!$B$3-K751))</f>
        <v>0</v>
      </c>
      <c r="M751" s="2" t="str">
        <f t="shared" si="23"/>
        <v>30 days</v>
      </c>
      <c r="N751" s="4">
        <v>0</v>
      </c>
      <c r="O751" s="2" t="s">
        <v>78</v>
      </c>
      <c r="P751" s="2" t="s">
        <v>78</v>
      </c>
    </row>
    <row r="752" spans="1:16" x14ac:dyDescent="0.2">
      <c r="A752" s="2" t="s">
        <v>4330</v>
      </c>
      <c r="B752" s="2" t="s">
        <v>2840</v>
      </c>
      <c r="C752" s="4">
        <v>813.81</v>
      </c>
      <c r="D752" s="4">
        <f t="shared" si="22"/>
        <v>9765.7199999999993</v>
      </c>
      <c r="E752" s="2" t="s">
        <v>78</v>
      </c>
      <c r="F752" s="4">
        <v>0</v>
      </c>
      <c r="G752" s="4">
        <v>0</v>
      </c>
      <c r="H752" s="3">
        <v>46041</v>
      </c>
      <c r="I752" s="4">
        <v>725.22</v>
      </c>
      <c r="J752" s="2" t="s">
        <v>4827</v>
      </c>
      <c r="K752" s="3">
        <v>46054</v>
      </c>
      <c r="L752" s="2">
        <f>IF(G752&lt;=0,0,MAX(0,Assumptions!$B$3-K752))</f>
        <v>0</v>
      </c>
      <c r="M752" s="2" t="str">
        <f t="shared" si="23"/>
        <v>Current</v>
      </c>
      <c r="N752" s="4">
        <v>0</v>
      </c>
      <c r="O752" s="2" t="s">
        <v>78</v>
      </c>
      <c r="P752" s="2" t="s">
        <v>36</v>
      </c>
    </row>
    <row r="753" spans="1:16" x14ac:dyDescent="0.2">
      <c r="A753" s="2" t="s">
        <v>4334</v>
      </c>
      <c r="B753" s="2" t="s">
        <v>3332</v>
      </c>
      <c r="C753" s="4">
        <v>813.81</v>
      </c>
      <c r="D753" s="4">
        <f t="shared" si="22"/>
        <v>9765.7199999999993</v>
      </c>
      <c r="E753" s="2" t="s">
        <v>78</v>
      </c>
      <c r="F753" s="4">
        <v>0</v>
      </c>
      <c r="G753" s="4">
        <v>0</v>
      </c>
      <c r="H753" s="3">
        <v>46037</v>
      </c>
      <c r="I753" s="4">
        <v>773.23</v>
      </c>
      <c r="J753" s="2" t="s">
        <v>4825</v>
      </c>
      <c r="K753" s="3">
        <v>46054</v>
      </c>
      <c r="L753" s="2">
        <f>IF(G753&lt;=0,0,MAX(0,Assumptions!$B$3-K753))</f>
        <v>0</v>
      </c>
      <c r="M753" s="2" t="str">
        <f t="shared" si="23"/>
        <v>Current</v>
      </c>
      <c r="N753" s="4">
        <v>0</v>
      </c>
      <c r="O753" s="2" t="s">
        <v>78</v>
      </c>
      <c r="P753" s="2" t="s">
        <v>36</v>
      </c>
    </row>
    <row r="754" spans="1:16" x14ac:dyDescent="0.2">
      <c r="A754" s="2" t="s">
        <v>4339</v>
      </c>
      <c r="B754" s="2" t="s">
        <v>1474</v>
      </c>
      <c r="C754" s="4">
        <v>813.81</v>
      </c>
      <c r="D754" s="4">
        <f t="shared" si="22"/>
        <v>9765.7199999999993</v>
      </c>
      <c r="E754" s="2" t="s">
        <v>78</v>
      </c>
      <c r="F754" s="4">
        <v>0</v>
      </c>
      <c r="G754" s="4">
        <v>0</v>
      </c>
      <c r="H754" s="3">
        <v>46060</v>
      </c>
      <c r="I754" s="4">
        <v>729.3</v>
      </c>
      <c r="J754" s="2" t="s">
        <v>4824</v>
      </c>
      <c r="K754" s="3">
        <v>46054</v>
      </c>
      <c r="L754" s="2">
        <f>IF(G754&lt;=0,0,MAX(0,Assumptions!$B$3-K754))</f>
        <v>0</v>
      </c>
      <c r="M754" s="2" t="str">
        <f t="shared" si="23"/>
        <v>Current</v>
      </c>
      <c r="N754" s="4">
        <v>0</v>
      </c>
      <c r="O754" s="2" t="s">
        <v>78</v>
      </c>
      <c r="P754" s="2" t="s">
        <v>36</v>
      </c>
    </row>
    <row r="755" spans="1:16" x14ac:dyDescent="0.2">
      <c r="A755" s="2" t="s">
        <v>4343</v>
      </c>
      <c r="B755" s="2" t="s">
        <v>4344</v>
      </c>
      <c r="C755" s="4">
        <v>813.81</v>
      </c>
      <c r="D755" s="4">
        <f t="shared" si="22"/>
        <v>9765.7199999999993</v>
      </c>
      <c r="E755" s="2" t="s">
        <v>78</v>
      </c>
      <c r="F755" s="4">
        <v>0</v>
      </c>
      <c r="G755" s="4">
        <v>0</v>
      </c>
      <c r="H755" s="3">
        <v>46034</v>
      </c>
      <c r="I755" s="4">
        <v>904.51</v>
      </c>
      <c r="J755" s="2" t="s">
        <v>4824</v>
      </c>
      <c r="K755" s="3">
        <v>46054</v>
      </c>
      <c r="L755" s="2">
        <f>IF(G755&lt;=0,0,MAX(0,Assumptions!$B$3-K755))</f>
        <v>0</v>
      </c>
      <c r="M755" s="2" t="str">
        <f t="shared" si="23"/>
        <v>Current</v>
      </c>
      <c r="N755" s="4">
        <v>0</v>
      </c>
      <c r="O755" s="2" t="s">
        <v>78</v>
      </c>
      <c r="P755" s="2" t="s">
        <v>78</v>
      </c>
    </row>
    <row r="756" spans="1:16" x14ac:dyDescent="0.2">
      <c r="A756" s="2" t="s">
        <v>4348</v>
      </c>
      <c r="B756" s="2" t="s">
        <v>4349</v>
      </c>
      <c r="C756" s="4">
        <v>999.03</v>
      </c>
      <c r="D756" s="4">
        <f t="shared" si="22"/>
        <v>11988.36</v>
      </c>
      <c r="E756" s="2" t="s">
        <v>78</v>
      </c>
      <c r="F756" s="4">
        <v>0</v>
      </c>
      <c r="G756" s="4">
        <v>0</v>
      </c>
      <c r="H756" s="3">
        <v>46066</v>
      </c>
      <c r="I756" s="4">
        <v>1144.99</v>
      </c>
      <c r="J756" s="2" t="s">
        <v>4827</v>
      </c>
      <c r="K756" s="3">
        <v>46054</v>
      </c>
      <c r="L756" s="2">
        <f>IF(G756&lt;=0,0,MAX(0,Assumptions!$B$3-K756))</f>
        <v>0</v>
      </c>
      <c r="M756" s="2" t="str">
        <f t="shared" si="23"/>
        <v>Current</v>
      </c>
      <c r="N756" s="4">
        <v>0</v>
      </c>
      <c r="O756" s="2" t="s">
        <v>78</v>
      </c>
      <c r="P756" s="2" t="s">
        <v>36</v>
      </c>
    </row>
    <row r="757" spans="1:16" x14ac:dyDescent="0.2">
      <c r="A757" s="2" t="s">
        <v>4353</v>
      </c>
      <c r="B757" s="2" t="s">
        <v>391</v>
      </c>
      <c r="C757" s="4">
        <v>999.03</v>
      </c>
      <c r="D757" s="4">
        <f t="shared" si="22"/>
        <v>11988.36</v>
      </c>
      <c r="E757" s="2" t="s">
        <v>78</v>
      </c>
      <c r="F757" s="4">
        <v>0</v>
      </c>
      <c r="G757" s="4">
        <v>15</v>
      </c>
      <c r="H757" s="3">
        <v>46073</v>
      </c>
      <c r="I757" s="4">
        <v>903.77</v>
      </c>
      <c r="J757" s="2" t="s">
        <v>4827</v>
      </c>
      <c r="K757" s="3">
        <v>46054</v>
      </c>
      <c r="L757" s="2">
        <f>IF(G757&lt;=0,0,MAX(0,Assumptions!$B$3-K757))</f>
        <v>0</v>
      </c>
      <c r="M757" s="2" t="str">
        <f t="shared" si="23"/>
        <v>30 days</v>
      </c>
      <c r="N757" s="4">
        <v>0</v>
      </c>
      <c r="O757" s="2" t="s">
        <v>78</v>
      </c>
      <c r="P757" s="2" t="s">
        <v>36</v>
      </c>
    </row>
    <row r="758" spans="1:16" x14ac:dyDescent="0.2">
      <c r="A758" s="2" t="s">
        <v>4358</v>
      </c>
      <c r="B758" s="2" t="s">
        <v>4054</v>
      </c>
      <c r="C758" s="4">
        <v>999.03</v>
      </c>
      <c r="D758" s="4">
        <f t="shared" si="22"/>
        <v>11988.36</v>
      </c>
      <c r="E758" s="2" t="s">
        <v>78</v>
      </c>
      <c r="F758" s="4">
        <v>0</v>
      </c>
      <c r="G758" s="4">
        <v>0</v>
      </c>
      <c r="H758" s="3">
        <v>46042</v>
      </c>
      <c r="I758" s="4">
        <v>1151.06</v>
      </c>
      <c r="J758" s="2" t="s">
        <v>4826</v>
      </c>
      <c r="K758" s="3">
        <v>46054</v>
      </c>
      <c r="L758" s="2">
        <f>IF(G758&lt;=0,0,MAX(0,Assumptions!$B$3-K758))</f>
        <v>0</v>
      </c>
      <c r="M758" s="2" t="str">
        <f t="shared" si="23"/>
        <v>Current</v>
      </c>
      <c r="N758" s="4">
        <v>0</v>
      </c>
      <c r="O758" s="2" t="s">
        <v>78</v>
      </c>
      <c r="P758" s="2" t="s">
        <v>78</v>
      </c>
    </row>
    <row r="759" spans="1:16" x14ac:dyDescent="0.2">
      <c r="A759" s="2" t="s">
        <v>4364</v>
      </c>
      <c r="B759" s="2" t="s">
        <v>4124</v>
      </c>
      <c r="C759" s="4">
        <v>999.03</v>
      </c>
      <c r="D759" s="4">
        <f t="shared" si="22"/>
        <v>11988.36</v>
      </c>
      <c r="E759" s="2" t="s">
        <v>78</v>
      </c>
      <c r="F759" s="4">
        <v>0</v>
      </c>
      <c r="G759" s="4">
        <v>15</v>
      </c>
      <c r="H759" s="3">
        <v>46032</v>
      </c>
      <c r="I759" s="4">
        <v>824.87</v>
      </c>
      <c r="J759" s="2" t="s">
        <v>4827</v>
      </c>
      <c r="K759" s="3">
        <v>46054</v>
      </c>
      <c r="L759" s="2">
        <f>IF(G759&lt;=0,0,MAX(0,Assumptions!$B$3-K759))</f>
        <v>0</v>
      </c>
      <c r="M759" s="2" t="str">
        <f t="shared" si="23"/>
        <v>30 days</v>
      </c>
      <c r="N759" s="4">
        <v>0</v>
      </c>
      <c r="O759" s="2" t="s">
        <v>78</v>
      </c>
      <c r="P759" s="2" t="s">
        <v>36</v>
      </c>
    </row>
    <row r="760" spans="1:16" x14ac:dyDescent="0.2">
      <c r="A760" s="2" t="s">
        <v>4368</v>
      </c>
      <c r="B760" s="2" t="s">
        <v>983</v>
      </c>
      <c r="C760" s="4">
        <v>999.03</v>
      </c>
      <c r="D760" s="4">
        <f t="shared" si="22"/>
        <v>11988.36</v>
      </c>
      <c r="E760" s="2" t="s">
        <v>36</v>
      </c>
      <c r="F760" s="4">
        <v>3900.7</v>
      </c>
      <c r="G760" s="4">
        <v>0</v>
      </c>
      <c r="H760" s="3">
        <v>46063</v>
      </c>
      <c r="I760" s="4">
        <v>1007.71</v>
      </c>
      <c r="J760" s="2" t="s">
        <v>4827</v>
      </c>
      <c r="K760" s="3">
        <v>46054</v>
      </c>
      <c r="L760" s="2">
        <f>IF(G760&lt;=0,0,MAX(0,Assumptions!$B$3-K760))</f>
        <v>0</v>
      </c>
      <c r="M760" s="2" t="str">
        <f t="shared" si="23"/>
        <v>Current</v>
      </c>
      <c r="N760" s="4">
        <v>0</v>
      </c>
      <c r="O760" s="2" t="s">
        <v>78</v>
      </c>
      <c r="P760" s="2" t="s">
        <v>78</v>
      </c>
    </row>
    <row r="761" spans="1:16" x14ac:dyDescent="0.2">
      <c r="A761" s="2" t="s">
        <v>4372</v>
      </c>
      <c r="B761" s="2" t="s">
        <v>1062</v>
      </c>
      <c r="C761" s="4">
        <v>999.03</v>
      </c>
      <c r="D761" s="4">
        <f t="shared" si="22"/>
        <v>11988.36</v>
      </c>
      <c r="E761" s="2" t="s">
        <v>78</v>
      </c>
      <c r="F761" s="4">
        <v>0</v>
      </c>
      <c r="G761" s="4">
        <v>0</v>
      </c>
      <c r="H761" s="3">
        <v>46065</v>
      </c>
      <c r="I761" s="4">
        <v>946.38</v>
      </c>
      <c r="J761" s="2" t="s">
        <v>4824</v>
      </c>
      <c r="K761" s="3">
        <v>46054</v>
      </c>
      <c r="L761" s="2">
        <f>IF(G761&lt;=0,0,MAX(0,Assumptions!$B$3-K761))</f>
        <v>0</v>
      </c>
      <c r="M761" s="2" t="str">
        <f t="shared" si="23"/>
        <v>Current</v>
      </c>
      <c r="N761" s="4">
        <v>0</v>
      </c>
      <c r="O761" s="2" t="s">
        <v>78</v>
      </c>
      <c r="P761" s="2" t="s">
        <v>36</v>
      </c>
    </row>
    <row r="762" spans="1:16" x14ac:dyDescent="0.2">
      <c r="A762" s="2" t="s">
        <v>4377</v>
      </c>
      <c r="B762" s="2" t="s">
        <v>4378</v>
      </c>
      <c r="C762" s="4">
        <v>1178.6199999999999</v>
      </c>
      <c r="D762" s="4">
        <f t="shared" si="22"/>
        <v>14143.439999999999</v>
      </c>
      <c r="E762" s="2" t="s">
        <v>78</v>
      </c>
      <c r="F762" s="4">
        <v>0</v>
      </c>
      <c r="G762" s="4">
        <v>0</v>
      </c>
      <c r="H762" s="3">
        <v>46068</v>
      </c>
      <c r="I762" s="4">
        <v>1160.69</v>
      </c>
      <c r="J762" s="2" t="s">
        <v>4825</v>
      </c>
      <c r="K762" s="3">
        <v>46054</v>
      </c>
      <c r="L762" s="2">
        <f>IF(G762&lt;=0,0,MAX(0,Assumptions!$B$3-K762))</f>
        <v>0</v>
      </c>
      <c r="M762" s="2" t="str">
        <f t="shared" si="23"/>
        <v>Current</v>
      </c>
      <c r="N762" s="4">
        <v>0</v>
      </c>
      <c r="O762" s="2" t="s">
        <v>78</v>
      </c>
      <c r="P762" s="2" t="s">
        <v>36</v>
      </c>
    </row>
    <row r="763" spans="1:16" x14ac:dyDescent="0.2">
      <c r="A763" s="2" t="s">
        <v>4383</v>
      </c>
      <c r="B763" s="2" t="s">
        <v>2665</v>
      </c>
      <c r="C763" s="4">
        <v>1178.6199999999999</v>
      </c>
      <c r="D763" s="4">
        <f t="shared" si="22"/>
        <v>14143.439999999999</v>
      </c>
      <c r="E763" s="2" t="s">
        <v>78</v>
      </c>
      <c r="F763" s="4">
        <v>0</v>
      </c>
      <c r="G763" s="4">
        <v>0</v>
      </c>
      <c r="H763" s="3">
        <v>46063</v>
      </c>
      <c r="I763" s="4">
        <v>1110.1099999999999</v>
      </c>
      <c r="J763" s="2" t="s">
        <v>4827</v>
      </c>
      <c r="K763" s="3">
        <v>46054</v>
      </c>
      <c r="L763" s="2">
        <f>IF(G763&lt;=0,0,MAX(0,Assumptions!$B$3-K763))</f>
        <v>0</v>
      </c>
      <c r="M763" s="2" t="str">
        <f t="shared" si="23"/>
        <v>Current</v>
      </c>
      <c r="N763" s="4">
        <v>0</v>
      </c>
      <c r="O763" s="2" t="s">
        <v>78</v>
      </c>
      <c r="P763" s="2" t="s">
        <v>36</v>
      </c>
    </row>
    <row r="764" spans="1:16" x14ac:dyDescent="0.2">
      <c r="A764" s="2" t="s">
        <v>4387</v>
      </c>
      <c r="B764" s="2" t="s">
        <v>4098</v>
      </c>
      <c r="C764" s="4">
        <v>1178.6199999999999</v>
      </c>
      <c r="D764" s="4">
        <f t="shared" si="22"/>
        <v>14143.439999999999</v>
      </c>
      <c r="E764" s="2" t="s">
        <v>36</v>
      </c>
      <c r="F764" s="4">
        <v>3927.87</v>
      </c>
      <c r="G764" s="4">
        <v>25</v>
      </c>
      <c r="H764" s="3">
        <v>46030</v>
      </c>
      <c r="I764" s="4">
        <v>1116.8800000000001</v>
      </c>
      <c r="J764" s="2" t="s">
        <v>4824</v>
      </c>
      <c r="K764" s="3">
        <v>46054</v>
      </c>
      <c r="L764" s="2">
        <f>IF(G764&lt;=0,0,MAX(0,Assumptions!$B$3-K764))</f>
        <v>0</v>
      </c>
      <c r="M764" s="2" t="str">
        <f t="shared" si="23"/>
        <v>30 days</v>
      </c>
      <c r="N764" s="4">
        <v>0</v>
      </c>
      <c r="O764" s="2" t="s">
        <v>78</v>
      </c>
      <c r="P764" s="2" t="s">
        <v>78</v>
      </c>
    </row>
    <row r="765" spans="1:16" x14ac:dyDescent="0.2">
      <c r="A765" s="2" t="s">
        <v>4392</v>
      </c>
      <c r="B765" s="2" t="s">
        <v>2313</v>
      </c>
      <c r="C765" s="4">
        <v>1178.6199999999999</v>
      </c>
      <c r="D765" s="4">
        <f t="shared" si="22"/>
        <v>14143.439999999999</v>
      </c>
      <c r="E765" s="2" t="s">
        <v>78</v>
      </c>
      <c r="F765" s="4">
        <v>0</v>
      </c>
      <c r="G765" s="4">
        <v>0</v>
      </c>
      <c r="H765" s="3">
        <v>46031</v>
      </c>
      <c r="I765" s="4">
        <v>982.78</v>
      </c>
      <c r="J765" s="2" t="s">
        <v>4823</v>
      </c>
      <c r="K765" s="3">
        <v>46054</v>
      </c>
      <c r="L765" s="2">
        <f>IF(G765&lt;=0,0,MAX(0,Assumptions!$B$3-K765))</f>
        <v>0</v>
      </c>
      <c r="M765" s="2" t="str">
        <f t="shared" si="23"/>
        <v>Current</v>
      </c>
      <c r="N765" s="4">
        <v>0</v>
      </c>
      <c r="O765" s="2" t="s">
        <v>78</v>
      </c>
      <c r="P765" s="2" t="s">
        <v>36</v>
      </c>
    </row>
    <row r="766" spans="1:16" x14ac:dyDescent="0.2">
      <c r="A766" s="2" t="s">
        <v>4397</v>
      </c>
      <c r="B766" s="2" t="s">
        <v>849</v>
      </c>
      <c r="C766" s="4">
        <v>1627.62</v>
      </c>
      <c r="D766" s="4">
        <f t="shared" si="22"/>
        <v>19531.439999999999</v>
      </c>
      <c r="E766" s="2" t="s">
        <v>78</v>
      </c>
      <c r="F766" s="4">
        <v>0</v>
      </c>
      <c r="G766" s="4">
        <v>15</v>
      </c>
      <c r="H766" s="3">
        <v>46037</v>
      </c>
      <c r="I766" s="4">
        <v>1927.08</v>
      </c>
      <c r="J766" s="2" t="s">
        <v>4824</v>
      </c>
      <c r="K766" s="3">
        <v>46054</v>
      </c>
      <c r="L766" s="2">
        <f>IF(G766&lt;=0,0,MAX(0,Assumptions!$B$3-K766))</f>
        <v>0</v>
      </c>
      <c r="M766" s="2" t="str">
        <f t="shared" si="23"/>
        <v>30 days</v>
      </c>
      <c r="N766" s="4">
        <v>0</v>
      </c>
      <c r="O766" s="2" t="s">
        <v>78</v>
      </c>
      <c r="P766" s="2" t="s">
        <v>78</v>
      </c>
    </row>
    <row r="767" spans="1:16" x14ac:dyDescent="0.2">
      <c r="A767" s="2" t="s">
        <v>4402</v>
      </c>
      <c r="B767" s="2" t="s">
        <v>4403</v>
      </c>
      <c r="C767" s="4">
        <v>816.35</v>
      </c>
      <c r="D767" s="4">
        <f t="shared" si="22"/>
        <v>9796.2000000000007</v>
      </c>
      <c r="E767" s="2" t="s">
        <v>78</v>
      </c>
      <c r="F767" s="4">
        <v>0</v>
      </c>
      <c r="G767" s="4">
        <v>0</v>
      </c>
      <c r="H767" s="3">
        <v>46050</v>
      </c>
      <c r="I767" s="4">
        <v>731.92</v>
      </c>
      <c r="J767" s="2" t="s">
        <v>4824</v>
      </c>
      <c r="K767" s="3">
        <v>46054</v>
      </c>
      <c r="L767" s="2">
        <f>IF(G767&lt;=0,0,MAX(0,Assumptions!$B$3-K767))</f>
        <v>0</v>
      </c>
      <c r="M767" s="2" t="str">
        <f t="shared" si="23"/>
        <v>Current</v>
      </c>
      <c r="N767" s="4">
        <v>0</v>
      </c>
      <c r="O767" s="2" t="s">
        <v>78</v>
      </c>
      <c r="P767" s="2" t="s">
        <v>78</v>
      </c>
    </row>
    <row r="768" spans="1:16" x14ac:dyDescent="0.2">
      <c r="A768" s="2" t="s">
        <v>4407</v>
      </c>
      <c r="B768" s="2" t="s">
        <v>4322</v>
      </c>
      <c r="C768" s="4">
        <v>816.35</v>
      </c>
      <c r="D768" s="4">
        <f t="shared" si="22"/>
        <v>9796.2000000000007</v>
      </c>
      <c r="E768" s="2" t="s">
        <v>78</v>
      </c>
      <c r="F768" s="4">
        <v>0</v>
      </c>
      <c r="G768" s="4">
        <v>0</v>
      </c>
      <c r="H768" s="3">
        <v>46044</v>
      </c>
      <c r="I768" s="4">
        <v>852.3</v>
      </c>
      <c r="J768" s="2" t="s">
        <v>4825</v>
      </c>
      <c r="K768" s="3">
        <v>46054</v>
      </c>
      <c r="L768" s="2">
        <f>IF(G768&lt;=0,0,MAX(0,Assumptions!$B$3-K768))</f>
        <v>0</v>
      </c>
      <c r="M768" s="2" t="str">
        <f t="shared" si="23"/>
        <v>Current</v>
      </c>
      <c r="N768" s="4">
        <v>0</v>
      </c>
      <c r="O768" s="2" t="s">
        <v>78</v>
      </c>
      <c r="P768" s="2" t="s">
        <v>78</v>
      </c>
    </row>
    <row r="769" spans="1:16" x14ac:dyDescent="0.2">
      <c r="A769" s="2" t="s">
        <v>4411</v>
      </c>
      <c r="B769" s="2" t="s">
        <v>4412</v>
      </c>
      <c r="C769" s="4">
        <v>816.35</v>
      </c>
      <c r="D769" s="4">
        <f t="shared" si="22"/>
        <v>9796.2000000000007</v>
      </c>
      <c r="E769" s="2" t="s">
        <v>78</v>
      </c>
      <c r="F769" s="4">
        <v>0</v>
      </c>
      <c r="G769" s="4">
        <v>0</v>
      </c>
      <c r="H769" s="3">
        <v>46055</v>
      </c>
      <c r="I769" s="4">
        <v>731.06</v>
      </c>
      <c r="J769" s="2" t="s">
        <v>4826</v>
      </c>
      <c r="K769" s="3">
        <v>46054</v>
      </c>
      <c r="L769" s="2">
        <f>IF(G769&lt;=0,0,MAX(0,Assumptions!$B$3-K769))</f>
        <v>0</v>
      </c>
      <c r="M769" s="2" t="str">
        <f t="shared" si="23"/>
        <v>Current</v>
      </c>
      <c r="N769" s="4">
        <v>0</v>
      </c>
      <c r="O769" s="2" t="s">
        <v>78</v>
      </c>
      <c r="P769" s="2" t="s">
        <v>36</v>
      </c>
    </row>
    <row r="770" spans="1:16" x14ac:dyDescent="0.2">
      <c r="A770" s="2" t="s">
        <v>4416</v>
      </c>
      <c r="B770" s="2" t="s">
        <v>2571</v>
      </c>
      <c r="C770" s="4">
        <v>816.35</v>
      </c>
      <c r="D770" s="4">
        <f t="shared" ref="D770:D833" si="24">C770*12</f>
        <v>9796.2000000000007</v>
      </c>
      <c r="E770" s="2" t="s">
        <v>78</v>
      </c>
      <c r="F770" s="4">
        <v>0</v>
      </c>
      <c r="G770" s="4">
        <v>15</v>
      </c>
      <c r="H770" s="3">
        <v>46057</v>
      </c>
      <c r="I770" s="4">
        <v>844.8</v>
      </c>
      <c r="J770" s="2" t="s">
        <v>4825</v>
      </c>
      <c r="K770" s="3">
        <v>46054</v>
      </c>
      <c r="L770" s="2">
        <f>IF(G770&lt;=0,0,MAX(0,Assumptions!$B$3-K770))</f>
        <v>0</v>
      </c>
      <c r="M770" s="2" t="str">
        <f t="shared" ref="M770:M833" si="25">IF(G770&lt;=0,"Current",IF(L770&lt;=30,"30 days",IF(L770&lt;=60,"60 days",IF(L770&lt;=90,"90 days","90+ days"))))</f>
        <v>30 days</v>
      </c>
      <c r="N770" s="4">
        <v>0</v>
      </c>
      <c r="O770" s="2" t="s">
        <v>78</v>
      </c>
      <c r="P770" s="2" t="s">
        <v>78</v>
      </c>
    </row>
    <row r="771" spans="1:16" x14ac:dyDescent="0.2">
      <c r="A771" s="2" t="s">
        <v>4420</v>
      </c>
      <c r="B771" s="2" t="s">
        <v>3327</v>
      </c>
      <c r="C771" s="4">
        <v>816.35</v>
      </c>
      <c r="D771" s="4">
        <f t="shared" si="24"/>
        <v>9796.2000000000007</v>
      </c>
      <c r="E771" s="2" t="s">
        <v>36</v>
      </c>
      <c r="F771" s="4">
        <v>1368.49</v>
      </c>
      <c r="G771" s="4">
        <v>0</v>
      </c>
      <c r="H771" s="3">
        <v>46035</v>
      </c>
      <c r="I771" s="4">
        <v>801.57</v>
      </c>
      <c r="J771" s="2" t="s">
        <v>4823</v>
      </c>
      <c r="K771" s="3">
        <v>46054</v>
      </c>
      <c r="L771" s="2">
        <f>IF(G771&lt;=0,0,MAX(0,Assumptions!$B$3-K771))</f>
        <v>0</v>
      </c>
      <c r="M771" s="2" t="str">
        <f t="shared" si="25"/>
        <v>Current</v>
      </c>
      <c r="N771" s="4">
        <v>0</v>
      </c>
      <c r="O771" s="2" t="s">
        <v>78</v>
      </c>
      <c r="P771" s="2" t="s">
        <v>36</v>
      </c>
    </row>
    <row r="772" spans="1:16" x14ac:dyDescent="0.2">
      <c r="A772" s="2" t="s">
        <v>4424</v>
      </c>
      <c r="B772" s="2" t="s">
        <v>704</v>
      </c>
      <c r="C772" s="4">
        <v>816.35</v>
      </c>
      <c r="D772" s="4">
        <f t="shared" si="24"/>
        <v>9796.2000000000007</v>
      </c>
      <c r="E772" s="2" t="s">
        <v>78</v>
      </c>
      <c r="F772" s="4">
        <v>0</v>
      </c>
      <c r="G772" s="4">
        <v>25</v>
      </c>
      <c r="H772" s="3">
        <v>46058</v>
      </c>
      <c r="I772" s="4">
        <v>846.82</v>
      </c>
      <c r="J772" s="2" t="s">
        <v>4826</v>
      </c>
      <c r="K772" s="3">
        <v>46054</v>
      </c>
      <c r="L772" s="2">
        <f>IF(G772&lt;=0,0,MAX(0,Assumptions!$B$3-K772))</f>
        <v>0</v>
      </c>
      <c r="M772" s="2" t="str">
        <f t="shared" si="25"/>
        <v>30 days</v>
      </c>
      <c r="N772" s="4">
        <v>0</v>
      </c>
      <c r="O772" s="2" t="s">
        <v>78</v>
      </c>
      <c r="P772" s="2" t="s">
        <v>78</v>
      </c>
    </row>
    <row r="773" spans="1:16" x14ac:dyDescent="0.2">
      <c r="A773" s="2" t="s">
        <v>4428</v>
      </c>
      <c r="B773" s="2" t="s">
        <v>2016</v>
      </c>
      <c r="C773" s="4">
        <v>1002.14</v>
      </c>
      <c r="D773" s="4">
        <f t="shared" si="24"/>
        <v>12025.68</v>
      </c>
      <c r="E773" s="2" t="s">
        <v>78</v>
      </c>
      <c r="F773" s="4">
        <v>0</v>
      </c>
      <c r="G773" s="4">
        <v>25</v>
      </c>
      <c r="H773" s="3">
        <v>46071</v>
      </c>
      <c r="I773" s="4">
        <v>1155.42</v>
      </c>
      <c r="J773" s="2" t="s">
        <v>4825</v>
      </c>
      <c r="K773" s="3">
        <v>46054</v>
      </c>
      <c r="L773" s="2">
        <f>IF(G773&lt;=0,0,MAX(0,Assumptions!$B$3-K773))</f>
        <v>0</v>
      </c>
      <c r="M773" s="2" t="str">
        <f t="shared" si="25"/>
        <v>30 days</v>
      </c>
      <c r="N773" s="4">
        <v>0</v>
      </c>
      <c r="O773" s="2" t="s">
        <v>78</v>
      </c>
      <c r="P773" s="2" t="s">
        <v>36</v>
      </c>
    </row>
    <row r="774" spans="1:16" x14ac:dyDescent="0.2">
      <c r="A774" s="2" t="s">
        <v>4432</v>
      </c>
      <c r="B774" s="2" t="s">
        <v>1912</v>
      </c>
      <c r="C774" s="4">
        <v>1002.14</v>
      </c>
      <c r="D774" s="4">
        <f t="shared" si="24"/>
        <v>12025.68</v>
      </c>
      <c r="E774" s="2" t="s">
        <v>78</v>
      </c>
      <c r="F774" s="4">
        <v>0</v>
      </c>
      <c r="G774" s="4">
        <v>15</v>
      </c>
      <c r="H774" s="3">
        <v>46042</v>
      </c>
      <c r="I774" s="4">
        <v>1105.72</v>
      </c>
      <c r="J774" s="2" t="s">
        <v>4827</v>
      </c>
      <c r="K774" s="3">
        <v>46054</v>
      </c>
      <c r="L774" s="2">
        <f>IF(G774&lt;=0,0,MAX(0,Assumptions!$B$3-K774))</f>
        <v>0</v>
      </c>
      <c r="M774" s="2" t="str">
        <f t="shared" si="25"/>
        <v>30 days</v>
      </c>
      <c r="N774" s="4">
        <v>0</v>
      </c>
      <c r="O774" s="2" t="s">
        <v>78</v>
      </c>
      <c r="P774" s="2" t="s">
        <v>78</v>
      </c>
    </row>
    <row r="775" spans="1:16" x14ac:dyDescent="0.2">
      <c r="A775" s="2" t="s">
        <v>4436</v>
      </c>
      <c r="B775" s="2" t="s">
        <v>966</v>
      </c>
      <c r="C775" s="4">
        <v>1002.14</v>
      </c>
      <c r="D775" s="4">
        <f t="shared" si="24"/>
        <v>12025.68</v>
      </c>
      <c r="E775" s="2" t="s">
        <v>78</v>
      </c>
      <c r="F775" s="4">
        <v>0</v>
      </c>
      <c r="G775" s="4">
        <v>0</v>
      </c>
      <c r="H775" s="3">
        <v>46038</v>
      </c>
      <c r="I775" s="4">
        <v>1090.44</v>
      </c>
      <c r="J775" s="2" t="s">
        <v>4824</v>
      </c>
      <c r="K775" s="3">
        <v>46054</v>
      </c>
      <c r="L775" s="2">
        <f>IF(G775&lt;=0,0,MAX(0,Assumptions!$B$3-K775))</f>
        <v>0</v>
      </c>
      <c r="M775" s="2" t="str">
        <f t="shared" si="25"/>
        <v>Current</v>
      </c>
      <c r="N775" s="4">
        <v>0</v>
      </c>
      <c r="O775" s="2" t="s">
        <v>78</v>
      </c>
      <c r="P775" s="2" t="s">
        <v>36</v>
      </c>
    </row>
    <row r="776" spans="1:16" x14ac:dyDescent="0.2">
      <c r="A776" s="2" t="s">
        <v>4441</v>
      </c>
      <c r="B776" s="2" t="s">
        <v>966</v>
      </c>
      <c r="C776" s="4">
        <v>1002.14</v>
      </c>
      <c r="D776" s="4">
        <f t="shared" si="24"/>
        <v>12025.68</v>
      </c>
      <c r="E776" s="2" t="s">
        <v>78</v>
      </c>
      <c r="F776" s="4">
        <v>0</v>
      </c>
      <c r="G776" s="4">
        <v>0</v>
      </c>
      <c r="H776" s="3">
        <v>46072</v>
      </c>
      <c r="I776" s="4">
        <v>1036.6500000000001</v>
      </c>
      <c r="J776" s="2" t="s">
        <v>4827</v>
      </c>
      <c r="K776" s="3">
        <v>46054</v>
      </c>
      <c r="L776" s="2">
        <f>IF(G776&lt;=0,0,MAX(0,Assumptions!$B$3-K776))</f>
        <v>0</v>
      </c>
      <c r="M776" s="2" t="str">
        <f t="shared" si="25"/>
        <v>Current</v>
      </c>
      <c r="N776" s="4">
        <v>0</v>
      </c>
      <c r="O776" s="2" t="s">
        <v>78</v>
      </c>
      <c r="P776" s="2" t="s">
        <v>36</v>
      </c>
    </row>
    <row r="777" spans="1:16" x14ac:dyDescent="0.2">
      <c r="A777" s="2" t="s">
        <v>4446</v>
      </c>
      <c r="B777" s="2" t="s">
        <v>3745</v>
      </c>
      <c r="C777" s="4">
        <v>1002.14</v>
      </c>
      <c r="D777" s="4">
        <f t="shared" si="24"/>
        <v>12025.68</v>
      </c>
      <c r="E777" s="2" t="s">
        <v>36</v>
      </c>
      <c r="F777" s="4">
        <v>5576.17</v>
      </c>
      <c r="G777" s="4">
        <v>0</v>
      </c>
      <c r="H777" s="3">
        <v>46058</v>
      </c>
      <c r="I777" s="4">
        <v>1077.6600000000001</v>
      </c>
      <c r="J777" s="2" t="s">
        <v>4827</v>
      </c>
      <c r="K777" s="3">
        <v>46054</v>
      </c>
      <c r="L777" s="2">
        <f>IF(G777&lt;=0,0,MAX(0,Assumptions!$B$3-K777))</f>
        <v>0</v>
      </c>
      <c r="M777" s="2" t="str">
        <f t="shared" si="25"/>
        <v>Current</v>
      </c>
      <c r="N777" s="4">
        <v>0</v>
      </c>
      <c r="O777" s="2" t="s">
        <v>78</v>
      </c>
      <c r="P777" s="2" t="s">
        <v>36</v>
      </c>
    </row>
    <row r="778" spans="1:16" x14ac:dyDescent="0.2">
      <c r="A778" s="2" t="s">
        <v>4451</v>
      </c>
      <c r="B778" s="2" t="s">
        <v>2406</v>
      </c>
      <c r="C778" s="4">
        <v>1002.14</v>
      </c>
      <c r="D778" s="4">
        <f t="shared" si="24"/>
        <v>12025.68</v>
      </c>
      <c r="E778" s="2" t="s">
        <v>78</v>
      </c>
      <c r="F778" s="4">
        <v>0</v>
      </c>
      <c r="G778" s="4">
        <v>0</v>
      </c>
      <c r="H778" s="3">
        <v>46035</v>
      </c>
      <c r="I778" s="4">
        <v>849.69</v>
      </c>
      <c r="J778" s="2" t="s">
        <v>4823</v>
      </c>
      <c r="K778" s="3">
        <v>46054</v>
      </c>
      <c r="L778" s="2">
        <f>IF(G778&lt;=0,0,MAX(0,Assumptions!$B$3-K778))</f>
        <v>0</v>
      </c>
      <c r="M778" s="2" t="str">
        <f t="shared" si="25"/>
        <v>Current</v>
      </c>
      <c r="N778" s="4">
        <v>0</v>
      </c>
      <c r="O778" s="2" t="s">
        <v>78</v>
      </c>
      <c r="P778" s="2" t="s">
        <v>78</v>
      </c>
    </row>
    <row r="779" spans="1:16" x14ac:dyDescent="0.2">
      <c r="A779" s="2" t="s">
        <v>4456</v>
      </c>
      <c r="B779" s="2" t="s">
        <v>1062</v>
      </c>
      <c r="C779" s="4">
        <v>1182.3</v>
      </c>
      <c r="D779" s="4">
        <f t="shared" si="24"/>
        <v>14187.599999999999</v>
      </c>
      <c r="E779" s="2" t="s">
        <v>78</v>
      </c>
      <c r="F779" s="4">
        <v>0</v>
      </c>
      <c r="G779" s="4">
        <v>0</v>
      </c>
      <c r="H779" s="3">
        <v>46050</v>
      </c>
      <c r="I779" s="4">
        <v>1234.2</v>
      </c>
      <c r="J779" s="2" t="s">
        <v>4827</v>
      </c>
      <c r="K779" s="3">
        <v>46054</v>
      </c>
      <c r="L779" s="2">
        <f>IF(G779&lt;=0,0,MAX(0,Assumptions!$B$3-K779))</f>
        <v>0</v>
      </c>
      <c r="M779" s="2" t="str">
        <f t="shared" si="25"/>
        <v>Current</v>
      </c>
      <c r="N779" s="4">
        <v>0</v>
      </c>
      <c r="O779" s="2" t="s">
        <v>78</v>
      </c>
      <c r="P779" s="2" t="s">
        <v>78</v>
      </c>
    </row>
    <row r="780" spans="1:16" x14ac:dyDescent="0.2">
      <c r="A780" s="2" t="s">
        <v>4461</v>
      </c>
      <c r="B780" s="2" t="s">
        <v>331</v>
      </c>
      <c r="C780" s="4">
        <v>1182.3</v>
      </c>
      <c r="D780" s="4">
        <f t="shared" si="24"/>
        <v>14187.599999999999</v>
      </c>
      <c r="E780" s="2" t="s">
        <v>78</v>
      </c>
      <c r="F780" s="4">
        <v>0</v>
      </c>
      <c r="G780" s="4">
        <v>0</v>
      </c>
      <c r="H780" s="3">
        <v>46066</v>
      </c>
      <c r="I780" s="4">
        <v>1357.68</v>
      </c>
      <c r="J780" s="2" t="s">
        <v>4824</v>
      </c>
      <c r="K780" s="3">
        <v>46054</v>
      </c>
      <c r="L780" s="2">
        <f>IF(G780&lt;=0,0,MAX(0,Assumptions!$B$3-K780))</f>
        <v>0</v>
      </c>
      <c r="M780" s="2" t="str">
        <f t="shared" si="25"/>
        <v>Current</v>
      </c>
      <c r="N780" s="4">
        <v>0</v>
      </c>
      <c r="O780" s="2" t="s">
        <v>78</v>
      </c>
      <c r="P780" s="2" t="s">
        <v>36</v>
      </c>
    </row>
    <row r="781" spans="1:16" x14ac:dyDescent="0.2">
      <c r="A781" s="2" t="s">
        <v>4465</v>
      </c>
      <c r="B781" s="2" t="s">
        <v>4466</v>
      </c>
      <c r="C781" s="4">
        <v>1182.3</v>
      </c>
      <c r="D781" s="4">
        <f t="shared" si="24"/>
        <v>14187.599999999999</v>
      </c>
      <c r="E781" s="2" t="s">
        <v>78</v>
      </c>
      <c r="F781" s="4">
        <v>0</v>
      </c>
      <c r="G781" s="4">
        <v>0</v>
      </c>
      <c r="H781" s="3">
        <v>46040</v>
      </c>
      <c r="I781" s="4">
        <v>1171.5899999999999</v>
      </c>
      <c r="J781" s="2" t="s">
        <v>4825</v>
      </c>
      <c r="K781" s="3">
        <v>46054</v>
      </c>
      <c r="L781" s="2">
        <f>IF(G781&lt;=0,0,MAX(0,Assumptions!$B$3-K781))</f>
        <v>0</v>
      </c>
      <c r="M781" s="2" t="str">
        <f t="shared" si="25"/>
        <v>Current</v>
      </c>
      <c r="N781" s="4">
        <v>0</v>
      </c>
      <c r="O781" s="2" t="s">
        <v>78</v>
      </c>
      <c r="P781" s="2" t="s">
        <v>78</v>
      </c>
    </row>
    <row r="782" spans="1:16" x14ac:dyDescent="0.2">
      <c r="A782" s="2" t="s">
        <v>4471</v>
      </c>
      <c r="B782" s="2" t="s">
        <v>1387</v>
      </c>
      <c r="C782" s="4">
        <v>1182.3</v>
      </c>
      <c r="D782" s="4">
        <f t="shared" si="24"/>
        <v>14187.599999999999</v>
      </c>
      <c r="E782" s="2" t="s">
        <v>78</v>
      </c>
      <c r="F782" s="4">
        <v>0</v>
      </c>
      <c r="G782" s="4">
        <v>0</v>
      </c>
      <c r="H782" s="3">
        <v>46063</v>
      </c>
      <c r="I782" s="4">
        <v>1391.14</v>
      </c>
      <c r="J782" s="2" t="s">
        <v>4824</v>
      </c>
      <c r="K782" s="3">
        <v>46054</v>
      </c>
      <c r="L782" s="2">
        <f>IF(G782&lt;=0,0,MAX(0,Assumptions!$B$3-K782))</f>
        <v>0</v>
      </c>
      <c r="M782" s="2" t="str">
        <f t="shared" si="25"/>
        <v>Current</v>
      </c>
      <c r="N782" s="4">
        <v>0</v>
      </c>
      <c r="O782" s="2" t="s">
        <v>78</v>
      </c>
      <c r="P782" s="2" t="s">
        <v>78</v>
      </c>
    </row>
    <row r="783" spans="1:16" x14ac:dyDescent="0.2">
      <c r="A783" s="2" t="s">
        <v>4476</v>
      </c>
      <c r="B783" s="2" t="s">
        <v>345</v>
      </c>
      <c r="C783" s="4">
        <v>1632.7</v>
      </c>
      <c r="D783" s="4">
        <f t="shared" si="24"/>
        <v>19592.400000000001</v>
      </c>
      <c r="E783" s="2" t="s">
        <v>78</v>
      </c>
      <c r="F783" s="4">
        <v>0</v>
      </c>
      <c r="G783" s="4">
        <v>0</v>
      </c>
      <c r="H783" s="3">
        <v>46052</v>
      </c>
      <c r="I783" s="4">
        <v>1526.7</v>
      </c>
      <c r="J783" s="2" t="s">
        <v>4825</v>
      </c>
      <c r="K783" s="3">
        <v>46054</v>
      </c>
      <c r="L783" s="2">
        <f>IF(G783&lt;=0,0,MAX(0,Assumptions!$B$3-K783))</f>
        <v>0</v>
      </c>
      <c r="M783" s="2" t="str">
        <f t="shared" si="25"/>
        <v>Current</v>
      </c>
      <c r="N783" s="4">
        <v>0</v>
      </c>
      <c r="O783" s="2" t="s">
        <v>78</v>
      </c>
      <c r="P783" s="2" t="s">
        <v>36</v>
      </c>
    </row>
    <row r="784" spans="1:16" x14ac:dyDescent="0.2">
      <c r="A784" s="2" t="s">
        <v>4481</v>
      </c>
      <c r="B784" s="2" t="s">
        <v>549</v>
      </c>
      <c r="C784" s="4">
        <v>818.89</v>
      </c>
      <c r="D784" s="4">
        <f t="shared" si="24"/>
        <v>9826.68</v>
      </c>
      <c r="E784" s="2" t="s">
        <v>78</v>
      </c>
      <c r="F784" s="4">
        <v>0</v>
      </c>
      <c r="G784" s="4">
        <v>1692.04</v>
      </c>
      <c r="H784" s="3">
        <v>45972</v>
      </c>
      <c r="I784" s="4">
        <v>788.51</v>
      </c>
      <c r="J784" s="2" t="s">
        <v>4827</v>
      </c>
      <c r="K784" s="3">
        <v>45994</v>
      </c>
      <c r="L784" s="2">
        <f>IF(G784&lt;=0,0,MAX(0,Assumptions!$B$3-K784))</f>
        <v>0</v>
      </c>
      <c r="M784" s="2" t="str">
        <f t="shared" si="25"/>
        <v>30 days</v>
      </c>
      <c r="N784" s="4">
        <v>0</v>
      </c>
      <c r="O784" s="2" t="s">
        <v>78</v>
      </c>
      <c r="P784" s="2" t="s">
        <v>78</v>
      </c>
    </row>
    <row r="785" spans="1:16" x14ac:dyDescent="0.2">
      <c r="A785" s="2" t="s">
        <v>4485</v>
      </c>
      <c r="B785" s="2" t="s">
        <v>707</v>
      </c>
      <c r="C785" s="4">
        <v>818.89</v>
      </c>
      <c r="D785" s="4">
        <f t="shared" si="24"/>
        <v>9826.68</v>
      </c>
      <c r="E785" s="2" t="s">
        <v>78</v>
      </c>
      <c r="F785" s="4">
        <v>0</v>
      </c>
      <c r="G785" s="4">
        <v>0</v>
      </c>
      <c r="H785" s="3">
        <v>46048</v>
      </c>
      <c r="I785" s="4">
        <v>795.53</v>
      </c>
      <c r="J785" s="2" t="s">
        <v>4825</v>
      </c>
      <c r="K785" s="3">
        <v>46054</v>
      </c>
      <c r="L785" s="2">
        <f>IF(G785&lt;=0,0,MAX(0,Assumptions!$B$3-K785))</f>
        <v>0</v>
      </c>
      <c r="M785" s="2" t="str">
        <f t="shared" si="25"/>
        <v>Current</v>
      </c>
      <c r="N785" s="4">
        <v>0</v>
      </c>
      <c r="O785" s="2" t="s">
        <v>78</v>
      </c>
      <c r="P785" s="2" t="s">
        <v>78</v>
      </c>
    </row>
    <row r="786" spans="1:16" x14ac:dyDescent="0.2">
      <c r="A786" s="2" t="s">
        <v>4489</v>
      </c>
      <c r="B786" s="2" t="s">
        <v>4098</v>
      </c>
      <c r="C786" s="4">
        <v>818.89</v>
      </c>
      <c r="D786" s="4">
        <f t="shared" si="24"/>
        <v>9826.68</v>
      </c>
      <c r="E786" s="2" t="s">
        <v>78</v>
      </c>
      <c r="F786" s="4">
        <v>0</v>
      </c>
      <c r="G786" s="4">
        <v>0</v>
      </c>
      <c r="H786" s="3">
        <v>46072</v>
      </c>
      <c r="I786" s="4">
        <v>962.64</v>
      </c>
      <c r="J786" s="2" t="s">
        <v>4826</v>
      </c>
      <c r="K786" s="3">
        <v>46054</v>
      </c>
      <c r="L786" s="2">
        <f>IF(G786&lt;=0,0,MAX(0,Assumptions!$B$3-K786))</f>
        <v>0</v>
      </c>
      <c r="M786" s="2" t="str">
        <f t="shared" si="25"/>
        <v>Current</v>
      </c>
      <c r="N786" s="4">
        <v>0</v>
      </c>
      <c r="O786" s="2" t="s">
        <v>78</v>
      </c>
      <c r="P786" s="2" t="s">
        <v>36</v>
      </c>
    </row>
    <row r="787" spans="1:16" x14ac:dyDescent="0.2">
      <c r="A787" s="2" t="s">
        <v>4493</v>
      </c>
      <c r="B787" s="2" t="s">
        <v>1661</v>
      </c>
      <c r="C787" s="4">
        <v>818.89</v>
      </c>
      <c r="D787" s="4">
        <f t="shared" si="24"/>
        <v>9826.68</v>
      </c>
      <c r="E787" s="2" t="s">
        <v>78</v>
      </c>
      <c r="F787" s="4">
        <v>0</v>
      </c>
      <c r="G787" s="4">
        <v>-50</v>
      </c>
      <c r="H787" s="3">
        <v>46049</v>
      </c>
      <c r="I787" s="4">
        <v>785.42</v>
      </c>
      <c r="J787" s="2" t="s">
        <v>4824</v>
      </c>
      <c r="K787" s="3">
        <v>46054</v>
      </c>
      <c r="L787" s="2">
        <f>IF(G787&lt;=0,0,MAX(0,Assumptions!$B$3-K787))</f>
        <v>0</v>
      </c>
      <c r="M787" s="2" t="str">
        <f t="shared" si="25"/>
        <v>Current</v>
      </c>
      <c r="N787" s="4">
        <v>0</v>
      </c>
      <c r="O787" s="2" t="s">
        <v>78</v>
      </c>
      <c r="P787" s="2" t="s">
        <v>36</v>
      </c>
    </row>
    <row r="788" spans="1:16" x14ac:dyDescent="0.2">
      <c r="A788" s="2" t="s">
        <v>4497</v>
      </c>
      <c r="B788" s="2" t="s">
        <v>1661</v>
      </c>
      <c r="C788" s="4">
        <v>818.89</v>
      </c>
      <c r="D788" s="4">
        <f t="shared" si="24"/>
        <v>9826.68</v>
      </c>
      <c r="E788" s="2" t="s">
        <v>78</v>
      </c>
      <c r="F788" s="4">
        <v>0</v>
      </c>
      <c r="G788" s="4">
        <v>2498.02</v>
      </c>
      <c r="H788" s="3">
        <v>45920</v>
      </c>
      <c r="I788" s="4">
        <v>635.69000000000005</v>
      </c>
      <c r="J788" s="2" t="s">
        <v>4826</v>
      </c>
      <c r="K788" s="3">
        <v>45964</v>
      </c>
      <c r="L788" s="2">
        <f>IF(G788&lt;=0,0,MAX(0,Assumptions!$B$3-K788))</f>
        <v>0</v>
      </c>
      <c r="M788" s="2" t="str">
        <f t="shared" si="25"/>
        <v>30 days</v>
      </c>
      <c r="N788" s="4">
        <v>0</v>
      </c>
      <c r="O788" s="2" t="s">
        <v>36</v>
      </c>
      <c r="P788" s="2" t="s">
        <v>78</v>
      </c>
    </row>
    <row r="789" spans="1:16" x14ac:dyDescent="0.2">
      <c r="A789" s="2" t="s">
        <v>4501</v>
      </c>
      <c r="B789" s="2" t="s">
        <v>4502</v>
      </c>
      <c r="C789" s="4">
        <v>818.89</v>
      </c>
      <c r="D789" s="4">
        <f t="shared" si="24"/>
        <v>9826.68</v>
      </c>
      <c r="E789" s="2" t="s">
        <v>78</v>
      </c>
      <c r="F789" s="4">
        <v>0</v>
      </c>
      <c r="G789" s="4">
        <v>0</v>
      </c>
      <c r="H789" s="3">
        <v>46046</v>
      </c>
      <c r="I789" s="4">
        <v>821.86</v>
      </c>
      <c r="J789" s="2" t="s">
        <v>4826</v>
      </c>
      <c r="K789" s="3">
        <v>46054</v>
      </c>
      <c r="L789" s="2">
        <f>IF(G789&lt;=0,0,MAX(0,Assumptions!$B$3-K789))</f>
        <v>0</v>
      </c>
      <c r="M789" s="2" t="str">
        <f t="shared" si="25"/>
        <v>Current</v>
      </c>
      <c r="N789" s="4">
        <v>0</v>
      </c>
      <c r="O789" s="2" t="s">
        <v>78</v>
      </c>
      <c r="P789" s="2" t="s">
        <v>36</v>
      </c>
    </row>
    <row r="790" spans="1:16" x14ac:dyDescent="0.2">
      <c r="A790" s="2" t="s">
        <v>4506</v>
      </c>
      <c r="B790" s="2" t="s">
        <v>3320</v>
      </c>
      <c r="C790" s="4">
        <v>1005.25</v>
      </c>
      <c r="D790" s="4">
        <f t="shared" si="24"/>
        <v>12063</v>
      </c>
      <c r="E790" s="2" t="s">
        <v>78</v>
      </c>
      <c r="F790" s="4">
        <v>0</v>
      </c>
      <c r="G790" s="4">
        <v>0</v>
      </c>
      <c r="H790" s="3">
        <v>46046</v>
      </c>
      <c r="I790" s="4">
        <v>1111.02</v>
      </c>
      <c r="J790" s="2" t="s">
        <v>4826</v>
      </c>
      <c r="K790" s="3">
        <v>46054</v>
      </c>
      <c r="L790" s="2">
        <f>IF(G790&lt;=0,0,MAX(0,Assumptions!$B$3-K790))</f>
        <v>0</v>
      </c>
      <c r="M790" s="2" t="str">
        <f t="shared" si="25"/>
        <v>Current</v>
      </c>
      <c r="N790" s="4">
        <v>0</v>
      </c>
      <c r="O790" s="2" t="s">
        <v>78</v>
      </c>
      <c r="P790" s="2" t="s">
        <v>36</v>
      </c>
    </row>
    <row r="791" spans="1:16" x14ac:dyDescent="0.2">
      <c r="A791" s="2" t="s">
        <v>4512</v>
      </c>
      <c r="B791" s="2" t="s">
        <v>4513</v>
      </c>
      <c r="C791" s="4">
        <v>1005.25</v>
      </c>
      <c r="D791" s="4">
        <f t="shared" si="24"/>
        <v>12063</v>
      </c>
      <c r="E791" s="2" t="s">
        <v>78</v>
      </c>
      <c r="F791" s="4">
        <v>0</v>
      </c>
      <c r="G791" s="4">
        <v>0</v>
      </c>
      <c r="H791" s="3">
        <v>46071</v>
      </c>
      <c r="I791" s="4">
        <v>850.77</v>
      </c>
      <c r="J791" s="2" t="s">
        <v>4827</v>
      </c>
      <c r="K791" s="3">
        <v>46054</v>
      </c>
      <c r="L791" s="2">
        <f>IF(G791&lt;=0,0,MAX(0,Assumptions!$B$3-K791))</f>
        <v>0</v>
      </c>
      <c r="M791" s="2" t="str">
        <f t="shared" si="25"/>
        <v>Current</v>
      </c>
      <c r="N791" s="4">
        <v>0</v>
      </c>
      <c r="O791" s="2" t="s">
        <v>78</v>
      </c>
      <c r="P791" s="2" t="s">
        <v>78</v>
      </c>
    </row>
    <row r="792" spans="1:16" x14ac:dyDescent="0.2">
      <c r="A792" s="2" t="s">
        <v>4518</v>
      </c>
      <c r="B792" s="2" t="s">
        <v>4519</v>
      </c>
      <c r="C792" s="4">
        <v>1005.25</v>
      </c>
      <c r="D792" s="4">
        <f t="shared" si="24"/>
        <v>12063</v>
      </c>
      <c r="E792" s="2" t="s">
        <v>78</v>
      </c>
      <c r="F792" s="4">
        <v>0</v>
      </c>
      <c r="G792" s="4">
        <v>0</v>
      </c>
      <c r="H792" s="3">
        <v>46061</v>
      </c>
      <c r="I792" s="4">
        <v>941.96</v>
      </c>
      <c r="J792" s="2" t="s">
        <v>4826</v>
      </c>
      <c r="K792" s="3">
        <v>46054</v>
      </c>
      <c r="L792" s="2">
        <f>IF(G792&lt;=0,0,MAX(0,Assumptions!$B$3-K792))</f>
        <v>0</v>
      </c>
      <c r="M792" s="2" t="str">
        <f t="shared" si="25"/>
        <v>Current</v>
      </c>
      <c r="N792" s="4">
        <v>0</v>
      </c>
      <c r="O792" s="2" t="s">
        <v>78</v>
      </c>
      <c r="P792" s="2" t="s">
        <v>36</v>
      </c>
    </row>
    <row r="793" spans="1:16" x14ac:dyDescent="0.2">
      <c r="A793" s="2" t="s">
        <v>4523</v>
      </c>
      <c r="B793" s="2" t="s">
        <v>2031</v>
      </c>
      <c r="C793" s="4">
        <v>1005.25</v>
      </c>
      <c r="D793" s="4">
        <f t="shared" si="24"/>
        <v>12063</v>
      </c>
      <c r="E793" s="2" t="s">
        <v>78</v>
      </c>
      <c r="F793" s="4">
        <v>0</v>
      </c>
      <c r="G793" s="4">
        <v>15</v>
      </c>
      <c r="H793" s="3">
        <v>46065</v>
      </c>
      <c r="I793" s="4">
        <v>968.04</v>
      </c>
      <c r="J793" s="2" t="s">
        <v>4826</v>
      </c>
      <c r="K793" s="3">
        <v>46054</v>
      </c>
      <c r="L793" s="2">
        <f>IF(G793&lt;=0,0,MAX(0,Assumptions!$B$3-K793))</f>
        <v>0</v>
      </c>
      <c r="M793" s="2" t="str">
        <f t="shared" si="25"/>
        <v>30 days</v>
      </c>
      <c r="N793" s="4">
        <v>0</v>
      </c>
      <c r="O793" s="2" t="s">
        <v>78</v>
      </c>
      <c r="P793" s="2" t="s">
        <v>78</v>
      </c>
    </row>
    <row r="794" spans="1:16" x14ac:dyDescent="0.2">
      <c r="A794" s="2" t="s">
        <v>4528</v>
      </c>
      <c r="B794" s="2" t="s">
        <v>4529</v>
      </c>
      <c r="C794" s="4">
        <v>1005.25</v>
      </c>
      <c r="D794" s="4">
        <f t="shared" si="24"/>
        <v>12063</v>
      </c>
      <c r="E794" s="2" t="s">
        <v>78</v>
      </c>
      <c r="F794" s="4">
        <v>0</v>
      </c>
      <c r="G794" s="4">
        <v>0</v>
      </c>
      <c r="H794" s="3">
        <v>46067</v>
      </c>
      <c r="I794" s="4">
        <v>1072.4100000000001</v>
      </c>
      <c r="J794" s="2" t="s">
        <v>4823</v>
      </c>
      <c r="K794" s="3">
        <v>46054</v>
      </c>
      <c r="L794" s="2">
        <f>IF(G794&lt;=0,0,MAX(0,Assumptions!$B$3-K794))</f>
        <v>0</v>
      </c>
      <c r="M794" s="2" t="str">
        <f t="shared" si="25"/>
        <v>Current</v>
      </c>
      <c r="N794" s="4">
        <v>0</v>
      </c>
      <c r="O794" s="2" t="s">
        <v>78</v>
      </c>
      <c r="P794" s="2" t="s">
        <v>36</v>
      </c>
    </row>
    <row r="795" spans="1:16" x14ac:dyDescent="0.2">
      <c r="A795" s="2" t="s">
        <v>4534</v>
      </c>
      <c r="B795" s="2" t="s">
        <v>4535</v>
      </c>
      <c r="C795" s="4">
        <v>1005.25</v>
      </c>
      <c r="D795" s="4">
        <f t="shared" si="24"/>
        <v>12063</v>
      </c>
      <c r="E795" s="2" t="s">
        <v>78</v>
      </c>
      <c r="F795" s="4">
        <v>0</v>
      </c>
      <c r="G795" s="4">
        <v>15</v>
      </c>
      <c r="H795" s="3">
        <v>46050</v>
      </c>
      <c r="I795" s="4">
        <v>1203.56</v>
      </c>
      <c r="J795" s="2" t="s">
        <v>4824</v>
      </c>
      <c r="K795" s="3">
        <v>46054</v>
      </c>
      <c r="L795" s="2">
        <f>IF(G795&lt;=0,0,MAX(0,Assumptions!$B$3-K795))</f>
        <v>0</v>
      </c>
      <c r="M795" s="2" t="str">
        <f t="shared" si="25"/>
        <v>30 days</v>
      </c>
      <c r="N795" s="4">
        <v>0</v>
      </c>
      <c r="O795" s="2" t="s">
        <v>78</v>
      </c>
      <c r="P795" s="2" t="s">
        <v>36</v>
      </c>
    </row>
    <row r="796" spans="1:16" x14ac:dyDescent="0.2">
      <c r="A796" s="2" t="s">
        <v>4540</v>
      </c>
      <c r="B796" s="2" t="s">
        <v>1706</v>
      </c>
      <c r="C796" s="4">
        <v>1185.97</v>
      </c>
      <c r="D796" s="4">
        <f t="shared" si="24"/>
        <v>14231.64</v>
      </c>
      <c r="E796" s="2" t="s">
        <v>78</v>
      </c>
      <c r="F796" s="4">
        <v>0</v>
      </c>
      <c r="G796" s="4">
        <v>0</v>
      </c>
      <c r="H796" s="3">
        <v>46072</v>
      </c>
      <c r="I796" s="4">
        <v>1287.8</v>
      </c>
      <c r="J796" s="2" t="s">
        <v>4823</v>
      </c>
      <c r="K796" s="3">
        <v>46054</v>
      </c>
      <c r="L796" s="2">
        <f>IF(G796&lt;=0,0,MAX(0,Assumptions!$B$3-K796))</f>
        <v>0</v>
      </c>
      <c r="M796" s="2" t="str">
        <f t="shared" si="25"/>
        <v>Current</v>
      </c>
      <c r="N796" s="4">
        <v>0</v>
      </c>
      <c r="O796" s="2" t="s">
        <v>78</v>
      </c>
      <c r="P796" s="2" t="s">
        <v>78</v>
      </c>
    </row>
    <row r="797" spans="1:16" x14ac:dyDescent="0.2">
      <c r="A797" s="2" t="s">
        <v>4545</v>
      </c>
      <c r="B797" s="2" t="s">
        <v>4546</v>
      </c>
      <c r="C797" s="4">
        <v>1185.97</v>
      </c>
      <c r="D797" s="4">
        <f t="shared" si="24"/>
        <v>14231.64</v>
      </c>
      <c r="E797" s="2" t="s">
        <v>78</v>
      </c>
      <c r="F797" s="4">
        <v>0</v>
      </c>
      <c r="G797" s="4">
        <v>0</v>
      </c>
      <c r="H797" s="3">
        <v>46034</v>
      </c>
      <c r="I797" s="4">
        <v>1220.47</v>
      </c>
      <c r="J797" s="2" t="s">
        <v>4823</v>
      </c>
      <c r="K797" s="3">
        <v>46054</v>
      </c>
      <c r="L797" s="2">
        <f>IF(G797&lt;=0,0,MAX(0,Assumptions!$B$3-K797))</f>
        <v>0</v>
      </c>
      <c r="M797" s="2" t="str">
        <f t="shared" si="25"/>
        <v>Current</v>
      </c>
      <c r="N797" s="4">
        <v>0</v>
      </c>
      <c r="O797" s="2" t="s">
        <v>78</v>
      </c>
      <c r="P797" s="2" t="s">
        <v>78</v>
      </c>
    </row>
    <row r="798" spans="1:16" x14ac:dyDescent="0.2">
      <c r="A798" s="2" t="s">
        <v>4551</v>
      </c>
      <c r="B798" s="2" t="s">
        <v>2034</v>
      </c>
      <c r="C798" s="4">
        <v>1185.97</v>
      </c>
      <c r="D798" s="4">
        <f t="shared" si="24"/>
        <v>14231.64</v>
      </c>
      <c r="E798" s="2" t="s">
        <v>78</v>
      </c>
      <c r="F798" s="4">
        <v>0</v>
      </c>
      <c r="G798" s="4">
        <v>0</v>
      </c>
      <c r="H798" s="3">
        <v>46068</v>
      </c>
      <c r="I798" s="4">
        <v>1370.58</v>
      </c>
      <c r="J798" s="2" t="s">
        <v>4827</v>
      </c>
      <c r="K798" s="3">
        <v>46054</v>
      </c>
      <c r="L798" s="2">
        <f>IF(G798&lt;=0,0,MAX(0,Assumptions!$B$3-K798))</f>
        <v>0</v>
      </c>
      <c r="M798" s="2" t="str">
        <f t="shared" si="25"/>
        <v>Current</v>
      </c>
      <c r="N798" s="4">
        <v>0</v>
      </c>
      <c r="O798" s="2" t="s">
        <v>78</v>
      </c>
      <c r="P798" s="2" t="s">
        <v>78</v>
      </c>
    </row>
    <row r="799" spans="1:16" x14ac:dyDescent="0.2">
      <c r="A799" s="2" t="s">
        <v>4557</v>
      </c>
      <c r="B799" s="2" t="s">
        <v>4558</v>
      </c>
      <c r="C799" s="4">
        <v>1185.97</v>
      </c>
      <c r="D799" s="4">
        <f t="shared" si="24"/>
        <v>14231.64</v>
      </c>
      <c r="E799" s="2" t="s">
        <v>78</v>
      </c>
      <c r="F799" s="4">
        <v>0</v>
      </c>
      <c r="G799" s="4">
        <v>25</v>
      </c>
      <c r="H799" s="3">
        <v>46064</v>
      </c>
      <c r="I799" s="4">
        <v>1105.49</v>
      </c>
      <c r="J799" s="2" t="s">
        <v>4825</v>
      </c>
      <c r="K799" s="3">
        <v>46054</v>
      </c>
      <c r="L799" s="2">
        <f>IF(G799&lt;=0,0,MAX(0,Assumptions!$B$3-K799))</f>
        <v>0</v>
      </c>
      <c r="M799" s="2" t="str">
        <f t="shared" si="25"/>
        <v>30 days</v>
      </c>
      <c r="N799" s="4">
        <v>0</v>
      </c>
      <c r="O799" s="2" t="s">
        <v>78</v>
      </c>
      <c r="P799" s="2" t="s">
        <v>78</v>
      </c>
    </row>
    <row r="800" spans="1:16" x14ac:dyDescent="0.2">
      <c r="A800" s="2" t="s">
        <v>4563</v>
      </c>
      <c r="B800" s="2" t="s">
        <v>196</v>
      </c>
      <c r="C800" s="4">
        <v>1637.77</v>
      </c>
      <c r="D800" s="4">
        <f t="shared" si="24"/>
        <v>19653.239999999998</v>
      </c>
      <c r="E800" s="2" t="s">
        <v>78</v>
      </c>
      <c r="F800" s="4">
        <v>0</v>
      </c>
      <c r="G800" s="4">
        <v>25</v>
      </c>
      <c r="H800" s="3">
        <v>46062</v>
      </c>
      <c r="I800" s="4">
        <v>1893.62</v>
      </c>
      <c r="J800" s="2" t="s">
        <v>4825</v>
      </c>
      <c r="K800" s="3">
        <v>46054</v>
      </c>
      <c r="L800" s="2">
        <f>IF(G800&lt;=0,0,MAX(0,Assumptions!$B$3-K800))</f>
        <v>0</v>
      </c>
      <c r="M800" s="2" t="str">
        <f t="shared" si="25"/>
        <v>30 days</v>
      </c>
      <c r="N800" s="4">
        <v>0</v>
      </c>
      <c r="O800" s="2" t="s">
        <v>78</v>
      </c>
      <c r="P800" s="2" t="s">
        <v>78</v>
      </c>
    </row>
    <row r="801" spans="1:16" x14ac:dyDescent="0.2">
      <c r="A801" s="2" t="s">
        <v>4567</v>
      </c>
      <c r="B801" s="2" t="s">
        <v>4568</v>
      </c>
      <c r="C801" s="4">
        <v>821.42</v>
      </c>
      <c r="D801" s="4">
        <f t="shared" si="24"/>
        <v>9857.0399999999991</v>
      </c>
      <c r="E801" s="2" t="s">
        <v>78</v>
      </c>
      <c r="F801" s="4">
        <v>0</v>
      </c>
      <c r="G801" s="4">
        <v>0</v>
      </c>
      <c r="H801" s="3">
        <v>46064</v>
      </c>
      <c r="I801" s="4">
        <v>912.19</v>
      </c>
      <c r="J801" s="2" t="s">
        <v>4823</v>
      </c>
      <c r="K801" s="3">
        <v>46054</v>
      </c>
      <c r="L801" s="2">
        <f>IF(G801&lt;=0,0,MAX(0,Assumptions!$B$3-K801))</f>
        <v>0</v>
      </c>
      <c r="M801" s="2" t="str">
        <f t="shared" si="25"/>
        <v>Current</v>
      </c>
      <c r="N801" s="4">
        <v>0</v>
      </c>
      <c r="O801" s="2" t="s">
        <v>78</v>
      </c>
      <c r="P801" s="2" t="s">
        <v>78</v>
      </c>
    </row>
    <row r="802" spans="1:16" x14ac:dyDescent="0.2">
      <c r="A802" s="2" t="s">
        <v>4572</v>
      </c>
      <c r="B802" s="2" t="s">
        <v>186</v>
      </c>
      <c r="C802" s="4">
        <v>821.42</v>
      </c>
      <c r="D802" s="4">
        <f t="shared" si="24"/>
        <v>9857.0399999999991</v>
      </c>
      <c r="E802" s="2" t="s">
        <v>78</v>
      </c>
      <c r="F802" s="4">
        <v>0</v>
      </c>
      <c r="G802" s="4">
        <v>0</v>
      </c>
      <c r="H802" s="3">
        <v>46034</v>
      </c>
      <c r="I802" s="4">
        <v>887.03</v>
      </c>
      <c r="J802" s="2" t="s">
        <v>4824</v>
      </c>
      <c r="K802" s="3">
        <v>46054</v>
      </c>
      <c r="L802" s="2">
        <f>IF(G802&lt;=0,0,MAX(0,Assumptions!$B$3-K802))</f>
        <v>0</v>
      </c>
      <c r="M802" s="2" t="str">
        <f t="shared" si="25"/>
        <v>Current</v>
      </c>
      <c r="N802" s="4">
        <v>0</v>
      </c>
      <c r="O802" s="2" t="s">
        <v>78</v>
      </c>
      <c r="P802" s="2" t="s">
        <v>78</v>
      </c>
    </row>
    <row r="803" spans="1:16" x14ac:dyDescent="0.2">
      <c r="A803" s="2" t="s">
        <v>4576</v>
      </c>
      <c r="B803" s="2" t="s">
        <v>2067</v>
      </c>
      <c r="C803" s="4">
        <v>821.42</v>
      </c>
      <c r="D803" s="4">
        <f t="shared" si="24"/>
        <v>9857.0399999999991</v>
      </c>
      <c r="E803" s="2" t="s">
        <v>36</v>
      </c>
      <c r="F803" s="4">
        <v>6992.23</v>
      </c>
      <c r="G803" s="4">
        <v>0</v>
      </c>
      <c r="H803" s="3">
        <v>46032</v>
      </c>
      <c r="I803" s="4">
        <v>802.36</v>
      </c>
      <c r="J803" s="2" t="s">
        <v>4826</v>
      </c>
      <c r="K803" s="3">
        <v>46054</v>
      </c>
      <c r="L803" s="2">
        <f>IF(G803&lt;=0,0,MAX(0,Assumptions!$B$3-K803))</f>
        <v>0</v>
      </c>
      <c r="M803" s="2" t="str">
        <f t="shared" si="25"/>
        <v>Current</v>
      </c>
      <c r="N803" s="4">
        <v>0</v>
      </c>
      <c r="O803" s="2" t="s">
        <v>78</v>
      </c>
      <c r="P803" s="2" t="s">
        <v>36</v>
      </c>
    </row>
    <row r="804" spans="1:16" x14ac:dyDescent="0.2">
      <c r="A804" s="2" t="s">
        <v>4581</v>
      </c>
      <c r="B804" s="2" t="s">
        <v>1284</v>
      </c>
      <c r="C804" s="4">
        <v>821.42</v>
      </c>
      <c r="D804" s="4">
        <f t="shared" si="24"/>
        <v>9857.0399999999991</v>
      </c>
      <c r="E804" s="2" t="s">
        <v>78</v>
      </c>
      <c r="F804" s="4">
        <v>0</v>
      </c>
      <c r="G804" s="4">
        <v>15</v>
      </c>
      <c r="H804" s="3">
        <v>46035</v>
      </c>
      <c r="I804" s="4">
        <v>729.55</v>
      </c>
      <c r="J804" s="2" t="s">
        <v>4824</v>
      </c>
      <c r="K804" s="3">
        <v>46054</v>
      </c>
      <c r="L804" s="2">
        <f>IF(G804&lt;=0,0,MAX(0,Assumptions!$B$3-K804))</f>
        <v>0</v>
      </c>
      <c r="M804" s="2" t="str">
        <f t="shared" si="25"/>
        <v>30 days</v>
      </c>
      <c r="N804" s="4">
        <v>0</v>
      </c>
      <c r="O804" s="2" t="s">
        <v>78</v>
      </c>
      <c r="P804" s="2" t="s">
        <v>78</v>
      </c>
    </row>
    <row r="805" spans="1:16" x14ac:dyDescent="0.2">
      <c r="A805" s="2" t="s">
        <v>4585</v>
      </c>
      <c r="B805" s="2" t="s">
        <v>2644</v>
      </c>
      <c r="C805" s="4">
        <v>821.42</v>
      </c>
      <c r="D805" s="4">
        <f t="shared" si="24"/>
        <v>9857.0399999999991</v>
      </c>
      <c r="E805" s="2" t="s">
        <v>78</v>
      </c>
      <c r="F805" s="4">
        <v>0</v>
      </c>
      <c r="G805" s="4">
        <v>15</v>
      </c>
      <c r="H805" s="3">
        <v>46065</v>
      </c>
      <c r="I805" s="4">
        <v>873.09</v>
      </c>
      <c r="J805" s="2" t="s">
        <v>4824</v>
      </c>
      <c r="K805" s="3">
        <v>46054</v>
      </c>
      <c r="L805" s="2">
        <f>IF(G805&lt;=0,0,MAX(0,Assumptions!$B$3-K805))</f>
        <v>0</v>
      </c>
      <c r="M805" s="2" t="str">
        <f t="shared" si="25"/>
        <v>30 days</v>
      </c>
      <c r="N805" s="4">
        <v>0</v>
      </c>
      <c r="O805" s="2" t="s">
        <v>78</v>
      </c>
      <c r="P805" s="2" t="s">
        <v>78</v>
      </c>
    </row>
    <row r="806" spans="1:16" x14ac:dyDescent="0.2">
      <c r="A806" s="2" t="s">
        <v>4589</v>
      </c>
      <c r="B806" s="2" t="s">
        <v>2978</v>
      </c>
      <c r="C806" s="4">
        <v>821.42</v>
      </c>
      <c r="D806" s="4">
        <f t="shared" si="24"/>
        <v>9857.0399999999991</v>
      </c>
      <c r="E806" s="2" t="s">
        <v>78</v>
      </c>
      <c r="F806" s="4">
        <v>0</v>
      </c>
      <c r="G806" s="4">
        <v>0</v>
      </c>
      <c r="H806" s="3">
        <v>46051</v>
      </c>
      <c r="I806" s="4">
        <v>972.57</v>
      </c>
      <c r="J806" s="2" t="s">
        <v>4825</v>
      </c>
      <c r="K806" s="3">
        <v>46054</v>
      </c>
      <c r="L806" s="2">
        <f>IF(G806&lt;=0,0,MAX(0,Assumptions!$B$3-K806))</f>
        <v>0</v>
      </c>
      <c r="M806" s="2" t="str">
        <f t="shared" si="25"/>
        <v>Current</v>
      </c>
      <c r="N806" s="4">
        <v>0</v>
      </c>
      <c r="O806" s="2" t="s">
        <v>78</v>
      </c>
      <c r="P806" s="2" t="s">
        <v>78</v>
      </c>
    </row>
    <row r="807" spans="1:16" x14ac:dyDescent="0.2">
      <c r="A807" s="2" t="s">
        <v>4593</v>
      </c>
      <c r="B807" s="2" t="s">
        <v>4124</v>
      </c>
      <c r="C807" s="4">
        <v>1008.37</v>
      </c>
      <c r="D807" s="4">
        <f t="shared" si="24"/>
        <v>12100.44</v>
      </c>
      <c r="E807" s="2" t="s">
        <v>78</v>
      </c>
      <c r="F807" s="4">
        <v>0</v>
      </c>
      <c r="G807" s="4">
        <v>0</v>
      </c>
      <c r="H807" s="3">
        <v>46052</v>
      </c>
      <c r="I807" s="4">
        <v>818.77</v>
      </c>
      <c r="J807" s="2" t="s">
        <v>4826</v>
      </c>
      <c r="K807" s="3">
        <v>46054</v>
      </c>
      <c r="L807" s="2">
        <f>IF(G807&lt;=0,0,MAX(0,Assumptions!$B$3-K807))</f>
        <v>0</v>
      </c>
      <c r="M807" s="2" t="str">
        <f t="shared" si="25"/>
        <v>Current</v>
      </c>
      <c r="N807" s="4">
        <v>0</v>
      </c>
      <c r="O807" s="2" t="s">
        <v>78</v>
      </c>
      <c r="P807" s="2" t="s">
        <v>78</v>
      </c>
    </row>
    <row r="808" spans="1:16" x14ac:dyDescent="0.2">
      <c r="A808" s="2" t="s">
        <v>4597</v>
      </c>
      <c r="B808" s="2" t="s">
        <v>3083</v>
      </c>
      <c r="C808" s="4">
        <v>1008.37</v>
      </c>
      <c r="D808" s="4">
        <f t="shared" si="24"/>
        <v>12100.44</v>
      </c>
      <c r="E808" s="2" t="s">
        <v>78</v>
      </c>
      <c r="F808" s="4">
        <v>0</v>
      </c>
      <c r="G808" s="4">
        <v>0</v>
      </c>
      <c r="H808" s="3">
        <v>46046</v>
      </c>
      <c r="I808" s="4">
        <v>1073.28</v>
      </c>
      <c r="J808" s="2" t="s">
        <v>4825</v>
      </c>
      <c r="K808" s="3">
        <v>46054</v>
      </c>
      <c r="L808" s="2">
        <f>IF(G808&lt;=0,0,MAX(0,Assumptions!$B$3-K808))</f>
        <v>0</v>
      </c>
      <c r="M808" s="2" t="str">
        <f t="shared" si="25"/>
        <v>Current</v>
      </c>
      <c r="N808" s="4">
        <v>0</v>
      </c>
      <c r="O808" s="2" t="s">
        <v>78</v>
      </c>
      <c r="P808" s="2" t="s">
        <v>78</v>
      </c>
    </row>
    <row r="809" spans="1:16" x14ac:dyDescent="0.2">
      <c r="A809" s="2" t="s">
        <v>4601</v>
      </c>
      <c r="B809" s="2" t="s">
        <v>4262</v>
      </c>
      <c r="C809" s="4">
        <v>1008.37</v>
      </c>
      <c r="D809" s="4">
        <f t="shared" si="24"/>
        <v>12100.44</v>
      </c>
      <c r="E809" s="2" t="s">
        <v>78</v>
      </c>
      <c r="F809" s="4">
        <v>0</v>
      </c>
      <c r="G809" s="4">
        <v>0</v>
      </c>
      <c r="H809" s="3">
        <v>46033</v>
      </c>
      <c r="I809" s="4">
        <v>836.06</v>
      </c>
      <c r="J809" s="2" t="s">
        <v>4826</v>
      </c>
      <c r="K809" s="3">
        <v>46054</v>
      </c>
      <c r="L809" s="2">
        <f>IF(G809&lt;=0,0,MAX(0,Assumptions!$B$3-K809))</f>
        <v>0</v>
      </c>
      <c r="M809" s="2" t="str">
        <f t="shared" si="25"/>
        <v>Current</v>
      </c>
      <c r="N809" s="4">
        <v>0</v>
      </c>
      <c r="O809" s="2" t="s">
        <v>78</v>
      </c>
      <c r="P809" s="2" t="s">
        <v>36</v>
      </c>
    </row>
    <row r="810" spans="1:16" x14ac:dyDescent="0.2">
      <c r="A810" s="2" t="s">
        <v>4606</v>
      </c>
      <c r="B810" s="2" t="s">
        <v>75</v>
      </c>
      <c r="C810" s="4">
        <v>1008.37</v>
      </c>
      <c r="D810" s="4">
        <f t="shared" si="24"/>
        <v>12100.44</v>
      </c>
      <c r="E810" s="2" t="s">
        <v>78</v>
      </c>
      <c r="F810" s="4">
        <v>0</v>
      </c>
      <c r="G810" s="4">
        <v>4256.99</v>
      </c>
      <c r="H810" s="3">
        <v>45942</v>
      </c>
      <c r="I810" s="4">
        <v>272.85000000000002</v>
      </c>
      <c r="J810" s="2" t="s">
        <v>4824</v>
      </c>
      <c r="K810" s="3">
        <v>45934</v>
      </c>
      <c r="L810" s="2">
        <f>IF(G810&lt;=0,0,MAX(0,Assumptions!$B$3-K810))</f>
        <v>0</v>
      </c>
      <c r="M810" s="2" t="str">
        <f t="shared" si="25"/>
        <v>30 days</v>
      </c>
      <c r="N810" s="4">
        <v>50</v>
      </c>
      <c r="O810" s="2" t="s">
        <v>78</v>
      </c>
      <c r="P810" s="2" t="s">
        <v>78</v>
      </c>
    </row>
    <row r="811" spans="1:16" x14ac:dyDescent="0.2">
      <c r="A811" s="2" t="s">
        <v>4611</v>
      </c>
      <c r="B811" s="2" t="s">
        <v>2399</v>
      </c>
      <c r="C811" s="4">
        <v>1008.37</v>
      </c>
      <c r="D811" s="4">
        <f t="shared" si="24"/>
        <v>12100.44</v>
      </c>
      <c r="E811" s="2" t="s">
        <v>36</v>
      </c>
      <c r="F811" s="4">
        <v>7668.12</v>
      </c>
      <c r="G811" s="4">
        <v>0</v>
      </c>
      <c r="H811" s="3">
        <v>46048</v>
      </c>
      <c r="I811" s="4">
        <v>1025.0999999999999</v>
      </c>
      <c r="J811" s="2" t="s">
        <v>4826</v>
      </c>
      <c r="K811" s="3">
        <v>46054</v>
      </c>
      <c r="L811" s="2">
        <f>IF(G811&lt;=0,0,MAX(0,Assumptions!$B$3-K811))</f>
        <v>0</v>
      </c>
      <c r="M811" s="2" t="str">
        <f t="shared" si="25"/>
        <v>Current</v>
      </c>
      <c r="N811" s="4">
        <v>0</v>
      </c>
      <c r="O811" s="2" t="s">
        <v>78</v>
      </c>
      <c r="P811" s="2" t="s">
        <v>78</v>
      </c>
    </row>
    <row r="812" spans="1:16" x14ac:dyDescent="0.2">
      <c r="A812" s="2" t="s">
        <v>4616</v>
      </c>
      <c r="B812" s="2" t="s">
        <v>3530</v>
      </c>
      <c r="C812" s="4">
        <v>1008.37</v>
      </c>
      <c r="D812" s="4">
        <f t="shared" si="24"/>
        <v>12100.44</v>
      </c>
      <c r="E812" s="2" t="s">
        <v>78</v>
      </c>
      <c r="F812" s="4">
        <v>0</v>
      </c>
      <c r="G812" s="4">
        <v>0</v>
      </c>
      <c r="H812" s="3">
        <v>46033</v>
      </c>
      <c r="I812" s="4">
        <v>1169.3</v>
      </c>
      <c r="J812" s="2" t="s">
        <v>4825</v>
      </c>
      <c r="K812" s="3">
        <v>46054</v>
      </c>
      <c r="L812" s="2">
        <f>IF(G812&lt;=0,0,MAX(0,Assumptions!$B$3-K812))</f>
        <v>0</v>
      </c>
      <c r="M812" s="2" t="str">
        <f t="shared" si="25"/>
        <v>Current</v>
      </c>
      <c r="N812" s="4">
        <v>0</v>
      </c>
      <c r="O812" s="2" t="s">
        <v>78</v>
      </c>
      <c r="P812" s="2" t="s">
        <v>78</v>
      </c>
    </row>
    <row r="813" spans="1:16" x14ac:dyDescent="0.2">
      <c r="A813" s="2" t="s">
        <v>4621</v>
      </c>
      <c r="B813" s="2" t="s">
        <v>867</v>
      </c>
      <c r="C813" s="4">
        <v>1189.6500000000001</v>
      </c>
      <c r="D813" s="4">
        <f t="shared" si="24"/>
        <v>14275.800000000001</v>
      </c>
      <c r="E813" s="2" t="s">
        <v>78</v>
      </c>
      <c r="F813" s="4">
        <v>0</v>
      </c>
      <c r="G813" s="4">
        <v>0</v>
      </c>
      <c r="H813" s="3">
        <v>46073</v>
      </c>
      <c r="I813" s="4">
        <v>1269.46</v>
      </c>
      <c r="J813" s="2" t="s">
        <v>4824</v>
      </c>
      <c r="K813" s="3">
        <v>46054</v>
      </c>
      <c r="L813" s="2">
        <f>IF(G813&lt;=0,0,MAX(0,Assumptions!$B$3-K813))</f>
        <v>0</v>
      </c>
      <c r="M813" s="2" t="str">
        <f t="shared" si="25"/>
        <v>Current</v>
      </c>
      <c r="N813" s="4">
        <v>0</v>
      </c>
      <c r="O813" s="2" t="s">
        <v>78</v>
      </c>
      <c r="P813" s="2" t="s">
        <v>36</v>
      </c>
    </row>
    <row r="814" spans="1:16" x14ac:dyDescent="0.2">
      <c r="A814" s="2" t="s">
        <v>4626</v>
      </c>
      <c r="B814" s="2" t="s">
        <v>565</v>
      </c>
      <c r="C814" s="4">
        <v>1189.6500000000001</v>
      </c>
      <c r="D814" s="4">
        <f t="shared" si="24"/>
        <v>14275.800000000001</v>
      </c>
      <c r="E814" s="2" t="s">
        <v>78</v>
      </c>
      <c r="F814" s="4">
        <v>0</v>
      </c>
      <c r="G814" s="4">
        <v>0</v>
      </c>
      <c r="H814" s="3">
        <v>46070</v>
      </c>
      <c r="I814" s="4">
        <v>1007.29</v>
      </c>
      <c r="J814" s="2" t="s">
        <v>4823</v>
      </c>
      <c r="K814" s="3">
        <v>46054</v>
      </c>
      <c r="L814" s="2">
        <f>IF(G814&lt;=0,0,MAX(0,Assumptions!$B$3-K814))</f>
        <v>0</v>
      </c>
      <c r="M814" s="2" t="str">
        <f t="shared" si="25"/>
        <v>Current</v>
      </c>
      <c r="N814" s="4">
        <v>0</v>
      </c>
      <c r="O814" s="2" t="s">
        <v>78</v>
      </c>
      <c r="P814" s="2" t="s">
        <v>36</v>
      </c>
    </row>
    <row r="815" spans="1:16" x14ac:dyDescent="0.2">
      <c r="A815" s="2" t="s">
        <v>4632</v>
      </c>
      <c r="B815" s="2" t="s">
        <v>3991</v>
      </c>
      <c r="C815" s="4">
        <v>1189.6500000000001</v>
      </c>
      <c r="D815" s="4">
        <f t="shared" si="24"/>
        <v>14275.800000000001</v>
      </c>
      <c r="E815" s="2" t="s">
        <v>78</v>
      </c>
      <c r="F815" s="4">
        <v>0</v>
      </c>
      <c r="G815" s="4">
        <v>-50</v>
      </c>
      <c r="H815" s="3">
        <v>46072</v>
      </c>
      <c r="I815" s="4">
        <v>974.52</v>
      </c>
      <c r="J815" s="2" t="s">
        <v>4825</v>
      </c>
      <c r="K815" s="3">
        <v>46054</v>
      </c>
      <c r="L815" s="2">
        <f>IF(G815&lt;=0,0,MAX(0,Assumptions!$B$3-K815))</f>
        <v>0</v>
      </c>
      <c r="M815" s="2" t="str">
        <f t="shared" si="25"/>
        <v>Current</v>
      </c>
      <c r="N815" s="4">
        <v>0</v>
      </c>
      <c r="O815" s="2" t="s">
        <v>78</v>
      </c>
      <c r="P815" s="2" t="s">
        <v>36</v>
      </c>
    </row>
    <row r="816" spans="1:16" x14ac:dyDescent="0.2">
      <c r="A816" s="2" t="s">
        <v>4637</v>
      </c>
      <c r="B816" s="2" t="s">
        <v>2360</v>
      </c>
      <c r="C816" s="4">
        <v>1189.6500000000001</v>
      </c>
      <c r="D816" s="4">
        <f t="shared" si="24"/>
        <v>14275.800000000001</v>
      </c>
      <c r="E816" s="2" t="s">
        <v>78</v>
      </c>
      <c r="F816" s="4">
        <v>0</v>
      </c>
      <c r="G816" s="4">
        <v>0</v>
      </c>
      <c r="H816" s="3">
        <v>46055</v>
      </c>
      <c r="I816" s="4">
        <v>1251.45</v>
      </c>
      <c r="J816" s="2" t="s">
        <v>4825</v>
      </c>
      <c r="K816" s="3">
        <v>46054</v>
      </c>
      <c r="L816" s="2">
        <f>IF(G816&lt;=0,0,MAX(0,Assumptions!$B$3-K816))</f>
        <v>0</v>
      </c>
      <c r="M816" s="2" t="str">
        <f t="shared" si="25"/>
        <v>Current</v>
      </c>
      <c r="N816" s="4">
        <v>0</v>
      </c>
      <c r="O816" s="2" t="s">
        <v>78</v>
      </c>
      <c r="P816" s="2" t="s">
        <v>36</v>
      </c>
    </row>
    <row r="817" spans="1:16" x14ac:dyDescent="0.2">
      <c r="A817" s="2" t="s">
        <v>4642</v>
      </c>
      <c r="B817" s="2" t="s">
        <v>1736</v>
      </c>
      <c r="C817" s="4">
        <v>1642.85</v>
      </c>
      <c r="D817" s="4">
        <f t="shared" si="24"/>
        <v>19714.199999999997</v>
      </c>
      <c r="E817" s="2" t="s">
        <v>78</v>
      </c>
      <c r="F817" s="4">
        <v>0</v>
      </c>
      <c r="G817" s="4">
        <v>0</v>
      </c>
      <c r="H817" s="3">
        <v>46033</v>
      </c>
      <c r="I817" s="4">
        <v>1657.18</v>
      </c>
      <c r="J817" s="2" t="s">
        <v>4824</v>
      </c>
      <c r="K817" s="3">
        <v>46054</v>
      </c>
      <c r="L817" s="2">
        <f>IF(G817&lt;=0,0,MAX(0,Assumptions!$B$3-K817))</f>
        <v>0</v>
      </c>
      <c r="M817" s="2" t="str">
        <f t="shared" si="25"/>
        <v>Current</v>
      </c>
      <c r="N817" s="4">
        <v>0</v>
      </c>
      <c r="O817" s="2" t="s">
        <v>78</v>
      </c>
      <c r="P817" s="2" t="s">
        <v>36</v>
      </c>
    </row>
    <row r="818" spans="1:16" x14ac:dyDescent="0.2">
      <c r="A818" s="2" t="s">
        <v>4647</v>
      </c>
      <c r="B818" s="2" t="s">
        <v>3443</v>
      </c>
      <c r="C818" s="4">
        <v>823.96</v>
      </c>
      <c r="D818" s="4">
        <f t="shared" si="24"/>
        <v>9887.52</v>
      </c>
      <c r="E818" s="2" t="s">
        <v>78</v>
      </c>
      <c r="F818" s="4">
        <v>0</v>
      </c>
      <c r="G818" s="4">
        <v>0</v>
      </c>
      <c r="H818" s="3">
        <v>46050</v>
      </c>
      <c r="I818" s="4">
        <v>731.84</v>
      </c>
      <c r="J818" s="2" t="s">
        <v>4827</v>
      </c>
      <c r="K818" s="3">
        <v>46054</v>
      </c>
      <c r="L818" s="2">
        <f>IF(G818&lt;=0,0,MAX(0,Assumptions!$B$3-K818))</f>
        <v>0</v>
      </c>
      <c r="M818" s="2" t="str">
        <f t="shared" si="25"/>
        <v>Current</v>
      </c>
      <c r="N818" s="4">
        <v>0</v>
      </c>
      <c r="O818" s="2" t="s">
        <v>78</v>
      </c>
      <c r="P818" s="2" t="s">
        <v>78</v>
      </c>
    </row>
    <row r="819" spans="1:16" x14ac:dyDescent="0.2">
      <c r="A819" s="2" t="s">
        <v>4651</v>
      </c>
      <c r="B819" s="2" t="s">
        <v>1670</v>
      </c>
      <c r="C819" s="4">
        <v>823.96</v>
      </c>
      <c r="D819" s="4">
        <f t="shared" si="24"/>
        <v>9887.52</v>
      </c>
      <c r="E819" s="2" t="s">
        <v>78</v>
      </c>
      <c r="F819" s="4">
        <v>0</v>
      </c>
      <c r="G819" s="4">
        <v>0</v>
      </c>
      <c r="H819" s="3">
        <v>46048</v>
      </c>
      <c r="I819" s="4">
        <v>712.66</v>
      </c>
      <c r="J819" s="2" t="s">
        <v>4823</v>
      </c>
      <c r="K819" s="3">
        <v>46054</v>
      </c>
      <c r="L819" s="2">
        <f>IF(G819&lt;=0,0,MAX(0,Assumptions!$B$3-K819))</f>
        <v>0</v>
      </c>
      <c r="M819" s="2" t="str">
        <f t="shared" si="25"/>
        <v>Current</v>
      </c>
      <c r="N819" s="4">
        <v>0</v>
      </c>
      <c r="O819" s="2" t="s">
        <v>78</v>
      </c>
      <c r="P819" s="2" t="s">
        <v>78</v>
      </c>
    </row>
    <row r="820" spans="1:16" x14ac:dyDescent="0.2">
      <c r="A820" s="2" t="s">
        <v>4655</v>
      </c>
      <c r="B820" s="2" t="s">
        <v>1953</v>
      </c>
      <c r="C820" s="4">
        <v>823.96</v>
      </c>
      <c r="D820" s="4">
        <f t="shared" si="24"/>
        <v>9887.52</v>
      </c>
      <c r="E820" s="2" t="s">
        <v>78</v>
      </c>
      <c r="F820" s="4">
        <v>0</v>
      </c>
      <c r="G820" s="4">
        <v>0</v>
      </c>
      <c r="H820" s="3">
        <v>46031</v>
      </c>
      <c r="I820" s="4">
        <v>702.02</v>
      </c>
      <c r="J820" s="2" t="s">
        <v>4826</v>
      </c>
      <c r="K820" s="3">
        <v>46054</v>
      </c>
      <c r="L820" s="2">
        <f>IF(G820&lt;=0,0,MAX(0,Assumptions!$B$3-K820))</f>
        <v>0</v>
      </c>
      <c r="M820" s="2" t="str">
        <f t="shared" si="25"/>
        <v>Current</v>
      </c>
      <c r="N820" s="4">
        <v>0</v>
      </c>
      <c r="O820" s="2" t="s">
        <v>78</v>
      </c>
      <c r="P820" s="2" t="s">
        <v>78</v>
      </c>
    </row>
    <row r="821" spans="1:16" x14ac:dyDescent="0.2">
      <c r="A821" s="2" t="s">
        <v>4659</v>
      </c>
      <c r="B821" s="2" t="s">
        <v>3426</v>
      </c>
      <c r="C821" s="4">
        <v>823.96</v>
      </c>
      <c r="D821" s="4">
        <f t="shared" si="24"/>
        <v>9887.52</v>
      </c>
      <c r="E821" s="2" t="s">
        <v>36</v>
      </c>
      <c r="F821" s="4">
        <v>7915.81</v>
      </c>
      <c r="G821" s="4">
        <v>0</v>
      </c>
      <c r="H821" s="3">
        <v>46049</v>
      </c>
      <c r="I821" s="4">
        <v>963.4</v>
      </c>
      <c r="J821" s="2" t="s">
        <v>4826</v>
      </c>
      <c r="K821" s="3">
        <v>46054</v>
      </c>
      <c r="L821" s="2">
        <f>IF(G821&lt;=0,0,MAX(0,Assumptions!$B$3-K821))</f>
        <v>0</v>
      </c>
      <c r="M821" s="2" t="str">
        <f t="shared" si="25"/>
        <v>Current</v>
      </c>
      <c r="N821" s="4">
        <v>0</v>
      </c>
      <c r="O821" s="2" t="s">
        <v>78</v>
      </c>
      <c r="P821" s="2" t="s">
        <v>78</v>
      </c>
    </row>
    <row r="822" spans="1:16" x14ac:dyDescent="0.2">
      <c r="A822" s="2" t="s">
        <v>4664</v>
      </c>
      <c r="B822" s="2" t="s">
        <v>65</v>
      </c>
      <c r="C822" s="4">
        <v>823.96</v>
      </c>
      <c r="D822" s="4">
        <f t="shared" si="24"/>
        <v>9887.52</v>
      </c>
      <c r="E822" s="2" t="s">
        <v>36</v>
      </c>
      <c r="F822" s="4">
        <v>7110.79</v>
      </c>
      <c r="G822" s="4">
        <v>0</v>
      </c>
      <c r="H822" s="3">
        <v>46048</v>
      </c>
      <c r="I822" s="4">
        <v>967.85</v>
      </c>
      <c r="J822" s="2" t="s">
        <v>4824</v>
      </c>
      <c r="K822" s="3">
        <v>46054</v>
      </c>
      <c r="L822" s="2">
        <f>IF(G822&lt;=0,0,MAX(0,Assumptions!$B$3-K822))</f>
        <v>0</v>
      </c>
      <c r="M822" s="2" t="str">
        <f t="shared" si="25"/>
        <v>Current</v>
      </c>
      <c r="N822" s="4">
        <v>0</v>
      </c>
      <c r="O822" s="2" t="s">
        <v>78</v>
      </c>
      <c r="P822" s="2" t="s">
        <v>78</v>
      </c>
    </row>
    <row r="823" spans="1:16" x14ac:dyDescent="0.2">
      <c r="A823" s="2" t="s">
        <v>4668</v>
      </c>
      <c r="B823" s="2" t="s">
        <v>2847</v>
      </c>
      <c r="C823" s="4">
        <v>823.96</v>
      </c>
      <c r="D823" s="4">
        <f t="shared" si="24"/>
        <v>9887.52</v>
      </c>
      <c r="E823" s="2" t="s">
        <v>78</v>
      </c>
      <c r="F823" s="4">
        <v>0</v>
      </c>
      <c r="G823" s="4">
        <v>0</v>
      </c>
      <c r="H823" s="3">
        <v>46059</v>
      </c>
      <c r="I823" s="4">
        <v>688.56</v>
      </c>
      <c r="J823" s="2" t="s">
        <v>4826</v>
      </c>
      <c r="K823" s="3">
        <v>46054</v>
      </c>
      <c r="L823" s="2">
        <f>IF(G823&lt;=0,0,MAX(0,Assumptions!$B$3-K823))</f>
        <v>0</v>
      </c>
      <c r="M823" s="2" t="str">
        <f t="shared" si="25"/>
        <v>Current</v>
      </c>
      <c r="N823" s="4">
        <v>0</v>
      </c>
      <c r="O823" s="2" t="s">
        <v>78</v>
      </c>
      <c r="P823" s="2" t="s">
        <v>78</v>
      </c>
    </row>
    <row r="824" spans="1:16" x14ac:dyDescent="0.2">
      <c r="A824" s="2" t="s">
        <v>4672</v>
      </c>
      <c r="B824" s="2" t="s">
        <v>1452</v>
      </c>
      <c r="C824" s="4">
        <v>1011.49</v>
      </c>
      <c r="D824" s="4">
        <f t="shared" si="24"/>
        <v>12137.880000000001</v>
      </c>
      <c r="E824" s="2" t="s">
        <v>78</v>
      </c>
      <c r="F824" s="4">
        <v>0</v>
      </c>
      <c r="G824" s="4">
        <v>0</v>
      </c>
      <c r="H824" s="3">
        <v>46061</v>
      </c>
      <c r="I824" s="4">
        <v>948.67</v>
      </c>
      <c r="J824" s="2" t="s">
        <v>4823</v>
      </c>
      <c r="K824" s="3">
        <v>46054</v>
      </c>
      <c r="L824" s="2">
        <f>IF(G824&lt;=0,0,MAX(0,Assumptions!$B$3-K824))</f>
        <v>0</v>
      </c>
      <c r="M824" s="2" t="str">
        <f t="shared" si="25"/>
        <v>Current</v>
      </c>
      <c r="N824" s="4">
        <v>0</v>
      </c>
      <c r="O824" s="2" t="s">
        <v>78</v>
      </c>
      <c r="P824" s="2" t="s">
        <v>36</v>
      </c>
    </row>
    <row r="825" spans="1:16" x14ac:dyDescent="0.2">
      <c r="A825" s="2" t="s">
        <v>4677</v>
      </c>
      <c r="B825" s="2" t="s">
        <v>3343</v>
      </c>
      <c r="C825" s="4">
        <v>1011.49</v>
      </c>
      <c r="D825" s="4">
        <f t="shared" si="24"/>
        <v>12137.880000000001</v>
      </c>
      <c r="E825" s="2" t="s">
        <v>36</v>
      </c>
      <c r="F825" s="4">
        <v>590.45000000000005</v>
      </c>
      <c r="G825" s="4">
        <v>0</v>
      </c>
      <c r="H825" s="3">
        <v>46030</v>
      </c>
      <c r="I825" s="4">
        <v>850.32</v>
      </c>
      <c r="J825" s="2" t="s">
        <v>4824</v>
      </c>
      <c r="K825" s="3">
        <v>46054</v>
      </c>
      <c r="L825" s="2">
        <f>IF(G825&lt;=0,0,MAX(0,Assumptions!$B$3-K825))</f>
        <v>0</v>
      </c>
      <c r="M825" s="2" t="str">
        <f t="shared" si="25"/>
        <v>Current</v>
      </c>
      <c r="N825" s="4">
        <v>0</v>
      </c>
      <c r="O825" s="2" t="s">
        <v>78</v>
      </c>
      <c r="P825" s="2" t="s">
        <v>78</v>
      </c>
    </row>
    <row r="826" spans="1:16" x14ac:dyDescent="0.2">
      <c r="A826" s="2" t="s">
        <v>4682</v>
      </c>
      <c r="B826" s="2" t="s">
        <v>4683</v>
      </c>
      <c r="C826" s="4">
        <v>1011.49</v>
      </c>
      <c r="D826" s="4">
        <f t="shared" si="24"/>
        <v>12137.880000000001</v>
      </c>
      <c r="E826" s="2" t="s">
        <v>78</v>
      </c>
      <c r="F826" s="4">
        <v>0</v>
      </c>
      <c r="G826" s="4">
        <v>0</v>
      </c>
      <c r="H826" s="3">
        <v>46058</v>
      </c>
      <c r="I826" s="4">
        <v>1143.05</v>
      </c>
      <c r="J826" s="2" t="s">
        <v>4827</v>
      </c>
      <c r="K826" s="3">
        <v>46054</v>
      </c>
      <c r="L826" s="2">
        <f>IF(G826&lt;=0,0,MAX(0,Assumptions!$B$3-K826))</f>
        <v>0</v>
      </c>
      <c r="M826" s="2" t="str">
        <f t="shared" si="25"/>
        <v>Current</v>
      </c>
      <c r="N826" s="4">
        <v>0</v>
      </c>
      <c r="O826" s="2" t="s">
        <v>78</v>
      </c>
      <c r="P826" s="2" t="s">
        <v>36</v>
      </c>
    </row>
    <row r="827" spans="1:16" x14ac:dyDescent="0.2">
      <c r="A827" s="2" t="s">
        <v>4689</v>
      </c>
      <c r="B827" s="2" t="s">
        <v>4690</v>
      </c>
      <c r="C827" s="4">
        <v>1011.49</v>
      </c>
      <c r="D827" s="4">
        <f t="shared" si="24"/>
        <v>12137.880000000001</v>
      </c>
      <c r="E827" s="2" t="s">
        <v>78</v>
      </c>
      <c r="F827" s="4">
        <v>0</v>
      </c>
      <c r="G827" s="4">
        <v>-50</v>
      </c>
      <c r="H827" s="3">
        <v>46049</v>
      </c>
      <c r="I827" s="4">
        <v>858.26</v>
      </c>
      <c r="J827" s="2" t="s">
        <v>4826</v>
      </c>
      <c r="K827" s="3">
        <v>46054</v>
      </c>
      <c r="L827" s="2">
        <f>IF(G827&lt;=0,0,MAX(0,Assumptions!$B$3-K827))</f>
        <v>0</v>
      </c>
      <c r="M827" s="2" t="str">
        <f t="shared" si="25"/>
        <v>Current</v>
      </c>
      <c r="N827" s="4">
        <v>0</v>
      </c>
      <c r="O827" s="2" t="s">
        <v>78</v>
      </c>
      <c r="P827" s="2" t="s">
        <v>78</v>
      </c>
    </row>
    <row r="828" spans="1:16" x14ac:dyDescent="0.2">
      <c r="A828" s="2" t="s">
        <v>4695</v>
      </c>
      <c r="B828" s="2" t="s">
        <v>1619</v>
      </c>
      <c r="C828" s="4">
        <v>1011.49</v>
      </c>
      <c r="D828" s="4">
        <f t="shared" si="24"/>
        <v>12137.880000000001</v>
      </c>
      <c r="E828" s="2" t="s">
        <v>78</v>
      </c>
      <c r="F828" s="4">
        <v>0</v>
      </c>
      <c r="G828" s="4">
        <v>0</v>
      </c>
      <c r="H828" s="3">
        <v>46057</v>
      </c>
      <c r="I828" s="4">
        <v>1048.94</v>
      </c>
      <c r="J828" s="2" t="s">
        <v>4826</v>
      </c>
      <c r="K828" s="3">
        <v>46054</v>
      </c>
      <c r="L828" s="2">
        <f>IF(G828&lt;=0,0,MAX(0,Assumptions!$B$3-K828))</f>
        <v>0</v>
      </c>
      <c r="M828" s="2" t="str">
        <f t="shared" si="25"/>
        <v>Current</v>
      </c>
      <c r="N828" s="4">
        <v>0</v>
      </c>
      <c r="O828" s="2" t="s">
        <v>78</v>
      </c>
      <c r="P828" s="2" t="s">
        <v>78</v>
      </c>
    </row>
    <row r="829" spans="1:16" x14ac:dyDescent="0.2">
      <c r="A829" s="2" t="s">
        <v>4700</v>
      </c>
      <c r="B829" s="2" t="s">
        <v>4701</v>
      </c>
      <c r="C829" s="4">
        <v>1011.49</v>
      </c>
      <c r="D829" s="4">
        <f t="shared" si="24"/>
        <v>12137.880000000001</v>
      </c>
      <c r="E829" s="2" t="s">
        <v>36</v>
      </c>
      <c r="F829" s="4">
        <v>3862.5</v>
      </c>
      <c r="G829" s="4">
        <v>15</v>
      </c>
      <c r="H829" s="3">
        <v>46071</v>
      </c>
      <c r="I829" s="4">
        <v>1202.9000000000001</v>
      </c>
      <c r="J829" s="2" t="s">
        <v>4825</v>
      </c>
      <c r="K829" s="3">
        <v>46054</v>
      </c>
      <c r="L829" s="2">
        <f>IF(G829&lt;=0,0,MAX(0,Assumptions!$B$3-K829))</f>
        <v>0</v>
      </c>
      <c r="M829" s="2" t="str">
        <f t="shared" si="25"/>
        <v>30 days</v>
      </c>
      <c r="N829" s="4">
        <v>0</v>
      </c>
      <c r="O829" s="2" t="s">
        <v>78</v>
      </c>
      <c r="P829" s="2" t="s">
        <v>36</v>
      </c>
    </row>
    <row r="830" spans="1:16" x14ac:dyDescent="0.2">
      <c r="A830" s="2" t="s">
        <v>4706</v>
      </c>
      <c r="B830" s="2" t="s">
        <v>639</v>
      </c>
      <c r="C830" s="4">
        <v>1193.33</v>
      </c>
      <c r="D830" s="4">
        <f t="shared" si="24"/>
        <v>14319.96</v>
      </c>
      <c r="E830" s="2" t="s">
        <v>36</v>
      </c>
      <c r="F830" s="4">
        <v>4339.78</v>
      </c>
      <c r="G830" s="4">
        <v>0</v>
      </c>
      <c r="H830" s="3">
        <v>46067</v>
      </c>
      <c r="I830" s="4">
        <v>1144.81</v>
      </c>
      <c r="J830" s="2" t="s">
        <v>4824</v>
      </c>
      <c r="K830" s="3">
        <v>46054</v>
      </c>
      <c r="L830" s="2">
        <f>IF(G830&lt;=0,0,MAX(0,Assumptions!$B$3-K830))</f>
        <v>0</v>
      </c>
      <c r="M830" s="2" t="str">
        <f t="shared" si="25"/>
        <v>Current</v>
      </c>
      <c r="N830" s="4">
        <v>0</v>
      </c>
      <c r="O830" s="2" t="s">
        <v>78</v>
      </c>
      <c r="P830" s="2" t="s">
        <v>36</v>
      </c>
    </row>
    <row r="831" spans="1:16" x14ac:dyDescent="0.2">
      <c r="A831" s="2" t="s">
        <v>4710</v>
      </c>
      <c r="B831" s="2" t="s">
        <v>730</v>
      </c>
      <c r="C831" s="4">
        <v>1193.33</v>
      </c>
      <c r="D831" s="4">
        <f t="shared" si="24"/>
        <v>14319.96</v>
      </c>
      <c r="E831" s="2" t="s">
        <v>78</v>
      </c>
      <c r="F831" s="4">
        <v>0</v>
      </c>
      <c r="G831" s="4">
        <v>0</v>
      </c>
      <c r="H831" s="3">
        <v>46031</v>
      </c>
      <c r="I831" s="4">
        <v>1199.72</v>
      </c>
      <c r="J831" s="2" t="s">
        <v>4826</v>
      </c>
      <c r="K831" s="3">
        <v>46054</v>
      </c>
      <c r="L831" s="2">
        <f>IF(G831&lt;=0,0,MAX(0,Assumptions!$B$3-K831))</f>
        <v>0</v>
      </c>
      <c r="M831" s="2" t="str">
        <f t="shared" si="25"/>
        <v>Current</v>
      </c>
      <c r="N831" s="4">
        <v>0</v>
      </c>
      <c r="O831" s="2" t="s">
        <v>78</v>
      </c>
      <c r="P831" s="2" t="s">
        <v>36</v>
      </c>
    </row>
    <row r="832" spans="1:16" x14ac:dyDescent="0.2">
      <c r="A832" s="2" t="s">
        <v>4716</v>
      </c>
      <c r="B832" s="2" t="s">
        <v>4717</v>
      </c>
      <c r="C832" s="4">
        <v>1193.33</v>
      </c>
      <c r="D832" s="4">
        <f t="shared" si="24"/>
        <v>14319.96</v>
      </c>
      <c r="E832" s="2" t="s">
        <v>78</v>
      </c>
      <c r="F832" s="4">
        <v>0</v>
      </c>
      <c r="G832" s="4">
        <v>3725.64</v>
      </c>
      <c r="H832" s="3">
        <v>46017</v>
      </c>
      <c r="I832" s="4">
        <v>1003.51</v>
      </c>
      <c r="J832" s="2" t="s">
        <v>4827</v>
      </c>
      <c r="K832" s="3">
        <v>45964</v>
      </c>
      <c r="L832" s="2">
        <f>IF(G832&lt;=0,0,MAX(0,Assumptions!$B$3-K832))</f>
        <v>0</v>
      </c>
      <c r="M832" s="2" t="str">
        <f t="shared" si="25"/>
        <v>30 days</v>
      </c>
      <c r="N832" s="4">
        <v>25</v>
      </c>
      <c r="O832" s="2" t="s">
        <v>78</v>
      </c>
      <c r="P832" s="2" t="s">
        <v>78</v>
      </c>
    </row>
    <row r="833" spans="1:16" x14ac:dyDescent="0.2">
      <c r="A833" s="2" t="s">
        <v>4723</v>
      </c>
      <c r="B833" s="2" t="s">
        <v>401</v>
      </c>
      <c r="C833" s="4">
        <v>1193.33</v>
      </c>
      <c r="D833" s="4">
        <f t="shared" si="24"/>
        <v>14319.96</v>
      </c>
      <c r="E833" s="2" t="s">
        <v>78</v>
      </c>
      <c r="F833" s="4">
        <v>0</v>
      </c>
      <c r="G833" s="4">
        <v>15</v>
      </c>
      <c r="H833" s="3">
        <v>46052</v>
      </c>
      <c r="I833" s="4">
        <v>1305.29</v>
      </c>
      <c r="J833" s="2" t="s">
        <v>4823</v>
      </c>
      <c r="K833" s="3">
        <v>46054</v>
      </c>
      <c r="L833" s="2">
        <f>IF(G833&lt;=0,0,MAX(0,Assumptions!$B$3-K833))</f>
        <v>0</v>
      </c>
      <c r="M833" s="2" t="str">
        <f t="shared" si="25"/>
        <v>30 days</v>
      </c>
      <c r="N833" s="4">
        <v>0</v>
      </c>
      <c r="O833" s="2" t="s">
        <v>78</v>
      </c>
      <c r="P833" s="2" t="s">
        <v>78</v>
      </c>
    </row>
    <row r="834" spans="1:16" x14ac:dyDescent="0.2">
      <c r="A834" s="2" t="s">
        <v>4728</v>
      </c>
      <c r="B834" s="2" t="s">
        <v>1320</v>
      </c>
      <c r="C834" s="4">
        <v>1647.93</v>
      </c>
      <c r="D834" s="4">
        <f t="shared" ref="D834:D851" si="26">C834*12</f>
        <v>19775.16</v>
      </c>
      <c r="E834" s="2" t="s">
        <v>78</v>
      </c>
      <c r="F834" s="4">
        <v>0</v>
      </c>
      <c r="G834" s="4">
        <v>0</v>
      </c>
      <c r="H834" s="3">
        <v>46059</v>
      </c>
      <c r="I834" s="4">
        <v>1894.94</v>
      </c>
      <c r="J834" s="2" t="s">
        <v>4824</v>
      </c>
      <c r="K834" s="3">
        <v>46054</v>
      </c>
      <c r="L834" s="2">
        <f>IF(G834&lt;=0,0,MAX(0,Assumptions!$B$3-K834))</f>
        <v>0</v>
      </c>
      <c r="M834" s="2" t="str">
        <f t="shared" ref="M834:M851" si="27">IF(G834&lt;=0,"Current",IF(L834&lt;=30,"30 days",IF(L834&lt;=60,"60 days",IF(L834&lt;=90,"90 days","90+ days"))))</f>
        <v>Current</v>
      </c>
      <c r="N834" s="4">
        <v>0</v>
      </c>
      <c r="O834" s="2" t="s">
        <v>78</v>
      </c>
      <c r="P834" s="2" t="s">
        <v>78</v>
      </c>
    </row>
    <row r="835" spans="1:16" x14ac:dyDescent="0.2">
      <c r="A835" s="2" t="s">
        <v>4732</v>
      </c>
      <c r="B835" s="2" t="s">
        <v>4733</v>
      </c>
      <c r="C835" s="4">
        <v>826.5</v>
      </c>
      <c r="D835" s="4">
        <f t="shared" si="26"/>
        <v>9918</v>
      </c>
      <c r="E835" s="2" t="s">
        <v>78</v>
      </c>
      <c r="F835" s="4">
        <v>0</v>
      </c>
      <c r="G835" s="4">
        <v>15</v>
      </c>
      <c r="H835" s="3">
        <v>46030</v>
      </c>
      <c r="I835" s="4">
        <v>990.45</v>
      </c>
      <c r="J835" s="2" t="s">
        <v>4823</v>
      </c>
      <c r="K835" s="3">
        <v>46054</v>
      </c>
      <c r="L835" s="2">
        <f>IF(G835&lt;=0,0,MAX(0,Assumptions!$B$3-K835))</f>
        <v>0</v>
      </c>
      <c r="M835" s="2" t="str">
        <f t="shared" si="27"/>
        <v>30 days</v>
      </c>
      <c r="N835" s="4">
        <v>0</v>
      </c>
      <c r="O835" s="2" t="s">
        <v>78</v>
      </c>
      <c r="P835" s="2" t="s">
        <v>36</v>
      </c>
    </row>
    <row r="836" spans="1:16" x14ac:dyDescent="0.2">
      <c r="A836" s="2" t="s">
        <v>4737</v>
      </c>
      <c r="B836" s="2" t="s">
        <v>814</v>
      </c>
      <c r="C836" s="4">
        <v>826.5</v>
      </c>
      <c r="D836" s="4">
        <f t="shared" si="26"/>
        <v>9918</v>
      </c>
      <c r="E836" s="2" t="s">
        <v>78</v>
      </c>
      <c r="F836" s="4">
        <v>0</v>
      </c>
      <c r="G836" s="4">
        <v>962.39</v>
      </c>
      <c r="H836" s="3">
        <v>45951</v>
      </c>
      <c r="I836" s="4">
        <v>527.63</v>
      </c>
      <c r="J836" s="2" t="s">
        <v>4823</v>
      </c>
      <c r="K836" s="3">
        <v>46024</v>
      </c>
      <c r="L836" s="2">
        <f>IF(G836&lt;=0,0,MAX(0,Assumptions!$B$3-K836))</f>
        <v>0</v>
      </c>
      <c r="M836" s="2" t="str">
        <f t="shared" si="27"/>
        <v>30 days</v>
      </c>
      <c r="N836" s="4">
        <v>75</v>
      </c>
      <c r="O836" s="2" t="s">
        <v>78</v>
      </c>
      <c r="P836" s="2" t="s">
        <v>78</v>
      </c>
    </row>
    <row r="837" spans="1:16" x14ac:dyDescent="0.2">
      <c r="A837" s="2" t="s">
        <v>4741</v>
      </c>
      <c r="B837" s="2" t="s">
        <v>1987</v>
      </c>
      <c r="C837" s="4">
        <v>826.5</v>
      </c>
      <c r="D837" s="4">
        <f t="shared" si="26"/>
        <v>9918</v>
      </c>
      <c r="E837" s="2" t="s">
        <v>78</v>
      </c>
      <c r="F837" s="4">
        <v>0</v>
      </c>
      <c r="G837" s="4">
        <v>0</v>
      </c>
      <c r="H837" s="3">
        <v>46048</v>
      </c>
      <c r="I837" s="4">
        <v>945.81</v>
      </c>
      <c r="J837" s="2" t="s">
        <v>4823</v>
      </c>
      <c r="K837" s="3">
        <v>46054</v>
      </c>
      <c r="L837" s="2">
        <f>IF(G837&lt;=0,0,MAX(0,Assumptions!$B$3-K837))</f>
        <v>0</v>
      </c>
      <c r="M837" s="2" t="str">
        <f t="shared" si="27"/>
        <v>Current</v>
      </c>
      <c r="N837" s="4">
        <v>0</v>
      </c>
      <c r="O837" s="2" t="s">
        <v>78</v>
      </c>
      <c r="P837" s="2" t="s">
        <v>78</v>
      </c>
    </row>
    <row r="838" spans="1:16" x14ac:dyDescent="0.2">
      <c r="A838" s="2" t="s">
        <v>4745</v>
      </c>
      <c r="B838" s="2" t="s">
        <v>723</v>
      </c>
      <c r="C838" s="4">
        <v>826.5</v>
      </c>
      <c r="D838" s="4">
        <f t="shared" si="26"/>
        <v>9918</v>
      </c>
      <c r="E838" s="2" t="s">
        <v>78</v>
      </c>
      <c r="F838" s="4">
        <v>0</v>
      </c>
      <c r="G838" s="4">
        <v>0</v>
      </c>
      <c r="H838" s="3">
        <v>46073</v>
      </c>
      <c r="I838" s="4">
        <v>781.9</v>
      </c>
      <c r="J838" s="2" t="s">
        <v>4825</v>
      </c>
      <c r="K838" s="3">
        <v>46054</v>
      </c>
      <c r="L838" s="2">
        <f>IF(G838&lt;=0,0,MAX(0,Assumptions!$B$3-K838))</f>
        <v>0</v>
      </c>
      <c r="M838" s="2" t="str">
        <f t="shared" si="27"/>
        <v>Current</v>
      </c>
      <c r="N838" s="4">
        <v>0</v>
      </c>
      <c r="O838" s="2" t="s">
        <v>78</v>
      </c>
      <c r="P838" s="2" t="s">
        <v>36</v>
      </c>
    </row>
    <row r="839" spans="1:16" x14ac:dyDescent="0.2">
      <c r="A839" s="2" t="s">
        <v>4749</v>
      </c>
      <c r="B839" s="2" t="s">
        <v>278</v>
      </c>
      <c r="C839" s="4">
        <v>826.5</v>
      </c>
      <c r="D839" s="4">
        <f t="shared" si="26"/>
        <v>9918</v>
      </c>
      <c r="E839" s="2" t="s">
        <v>78</v>
      </c>
      <c r="F839" s="4">
        <v>0</v>
      </c>
      <c r="G839" s="4">
        <v>0</v>
      </c>
      <c r="H839" s="3">
        <v>46062</v>
      </c>
      <c r="I839" s="4">
        <v>735.22</v>
      </c>
      <c r="J839" s="2" t="s">
        <v>4827</v>
      </c>
      <c r="K839" s="3">
        <v>46054</v>
      </c>
      <c r="L839" s="2">
        <f>IF(G839&lt;=0,0,MAX(0,Assumptions!$B$3-K839))</f>
        <v>0</v>
      </c>
      <c r="M839" s="2" t="str">
        <f t="shared" si="27"/>
        <v>Current</v>
      </c>
      <c r="N839" s="4">
        <v>0</v>
      </c>
      <c r="O839" s="2" t="s">
        <v>78</v>
      </c>
      <c r="P839" s="2" t="s">
        <v>36</v>
      </c>
    </row>
    <row r="840" spans="1:16" x14ac:dyDescent="0.2">
      <c r="A840" s="2" t="s">
        <v>4753</v>
      </c>
      <c r="B840" s="2" t="s">
        <v>2399</v>
      </c>
      <c r="C840" s="4">
        <v>826.5</v>
      </c>
      <c r="D840" s="4">
        <f t="shared" si="26"/>
        <v>9918</v>
      </c>
      <c r="E840" s="2" t="s">
        <v>78</v>
      </c>
      <c r="F840" s="4">
        <v>0</v>
      </c>
      <c r="G840" s="4">
        <v>-50</v>
      </c>
      <c r="H840" s="3">
        <v>46073</v>
      </c>
      <c r="I840" s="4">
        <v>918.17</v>
      </c>
      <c r="J840" s="2" t="s">
        <v>4824</v>
      </c>
      <c r="K840" s="3">
        <v>46054</v>
      </c>
      <c r="L840" s="2">
        <f>IF(G840&lt;=0,0,MAX(0,Assumptions!$B$3-K840))</f>
        <v>0</v>
      </c>
      <c r="M840" s="2" t="str">
        <f t="shared" si="27"/>
        <v>Current</v>
      </c>
      <c r="N840" s="4">
        <v>0</v>
      </c>
      <c r="O840" s="2" t="s">
        <v>78</v>
      </c>
      <c r="P840" s="2" t="s">
        <v>36</v>
      </c>
    </row>
    <row r="841" spans="1:16" x14ac:dyDescent="0.2">
      <c r="A841" s="2" t="s">
        <v>4758</v>
      </c>
      <c r="B841" s="2" t="s">
        <v>2247</v>
      </c>
      <c r="C841" s="4">
        <v>1014.6</v>
      </c>
      <c r="D841" s="4">
        <f t="shared" si="26"/>
        <v>12175.2</v>
      </c>
      <c r="E841" s="2" t="s">
        <v>78</v>
      </c>
      <c r="F841" s="4">
        <v>0</v>
      </c>
      <c r="G841" s="4">
        <v>0</v>
      </c>
      <c r="H841" s="3">
        <v>46037</v>
      </c>
      <c r="I841" s="4">
        <v>872.69</v>
      </c>
      <c r="J841" s="2" t="s">
        <v>4825</v>
      </c>
      <c r="K841" s="3">
        <v>46054</v>
      </c>
      <c r="L841" s="2">
        <f>IF(G841&lt;=0,0,MAX(0,Assumptions!$B$3-K841))</f>
        <v>0</v>
      </c>
      <c r="M841" s="2" t="str">
        <f t="shared" si="27"/>
        <v>Current</v>
      </c>
      <c r="N841" s="4">
        <v>0</v>
      </c>
      <c r="O841" s="2" t="s">
        <v>78</v>
      </c>
      <c r="P841" s="2" t="s">
        <v>78</v>
      </c>
    </row>
    <row r="842" spans="1:16" x14ac:dyDescent="0.2">
      <c r="A842" s="2" t="s">
        <v>4763</v>
      </c>
      <c r="B842" s="2" t="s">
        <v>2873</v>
      </c>
      <c r="C842" s="4">
        <v>1014.6</v>
      </c>
      <c r="D842" s="4">
        <f t="shared" si="26"/>
        <v>12175.2</v>
      </c>
      <c r="E842" s="2" t="s">
        <v>78</v>
      </c>
      <c r="F842" s="4">
        <v>0</v>
      </c>
      <c r="G842" s="4">
        <v>0</v>
      </c>
      <c r="H842" s="3">
        <v>46053</v>
      </c>
      <c r="I842" s="4">
        <v>1042.1400000000001</v>
      </c>
      <c r="J842" s="2" t="s">
        <v>4823</v>
      </c>
      <c r="K842" s="3">
        <v>46054</v>
      </c>
      <c r="L842" s="2">
        <f>IF(G842&lt;=0,0,MAX(0,Assumptions!$B$3-K842))</f>
        <v>0</v>
      </c>
      <c r="M842" s="2" t="str">
        <f t="shared" si="27"/>
        <v>Current</v>
      </c>
      <c r="N842" s="4">
        <v>0</v>
      </c>
      <c r="O842" s="2" t="s">
        <v>78</v>
      </c>
      <c r="P842" s="2" t="s">
        <v>78</v>
      </c>
    </row>
    <row r="843" spans="1:16" x14ac:dyDescent="0.2">
      <c r="A843" s="2" t="s">
        <v>4769</v>
      </c>
      <c r="B843" s="2" t="s">
        <v>4235</v>
      </c>
      <c r="C843" s="4">
        <v>1014.6</v>
      </c>
      <c r="D843" s="4">
        <f t="shared" si="26"/>
        <v>12175.2</v>
      </c>
      <c r="E843" s="2" t="s">
        <v>78</v>
      </c>
      <c r="F843" s="4">
        <v>0</v>
      </c>
      <c r="G843" s="4">
        <v>15</v>
      </c>
      <c r="H843" s="3">
        <v>46030</v>
      </c>
      <c r="I843" s="4">
        <v>920.66</v>
      </c>
      <c r="J843" s="2" t="s">
        <v>4823</v>
      </c>
      <c r="K843" s="3">
        <v>46054</v>
      </c>
      <c r="L843" s="2">
        <f>IF(G843&lt;=0,0,MAX(0,Assumptions!$B$3-K843))</f>
        <v>0</v>
      </c>
      <c r="M843" s="2" t="str">
        <f t="shared" si="27"/>
        <v>30 days</v>
      </c>
      <c r="N843" s="4">
        <v>0</v>
      </c>
      <c r="O843" s="2" t="s">
        <v>78</v>
      </c>
      <c r="P843" s="2" t="s">
        <v>78</v>
      </c>
    </row>
    <row r="844" spans="1:16" x14ac:dyDescent="0.2">
      <c r="A844" s="2" t="s">
        <v>4774</v>
      </c>
      <c r="B844" s="2" t="s">
        <v>4775</v>
      </c>
      <c r="C844" s="4">
        <v>1014.6</v>
      </c>
      <c r="D844" s="4">
        <f t="shared" si="26"/>
        <v>12175.2</v>
      </c>
      <c r="E844" s="2" t="s">
        <v>78</v>
      </c>
      <c r="F844" s="4">
        <v>0</v>
      </c>
      <c r="G844" s="4">
        <v>0</v>
      </c>
      <c r="H844" s="3">
        <v>46063</v>
      </c>
      <c r="I844" s="4">
        <v>863.17</v>
      </c>
      <c r="J844" s="2" t="s">
        <v>4825</v>
      </c>
      <c r="K844" s="3">
        <v>46054</v>
      </c>
      <c r="L844" s="2">
        <f>IF(G844&lt;=0,0,MAX(0,Assumptions!$B$3-K844))</f>
        <v>0</v>
      </c>
      <c r="M844" s="2" t="str">
        <f t="shared" si="27"/>
        <v>Current</v>
      </c>
      <c r="N844" s="4">
        <v>0</v>
      </c>
      <c r="O844" s="2" t="s">
        <v>78</v>
      </c>
      <c r="P844" s="2" t="s">
        <v>78</v>
      </c>
    </row>
    <row r="845" spans="1:16" x14ac:dyDescent="0.2">
      <c r="A845" s="2" t="s">
        <v>4780</v>
      </c>
      <c r="B845" s="2" t="s">
        <v>46</v>
      </c>
      <c r="C845" s="4">
        <v>1014.6</v>
      </c>
      <c r="D845" s="4">
        <f t="shared" si="26"/>
        <v>12175.2</v>
      </c>
      <c r="E845" s="2" t="s">
        <v>78</v>
      </c>
      <c r="F845" s="4">
        <v>0</v>
      </c>
      <c r="G845" s="4">
        <v>25</v>
      </c>
      <c r="H845" s="3">
        <v>46031</v>
      </c>
      <c r="I845" s="4">
        <v>1153.3</v>
      </c>
      <c r="J845" s="2" t="s">
        <v>4823</v>
      </c>
      <c r="K845" s="3">
        <v>46054</v>
      </c>
      <c r="L845" s="2">
        <f>IF(G845&lt;=0,0,MAX(0,Assumptions!$B$3-K845))</f>
        <v>0</v>
      </c>
      <c r="M845" s="2" t="str">
        <f t="shared" si="27"/>
        <v>30 days</v>
      </c>
      <c r="N845" s="4">
        <v>0</v>
      </c>
      <c r="O845" s="2" t="s">
        <v>78</v>
      </c>
      <c r="P845" s="2" t="s">
        <v>78</v>
      </c>
    </row>
    <row r="846" spans="1:16" x14ac:dyDescent="0.2">
      <c r="A846" s="2" t="s">
        <v>4785</v>
      </c>
      <c r="B846" s="2" t="s">
        <v>267</v>
      </c>
      <c r="C846" s="4">
        <v>1014.6</v>
      </c>
      <c r="D846" s="4">
        <f t="shared" si="26"/>
        <v>12175.2</v>
      </c>
      <c r="E846" s="2" t="s">
        <v>78</v>
      </c>
      <c r="F846" s="4">
        <v>0</v>
      </c>
      <c r="G846" s="4">
        <v>15</v>
      </c>
      <c r="H846" s="3">
        <v>46055</v>
      </c>
      <c r="I846" s="4">
        <v>1074.81</v>
      </c>
      <c r="J846" s="2" t="s">
        <v>4827</v>
      </c>
      <c r="K846" s="3">
        <v>46054</v>
      </c>
      <c r="L846" s="2">
        <f>IF(G846&lt;=0,0,MAX(0,Assumptions!$B$3-K846))</f>
        <v>0</v>
      </c>
      <c r="M846" s="2" t="str">
        <f t="shared" si="27"/>
        <v>30 days</v>
      </c>
      <c r="N846" s="4">
        <v>0</v>
      </c>
      <c r="O846" s="2" t="s">
        <v>78</v>
      </c>
      <c r="P846" s="2" t="s">
        <v>78</v>
      </c>
    </row>
    <row r="847" spans="1:16" x14ac:dyDescent="0.2">
      <c r="A847" s="2" t="s">
        <v>4790</v>
      </c>
      <c r="B847" s="2" t="s">
        <v>935</v>
      </c>
      <c r="C847" s="4">
        <v>1197</v>
      </c>
      <c r="D847" s="4">
        <f t="shared" si="26"/>
        <v>14364</v>
      </c>
      <c r="E847" s="2" t="s">
        <v>78</v>
      </c>
      <c r="F847" s="4">
        <v>0</v>
      </c>
      <c r="G847" s="4">
        <v>15</v>
      </c>
      <c r="H847" s="3">
        <v>46038</v>
      </c>
      <c r="I847" s="4">
        <v>1259.01</v>
      </c>
      <c r="J847" s="2" t="s">
        <v>4825</v>
      </c>
      <c r="K847" s="3">
        <v>46054</v>
      </c>
      <c r="L847" s="2">
        <f>IF(G847&lt;=0,0,MAX(0,Assumptions!$B$3-K847))</f>
        <v>0</v>
      </c>
      <c r="M847" s="2" t="str">
        <f t="shared" si="27"/>
        <v>30 days</v>
      </c>
      <c r="N847" s="4">
        <v>0</v>
      </c>
      <c r="O847" s="2" t="s">
        <v>78</v>
      </c>
      <c r="P847" s="2" t="s">
        <v>36</v>
      </c>
    </row>
    <row r="848" spans="1:16" x14ac:dyDescent="0.2">
      <c r="A848" s="2" t="s">
        <v>4795</v>
      </c>
      <c r="B848" s="2" t="s">
        <v>4796</v>
      </c>
      <c r="C848" s="4">
        <v>1197</v>
      </c>
      <c r="D848" s="4">
        <f t="shared" si="26"/>
        <v>14364</v>
      </c>
      <c r="E848" s="2" t="s">
        <v>78</v>
      </c>
      <c r="F848" s="4">
        <v>0</v>
      </c>
      <c r="G848" s="4">
        <v>0</v>
      </c>
      <c r="H848" s="3">
        <v>46071</v>
      </c>
      <c r="I848" s="4">
        <v>1290.5</v>
      </c>
      <c r="J848" s="2" t="s">
        <v>4823</v>
      </c>
      <c r="K848" s="3">
        <v>46054</v>
      </c>
      <c r="L848" s="2">
        <f>IF(G848&lt;=0,0,MAX(0,Assumptions!$B$3-K848))</f>
        <v>0</v>
      </c>
      <c r="M848" s="2" t="str">
        <f t="shared" si="27"/>
        <v>Current</v>
      </c>
      <c r="N848" s="4">
        <v>0</v>
      </c>
      <c r="O848" s="2" t="s">
        <v>78</v>
      </c>
      <c r="P848" s="2" t="s">
        <v>36</v>
      </c>
    </row>
    <row r="849" spans="1:16" x14ac:dyDescent="0.2">
      <c r="A849" s="2" t="s">
        <v>4801</v>
      </c>
      <c r="B849" s="2" t="s">
        <v>3988</v>
      </c>
      <c r="C849" s="4">
        <v>1197</v>
      </c>
      <c r="D849" s="4">
        <f t="shared" si="26"/>
        <v>14364</v>
      </c>
      <c r="E849" s="2" t="s">
        <v>78</v>
      </c>
      <c r="F849" s="4">
        <v>0</v>
      </c>
      <c r="G849" s="4">
        <v>3703.86</v>
      </c>
      <c r="H849" s="3">
        <v>46015</v>
      </c>
      <c r="I849" s="4">
        <v>1215.8</v>
      </c>
      <c r="J849" s="2" t="s">
        <v>4825</v>
      </c>
      <c r="K849" s="3">
        <v>45964</v>
      </c>
      <c r="L849" s="2">
        <f>IF(G849&lt;=0,0,MAX(0,Assumptions!$B$3-K849))</f>
        <v>0</v>
      </c>
      <c r="M849" s="2" t="str">
        <f t="shared" si="27"/>
        <v>30 days</v>
      </c>
      <c r="N849" s="4">
        <v>0</v>
      </c>
      <c r="O849" s="2" t="s">
        <v>78</v>
      </c>
      <c r="P849" s="2" t="s">
        <v>78</v>
      </c>
    </row>
    <row r="850" spans="1:16" x14ac:dyDescent="0.2">
      <c r="A850" s="2" t="s">
        <v>4806</v>
      </c>
      <c r="B850" s="2" t="s">
        <v>4807</v>
      </c>
      <c r="C850" s="4">
        <v>1197</v>
      </c>
      <c r="D850" s="4">
        <f t="shared" si="26"/>
        <v>14364</v>
      </c>
      <c r="E850" s="2" t="s">
        <v>78</v>
      </c>
      <c r="F850" s="4">
        <v>0</v>
      </c>
      <c r="G850" s="4">
        <v>0</v>
      </c>
      <c r="H850" s="3">
        <v>46034</v>
      </c>
      <c r="I850" s="4">
        <v>987.99</v>
      </c>
      <c r="J850" s="2" t="s">
        <v>4823</v>
      </c>
      <c r="K850" s="3">
        <v>46054</v>
      </c>
      <c r="L850" s="2">
        <f>IF(G850&lt;=0,0,MAX(0,Assumptions!$B$3-K850))</f>
        <v>0</v>
      </c>
      <c r="M850" s="2" t="str">
        <f t="shared" si="27"/>
        <v>Current</v>
      </c>
      <c r="N850" s="4">
        <v>0</v>
      </c>
      <c r="O850" s="2" t="s">
        <v>78</v>
      </c>
      <c r="P850" s="2" t="s">
        <v>36</v>
      </c>
    </row>
    <row r="851" spans="1:16" x14ac:dyDescent="0.2">
      <c r="A851" s="2" t="s">
        <v>4811</v>
      </c>
      <c r="B851" s="2" t="s">
        <v>4812</v>
      </c>
      <c r="C851" s="4">
        <v>1653</v>
      </c>
      <c r="D851" s="4">
        <f t="shared" si="26"/>
        <v>19836</v>
      </c>
      <c r="E851" s="2" t="s">
        <v>78</v>
      </c>
      <c r="F851" s="4">
        <v>0</v>
      </c>
      <c r="G851" s="4">
        <v>0</v>
      </c>
      <c r="H851" s="3">
        <v>46034</v>
      </c>
      <c r="I851" s="4">
        <v>1702.32</v>
      </c>
      <c r="J851" s="2" t="s">
        <v>4823</v>
      </c>
      <c r="K851" s="3">
        <v>46054</v>
      </c>
      <c r="L851" s="2">
        <f>IF(G851&lt;=0,0,MAX(0,Assumptions!$B$3-K851))</f>
        <v>0</v>
      </c>
      <c r="M851" s="2" t="str">
        <f t="shared" si="27"/>
        <v>Current</v>
      </c>
      <c r="N851" s="4">
        <v>0</v>
      </c>
      <c r="O851" s="2" t="s">
        <v>78</v>
      </c>
      <c r="P851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21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2" width="8" customWidth="1"/>
    <col min="3" max="3" width="14" customWidth="1"/>
    <col min="4" max="4" width="12" customWidth="1"/>
    <col min="5" max="5" width="40" customWidth="1"/>
  </cols>
  <sheetData>
    <row r="1" spans="1:5" ht="22" customHeight="1" x14ac:dyDescent="0.2">
      <c r="A1" s="1" t="s">
        <v>4828</v>
      </c>
      <c r="B1" s="1" t="s">
        <v>4829</v>
      </c>
      <c r="C1" s="1" t="s">
        <v>4830</v>
      </c>
      <c r="D1" s="1" t="s">
        <v>4831</v>
      </c>
      <c r="E1" s="1" t="s">
        <v>0</v>
      </c>
    </row>
    <row r="2" spans="1:5" x14ac:dyDescent="0.2">
      <c r="A2" s="2" t="s">
        <v>3751</v>
      </c>
      <c r="B2" s="2" t="s">
        <v>4832</v>
      </c>
      <c r="C2" s="2" t="s">
        <v>4833</v>
      </c>
      <c r="D2" s="2" t="s">
        <v>3748</v>
      </c>
      <c r="E2" s="2" t="s">
        <v>34</v>
      </c>
    </row>
    <row r="3" spans="1:5" x14ac:dyDescent="0.2">
      <c r="A3" s="2" t="s">
        <v>4834</v>
      </c>
      <c r="B3" s="2" t="s">
        <v>4832</v>
      </c>
      <c r="C3" s="2" t="s">
        <v>4835</v>
      </c>
      <c r="D3" s="2" t="s">
        <v>34</v>
      </c>
      <c r="E3" s="2" t="s">
        <v>34</v>
      </c>
    </row>
    <row r="4" spans="1:5" x14ac:dyDescent="0.2">
      <c r="A4" s="2" t="s">
        <v>1018</v>
      </c>
      <c r="B4" s="2" t="s">
        <v>4832</v>
      </c>
      <c r="C4" s="2" t="s">
        <v>4833</v>
      </c>
      <c r="D4" s="2" t="s">
        <v>1015</v>
      </c>
      <c r="E4" s="2" t="s">
        <v>34</v>
      </c>
    </row>
    <row r="5" spans="1:5" x14ac:dyDescent="0.2">
      <c r="A5" s="2" t="s">
        <v>640</v>
      </c>
      <c r="B5" s="2" t="s">
        <v>4832</v>
      </c>
      <c r="C5" s="2" t="s">
        <v>4833</v>
      </c>
      <c r="D5" s="2" t="s">
        <v>635</v>
      </c>
      <c r="E5" s="2" t="s">
        <v>34</v>
      </c>
    </row>
    <row r="6" spans="1:5" x14ac:dyDescent="0.2">
      <c r="A6" s="2" t="s">
        <v>4575</v>
      </c>
      <c r="B6" s="2" t="s">
        <v>4832</v>
      </c>
      <c r="C6" s="2" t="s">
        <v>4833</v>
      </c>
      <c r="D6" s="2" t="s">
        <v>4572</v>
      </c>
      <c r="E6" s="2" t="s">
        <v>34</v>
      </c>
    </row>
    <row r="7" spans="1:5" x14ac:dyDescent="0.2">
      <c r="A7" s="2" t="s">
        <v>3523</v>
      </c>
      <c r="B7" s="2" t="s">
        <v>4832</v>
      </c>
      <c r="C7" s="2" t="s">
        <v>4833</v>
      </c>
      <c r="D7" s="2" t="s">
        <v>3520</v>
      </c>
      <c r="E7" s="2" t="s">
        <v>34</v>
      </c>
    </row>
    <row r="8" spans="1:5" x14ac:dyDescent="0.2">
      <c r="A8" s="2" t="s">
        <v>4836</v>
      </c>
      <c r="B8" s="2" t="s">
        <v>4832</v>
      </c>
      <c r="C8" s="2" t="s">
        <v>4837</v>
      </c>
      <c r="D8" s="2" t="s">
        <v>34</v>
      </c>
      <c r="E8" s="2" t="s">
        <v>34</v>
      </c>
    </row>
    <row r="9" spans="1:5" x14ac:dyDescent="0.2">
      <c r="A9" s="2" t="s">
        <v>4293</v>
      </c>
      <c r="B9" s="2" t="s">
        <v>4832</v>
      </c>
      <c r="C9" s="2" t="s">
        <v>4833</v>
      </c>
      <c r="D9" s="2" t="s">
        <v>4290</v>
      </c>
      <c r="E9" s="2" t="s">
        <v>34</v>
      </c>
    </row>
    <row r="10" spans="1:5" x14ac:dyDescent="0.2">
      <c r="A10" s="2" t="s">
        <v>764</v>
      </c>
      <c r="B10" s="2" t="s">
        <v>4832</v>
      </c>
      <c r="C10" s="2" t="s">
        <v>4833</v>
      </c>
      <c r="D10" s="2" t="s">
        <v>759</v>
      </c>
      <c r="E10" s="2" t="s">
        <v>34</v>
      </c>
    </row>
    <row r="11" spans="1:5" x14ac:dyDescent="0.2">
      <c r="A11" s="2" t="s">
        <v>211</v>
      </c>
      <c r="B11" s="2" t="s">
        <v>4832</v>
      </c>
      <c r="C11" s="2" t="s">
        <v>4833</v>
      </c>
      <c r="D11" s="2" t="s">
        <v>207</v>
      </c>
      <c r="E11" s="2" t="s">
        <v>34</v>
      </c>
    </row>
    <row r="12" spans="1:5" x14ac:dyDescent="0.2">
      <c r="A12" s="2" t="s">
        <v>2607</v>
      </c>
      <c r="B12" s="2" t="s">
        <v>4832</v>
      </c>
      <c r="C12" s="2" t="s">
        <v>4833</v>
      </c>
      <c r="D12" s="2" t="s">
        <v>2604</v>
      </c>
      <c r="E12" s="2" t="s">
        <v>34</v>
      </c>
    </row>
    <row r="13" spans="1:5" x14ac:dyDescent="0.2">
      <c r="A13" s="2" t="s">
        <v>190</v>
      </c>
      <c r="B13" s="2" t="s">
        <v>4832</v>
      </c>
      <c r="C13" s="2" t="s">
        <v>4833</v>
      </c>
      <c r="D13" s="2" t="s">
        <v>185</v>
      </c>
      <c r="E13" s="2" t="s">
        <v>34</v>
      </c>
    </row>
    <row r="14" spans="1:5" x14ac:dyDescent="0.2">
      <c r="A14" s="2" t="s">
        <v>2770</v>
      </c>
      <c r="B14" s="2" t="s">
        <v>4832</v>
      </c>
      <c r="C14" s="2" t="s">
        <v>4833</v>
      </c>
      <c r="D14" s="2" t="s">
        <v>2766</v>
      </c>
      <c r="E14" s="2" t="s">
        <v>34</v>
      </c>
    </row>
    <row r="15" spans="1:5" x14ac:dyDescent="0.2">
      <c r="A15" s="2" t="s">
        <v>4838</v>
      </c>
      <c r="B15" s="2" t="s">
        <v>4832</v>
      </c>
      <c r="C15" s="2" t="s">
        <v>4837</v>
      </c>
      <c r="D15" s="2" t="s">
        <v>34</v>
      </c>
      <c r="E15" s="2" t="s">
        <v>34</v>
      </c>
    </row>
    <row r="16" spans="1:5" x14ac:dyDescent="0.2">
      <c r="A16" s="2" t="s">
        <v>4788</v>
      </c>
      <c r="B16" s="2" t="s">
        <v>4832</v>
      </c>
      <c r="C16" s="2" t="s">
        <v>4833</v>
      </c>
      <c r="D16" s="2" t="s">
        <v>4785</v>
      </c>
      <c r="E16" s="2" t="s">
        <v>34</v>
      </c>
    </row>
    <row r="17" spans="1:5" x14ac:dyDescent="0.2">
      <c r="A17" s="2" t="s">
        <v>323</v>
      </c>
      <c r="B17" s="2" t="s">
        <v>4832</v>
      </c>
      <c r="C17" s="2" t="s">
        <v>4833</v>
      </c>
      <c r="D17" s="2" t="s">
        <v>317</v>
      </c>
      <c r="E17" s="2" t="s">
        <v>34</v>
      </c>
    </row>
    <row r="18" spans="1:5" x14ac:dyDescent="0.2">
      <c r="A18" s="2" t="s">
        <v>4362</v>
      </c>
      <c r="B18" s="2" t="s">
        <v>4832</v>
      </c>
      <c r="C18" s="2" t="s">
        <v>4833</v>
      </c>
      <c r="D18" s="2" t="s">
        <v>4358</v>
      </c>
      <c r="E18" s="2" t="s">
        <v>34</v>
      </c>
    </row>
    <row r="19" spans="1:5" x14ac:dyDescent="0.2">
      <c r="A19" s="2" t="s">
        <v>2553</v>
      </c>
      <c r="B19" s="2" t="s">
        <v>4832</v>
      </c>
      <c r="C19" s="2" t="s">
        <v>4833</v>
      </c>
      <c r="D19" s="2" t="s">
        <v>2548</v>
      </c>
      <c r="E19" s="2" t="s">
        <v>34</v>
      </c>
    </row>
    <row r="20" spans="1:5" x14ac:dyDescent="0.2">
      <c r="A20" s="2" t="s">
        <v>1731</v>
      </c>
      <c r="B20" s="2" t="s">
        <v>4832</v>
      </c>
      <c r="C20" s="2" t="s">
        <v>4833</v>
      </c>
      <c r="D20" s="2" t="s">
        <v>1727</v>
      </c>
      <c r="E20" s="2" t="s">
        <v>34</v>
      </c>
    </row>
    <row r="21" spans="1:5" x14ac:dyDescent="0.2">
      <c r="A21" s="2" t="s">
        <v>4419</v>
      </c>
      <c r="B21" s="2" t="s">
        <v>4832</v>
      </c>
      <c r="C21" s="2" t="s">
        <v>4833</v>
      </c>
      <c r="D21" s="2" t="s">
        <v>4416</v>
      </c>
      <c r="E21" s="2" t="s">
        <v>34</v>
      </c>
    </row>
    <row r="22" spans="1:5" x14ac:dyDescent="0.2">
      <c r="A22" s="2" t="s">
        <v>3199</v>
      </c>
      <c r="B22" s="2" t="s">
        <v>4832</v>
      </c>
      <c r="C22" s="2" t="s">
        <v>4833</v>
      </c>
      <c r="D22" s="2" t="s">
        <v>3194</v>
      </c>
      <c r="E22" s="2" t="s">
        <v>34</v>
      </c>
    </row>
    <row r="23" spans="1:5" x14ac:dyDescent="0.2">
      <c r="A23" s="2" t="s">
        <v>258</v>
      </c>
      <c r="B23" s="2" t="s">
        <v>4832</v>
      </c>
      <c r="C23" s="2" t="s">
        <v>4833</v>
      </c>
      <c r="D23" s="2" t="s">
        <v>253</v>
      </c>
      <c r="E23" s="2" t="s">
        <v>34</v>
      </c>
    </row>
    <row r="24" spans="1:5" x14ac:dyDescent="0.2">
      <c r="A24" s="2" t="s">
        <v>1330</v>
      </c>
      <c r="B24" s="2" t="s">
        <v>4832</v>
      </c>
      <c r="C24" s="2" t="s">
        <v>4833</v>
      </c>
      <c r="D24" s="2" t="s">
        <v>1325</v>
      </c>
      <c r="E24" s="2" t="s">
        <v>34</v>
      </c>
    </row>
    <row r="25" spans="1:5" x14ac:dyDescent="0.2">
      <c r="A25" s="2" t="s">
        <v>4839</v>
      </c>
      <c r="B25" s="2" t="s">
        <v>4832</v>
      </c>
      <c r="C25" s="2" t="s">
        <v>4835</v>
      </c>
      <c r="D25" s="2" t="s">
        <v>34</v>
      </c>
      <c r="E25" s="2" t="s">
        <v>34</v>
      </c>
    </row>
    <row r="26" spans="1:5" x14ac:dyDescent="0.2">
      <c r="A26" s="2" t="s">
        <v>4096</v>
      </c>
      <c r="B26" s="2" t="s">
        <v>4832</v>
      </c>
      <c r="C26" s="2" t="s">
        <v>4833</v>
      </c>
      <c r="D26" s="2" t="s">
        <v>4092</v>
      </c>
      <c r="E26" s="2" t="s">
        <v>34</v>
      </c>
    </row>
    <row r="27" spans="1:5" x14ac:dyDescent="0.2">
      <c r="A27" s="2" t="s">
        <v>3602</v>
      </c>
      <c r="B27" s="2" t="s">
        <v>4832</v>
      </c>
      <c r="C27" s="2" t="s">
        <v>4833</v>
      </c>
      <c r="D27" s="2" t="s">
        <v>3598</v>
      </c>
      <c r="E27" s="2" t="s">
        <v>34</v>
      </c>
    </row>
    <row r="28" spans="1:5" x14ac:dyDescent="0.2">
      <c r="A28" s="2" t="s">
        <v>2854</v>
      </c>
      <c r="B28" s="2" t="s">
        <v>4832</v>
      </c>
      <c r="C28" s="2" t="s">
        <v>4833</v>
      </c>
      <c r="D28" s="2" t="s">
        <v>2851</v>
      </c>
      <c r="E28" s="2" t="s">
        <v>34</v>
      </c>
    </row>
    <row r="29" spans="1:5" x14ac:dyDescent="0.2">
      <c r="A29" s="2" t="s">
        <v>3079</v>
      </c>
      <c r="B29" s="2" t="s">
        <v>4832</v>
      </c>
      <c r="C29" s="2" t="s">
        <v>4833</v>
      </c>
      <c r="D29" s="2" t="s">
        <v>3075</v>
      </c>
      <c r="E29" s="2" t="s">
        <v>34</v>
      </c>
    </row>
    <row r="30" spans="1:5" x14ac:dyDescent="0.2">
      <c r="A30" s="2" t="s">
        <v>4027</v>
      </c>
      <c r="B30" s="2" t="s">
        <v>4832</v>
      </c>
      <c r="C30" s="2" t="s">
        <v>4833</v>
      </c>
      <c r="D30" s="2" t="s">
        <v>4023</v>
      </c>
      <c r="E30" s="2" t="s">
        <v>34</v>
      </c>
    </row>
    <row r="31" spans="1:5" x14ac:dyDescent="0.2">
      <c r="A31" s="2" t="s">
        <v>3128</v>
      </c>
      <c r="B31" s="2" t="s">
        <v>4832</v>
      </c>
      <c r="C31" s="2" t="s">
        <v>4833</v>
      </c>
      <c r="D31" s="2" t="s">
        <v>3125</v>
      </c>
      <c r="E31" s="2" t="s">
        <v>34</v>
      </c>
    </row>
    <row r="32" spans="1:5" x14ac:dyDescent="0.2">
      <c r="A32" s="2" t="s">
        <v>4620</v>
      </c>
      <c r="B32" s="2" t="s">
        <v>4832</v>
      </c>
      <c r="C32" s="2" t="s">
        <v>4833</v>
      </c>
      <c r="D32" s="2" t="s">
        <v>4616</v>
      </c>
      <c r="E32" s="2" t="s">
        <v>34</v>
      </c>
    </row>
    <row r="33" spans="1:5" x14ac:dyDescent="0.2">
      <c r="A33" s="2" t="s">
        <v>2940</v>
      </c>
      <c r="B33" s="2" t="s">
        <v>4832</v>
      </c>
      <c r="C33" s="2" t="s">
        <v>4833</v>
      </c>
      <c r="D33" s="2" t="s">
        <v>2937</v>
      </c>
      <c r="E33" s="2" t="s">
        <v>34</v>
      </c>
    </row>
    <row r="34" spans="1:5" x14ac:dyDescent="0.2">
      <c r="A34" s="2" t="s">
        <v>68</v>
      </c>
      <c r="B34" s="2" t="s">
        <v>4832</v>
      </c>
      <c r="C34" s="2" t="s">
        <v>4833</v>
      </c>
      <c r="D34" s="2" t="s">
        <v>64</v>
      </c>
      <c r="E34" s="2" t="s">
        <v>34</v>
      </c>
    </row>
    <row r="35" spans="1:5" x14ac:dyDescent="0.2">
      <c r="A35" s="2" t="s">
        <v>752</v>
      </c>
      <c r="B35" s="2" t="s">
        <v>4832</v>
      </c>
      <c r="C35" s="2" t="s">
        <v>4833</v>
      </c>
      <c r="D35" s="2" t="s">
        <v>748</v>
      </c>
      <c r="E35" s="2" t="s">
        <v>34</v>
      </c>
    </row>
    <row r="36" spans="1:5" x14ac:dyDescent="0.2">
      <c r="A36" s="2" t="s">
        <v>62</v>
      </c>
      <c r="B36" s="2" t="s">
        <v>4832</v>
      </c>
      <c r="C36" s="2" t="s">
        <v>4833</v>
      </c>
      <c r="D36" s="2" t="s">
        <v>57</v>
      </c>
      <c r="E36" s="2" t="s">
        <v>34</v>
      </c>
    </row>
    <row r="37" spans="1:5" x14ac:dyDescent="0.2">
      <c r="A37" s="2" t="s">
        <v>1461</v>
      </c>
      <c r="B37" s="2" t="s">
        <v>4832</v>
      </c>
      <c r="C37" s="2" t="s">
        <v>4833</v>
      </c>
      <c r="D37" s="2" t="s">
        <v>1458</v>
      </c>
      <c r="E37" s="2" t="s">
        <v>34</v>
      </c>
    </row>
    <row r="38" spans="1:5" x14ac:dyDescent="0.2">
      <c r="A38" s="2" t="s">
        <v>2133</v>
      </c>
      <c r="B38" s="2" t="s">
        <v>4832</v>
      </c>
      <c r="C38" s="2" t="s">
        <v>4833</v>
      </c>
      <c r="D38" s="2" t="s">
        <v>2129</v>
      </c>
      <c r="E38" s="2" t="s">
        <v>34</v>
      </c>
    </row>
    <row r="39" spans="1:5" x14ac:dyDescent="0.2">
      <c r="A39" s="2" t="s">
        <v>1125</v>
      </c>
      <c r="B39" s="2" t="s">
        <v>4832</v>
      </c>
      <c r="C39" s="2" t="s">
        <v>4833</v>
      </c>
      <c r="D39" s="2" t="s">
        <v>1121</v>
      </c>
      <c r="E39" s="2" t="s">
        <v>34</v>
      </c>
    </row>
    <row r="40" spans="1:5" x14ac:dyDescent="0.2">
      <c r="A40" s="2" t="s">
        <v>1254</v>
      </c>
      <c r="B40" s="2" t="s">
        <v>4832</v>
      </c>
      <c r="C40" s="2" t="s">
        <v>4833</v>
      </c>
      <c r="D40" s="2" t="s">
        <v>1250</v>
      </c>
      <c r="E40" s="2" t="s">
        <v>34</v>
      </c>
    </row>
    <row r="41" spans="1:5" x14ac:dyDescent="0.2">
      <c r="A41" s="2" t="s">
        <v>4840</v>
      </c>
      <c r="B41" s="2" t="s">
        <v>4832</v>
      </c>
      <c r="C41" s="2" t="s">
        <v>4837</v>
      </c>
      <c r="D41" s="2" t="s">
        <v>34</v>
      </c>
      <c r="E41" s="2" t="s">
        <v>34</v>
      </c>
    </row>
    <row r="42" spans="1:5" x14ac:dyDescent="0.2">
      <c r="A42" s="2" t="s">
        <v>985</v>
      </c>
      <c r="B42" s="2" t="s">
        <v>4832</v>
      </c>
      <c r="C42" s="2" t="s">
        <v>4833</v>
      </c>
      <c r="D42" s="2" t="s">
        <v>979</v>
      </c>
      <c r="E42" s="2" t="s">
        <v>34</v>
      </c>
    </row>
    <row r="43" spans="1:5" x14ac:dyDescent="0.2">
      <c r="A43" s="2" t="s">
        <v>2944</v>
      </c>
      <c r="B43" s="2" t="s">
        <v>4832</v>
      </c>
      <c r="C43" s="2" t="s">
        <v>4833</v>
      </c>
      <c r="D43" s="2" t="s">
        <v>2941</v>
      </c>
      <c r="E43" s="2" t="s">
        <v>34</v>
      </c>
    </row>
    <row r="44" spans="1:5" x14ac:dyDescent="0.2">
      <c r="A44" s="2" t="s">
        <v>2797</v>
      </c>
      <c r="B44" s="2" t="s">
        <v>4832</v>
      </c>
      <c r="C44" s="2" t="s">
        <v>4833</v>
      </c>
      <c r="D44" s="2" t="s">
        <v>2794</v>
      </c>
      <c r="E44" s="2" t="s">
        <v>34</v>
      </c>
    </row>
    <row r="45" spans="1:5" x14ac:dyDescent="0.2">
      <c r="A45" s="2" t="s">
        <v>4804</v>
      </c>
      <c r="B45" s="2" t="s">
        <v>4832</v>
      </c>
      <c r="C45" s="2" t="s">
        <v>4833</v>
      </c>
      <c r="D45" s="2" t="s">
        <v>4801</v>
      </c>
      <c r="E45" s="2" t="s">
        <v>34</v>
      </c>
    </row>
    <row r="46" spans="1:5" x14ac:dyDescent="0.2">
      <c r="A46" s="2" t="s">
        <v>1082</v>
      </c>
      <c r="B46" s="2" t="s">
        <v>4832</v>
      </c>
      <c r="C46" s="2" t="s">
        <v>4833</v>
      </c>
      <c r="D46" s="2" t="s">
        <v>1078</v>
      </c>
      <c r="E46" s="2" t="s">
        <v>34</v>
      </c>
    </row>
    <row r="47" spans="1:5" x14ac:dyDescent="0.2">
      <c r="A47" s="2" t="s">
        <v>3946</v>
      </c>
      <c r="B47" s="2" t="s">
        <v>4832</v>
      </c>
      <c r="C47" s="2" t="s">
        <v>4833</v>
      </c>
      <c r="D47" s="2" t="s">
        <v>3943</v>
      </c>
      <c r="E47" s="2" t="s">
        <v>34</v>
      </c>
    </row>
    <row r="48" spans="1:5" x14ac:dyDescent="0.2">
      <c r="A48" s="2" t="s">
        <v>2384</v>
      </c>
      <c r="B48" s="2" t="s">
        <v>4832</v>
      </c>
      <c r="C48" s="2" t="s">
        <v>4833</v>
      </c>
      <c r="D48" s="2" t="s">
        <v>2381</v>
      </c>
      <c r="E48" s="2" t="s">
        <v>34</v>
      </c>
    </row>
    <row r="49" spans="1:5" x14ac:dyDescent="0.2">
      <c r="A49" s="2" t="s">
        <v>3601</v>
      </c>
      <c r="B49" s="2" t="s">
        <v>4832</v>
      </c>
      <c r="C49" s="2" t="s">
        <v>4833</v>
      </c>
      <c r="D49" s="2" t="s">
        <v>3598</v>
      </c>
      <c r="E49" s="2" t="s">
        <v>34</v>
      </c>
    </row>
    <row r="50" spans="1:5" x14ac:dyDescent="0.2">
      <c r="A50" s="2" t="s">
        <v>818</v>
      </c>
      <c r="B50" s="2" t="s">
        <v>4832</v>
      </c>
      <c r="C50" s="2" t="s">
        <v>4833</v>
      </c>
      <c r="D50" s="2" t="s">
        <v>813</v>
      </c>
      <c r="E50" s="2" t="s">
        <v>34</v>
      </c>
    </row>
    <row r="51" spans="1:5" x14ac:dyDescent="0.2">
      <c r="A51" s="2" t="s">
        <v>458</v>
      </c>
      <c r="B51" s="2" t="s">
        <v>4832</v>
      </c>
      <c r="C51" s="2" t="s">
        <v>4833</v>
      </c>
      <c r="D51" s="2" t="s">
        <v>454</v>
      </c>
      <c r="E51" s="2" t="s">
        <v>34</v>
      </c>
    </row>
    <row r="52" spans="1:5" x14ac:dyDescent="0.2">
      <c r="A52" s="2" t="s">
        <v>4186</v>
      </c>
      <c r="B52" s="2" t="s">
        <v>4832</v>
      </c>
      <c r="C52" s="2" t="s">
        <v>4833</v>
      </c>
      <c r="D52" s="2" t="s">
        <v>4181</v>
      </c>
      <c r="E52" s="2" t="s">
        <v>34</v>
      </c>
    </row>
    <row r="53" spans="1:5" x14ac:dyDescent="0.2">
      <c r="A53" s="2" t="s">
        <v>4841</v>
      </c>
      <c r="B53" s="2" t="s">
        <v>4832</v>
      </c>
      <c r="C53" s="2" t="s">
        <v>4835</v>
      </c>
      <c r="D53" s="2" t="s">
        <v>34</v>
      </c>
      <c r="E53" s="2" t="s">
        <v>34</v>
      </c>
    </row>
    <row r="54" spans="1:5" x14ac:dyDescent="0.2">
      <c r="A54" s="2" t="s">
        <v>2332</v>
      </c>
      <c r="B54" s="2" t="s">
        <v>4832</v>
      </c>
      <c r="C54" s="2" t="s">
        <v>4833</v>
      </c>
      <c r="D54" s="2" t="s">
        <v>2329</v>
      </c>
      <c r="E54" s="2" t="s">
        <v>34</v>
      </c>
    </row>
    <row r="55" spans="1:5" x14ac:dyDescent="0.2">
      <c r="A55" s="2" t="s">
        <v>2970</v>
      </c>
      <c r="B55" s="2" t="s">
        <v>4832</v>
      </c>
      <c r="C55" s="2" t="s">
        <v>4833</v>
      </c>
      <c r="D55" s="2" t="s">
        <v>2966</v>
      </c>
      <c r="E55" s="2" t="s">
        <v>34</v>
      </c>
    </row>
    <row r="56" spans="1:5" x14ac:dyDescent="0.2">
      <c r="A56" s="2" t="s">
        <v>4842</v>
      </c>
      <c r="B56" s="2" t="s">
        <v>4832</v>
      </c>
      <c r="C56" s="2" t="s">
        <v>4835</v>
      </c>
      <c r="D56" s="2" t="s">
        <v>34</v>
      </c>
      <c r="E56" s="2" t="s">
        <v>34</v>
      </c>
    </row>
    <row r="57" spans="1:5" x14ac:dyDescent="0.2">
      <c r="A57" s="2" t="s">
        <v>2380</v>
      </c>
      <c r="B57" s="2" t="s">
        <v>4832</v>
      </c>
      <c r="C57" s="2" t="s">
        <v>4833</v>
      </c>
      <c r="D57" s="2" t="s">
        <v>2376</v>
      </c>
      <c r="E57" s="2" t="s">
        <v>34</v>
      </c>
    </row>
    <row r="58" spans="1:5" x14ac:dyDescent="0.2">
      <c r="A58" s="2" t="s">
        <v>825</v>
      </c>
      <c r="B58" s="2" t="s">
        <v>4832</v>
      </c>
      <c r="C58" s="2" t="s">
        <v>4833</v>
      </c>
      <c r="D58" s="2" t="s">
        <v>820</v>
      </c>
      <c r="E58" s="2" t="s">
        <v>34</v>
      </c>
    </row>
    <row r="59" spans="1:5" x14ac:dyDescent="0.2">
      <c r="A59" s="2" t="s">
        <v>663</v>
      </c>
      <c r="B59" s="2" t="s">
        <v>4832</v>
      </c>
      <c r="C59" s="2" t="s">
        <v>4833</v>
      </c>
      <c r="D59" s="2" t="s">
        <v>658</v>
      </c>
      <c r="E59" s="2" t="s">
        <v>34</v>
      </c>
    </row>
    <row r="60" spans="1:5" x14ac:dyDescent="0.2">
      <c r="A60" s="2" t="s">
        <v>2076</v>
      </c>
      <c r="B60" s="2" t="s">
        <v>4832</v>
      </c>
      <c r="C60" s="2" t="s">
        <v>4833</v>
      </c>
      <c r="D60" s="2" t="s">
        <v>2071</v>
      </c>
      <c r="E60" s="2" t="s">
        <v>34</v>
      </c>
    </row>
    <row r="61" spans="1:5" x14ac:dyDescent="0.2">
      <c r="A61" s="2" t="s">
        <v>1713</v>
      </c>
      <c r="B61" s="2" t="s">
        <v>4832</v>
      </c>
      <c r="C61" s="2" t="s">
        <v>4833</v>
      </c>
      <c r="D61" s="2" t="s">
        <v>1710</v>
      </c>
      <c r="E61" s="2" t="s">
        <v>34</v>
      </c>
    </row>
    <row r="62" spans="1:5" x14ac:dyDescent="0.2">
      <c r="A62" s="2" t="s">
        <v>1544</v>
      </c>
      <c r="B62" s="2" t="s">
        <v>4832</v>
      </c>
      <c r="C62" s="2" t="s">
        <v>4833</v>
      </c>
      <c r="D62" s="2" t="s">
        <v>1539</v>
      </c>
      <c r="E62" s="2" t="s">
        <v>34</v>
      </c>
    </row>
    <row r="63" spans="1:5" x14ac:dyDescent="0.2">
      <c r="A63" s="2" t="s">
        <v>4843</v>
      </c>
      <c r="B63" s="2" t="s">
        <v>4832</v>
      </c>
      <c r="C63" s="2" t="s">
        <v>4835</v>
      </c>
      <c r="D63" s="2" t="s">
        <v>34</v>
      </c>
      <c r="E63" s="2" t="s">
        <v>34</v>
      </c>
    </row>
    <row r="64" spans="1:5" x14ac:dyDescent="0.2">
      <c r="A64" s="2" t="s">
        <v>1596</v>
      </c>
      <c r="B64" s="2" t="s">
        <v>4832</v>
      </c>
      <c r="C64" s="2" t="s">
        <v>4833</v>
      </c>
      <c r="D64" s="2" t="s">
        <v>1592</v>
      </c>
      <c r="E64" s="2" t="s">
        <v>34</v>
      </c>
    </row>
    <row r="65" spans="1:5" x14ac:dyDescent="0.2">
      <c r="A65" s="2" t="s">
        <v>3227</v>
      </c>
      <c r="B65" s="2" t="s">
        <v>4832</v>
      </c>
      <c r="C65" s="2" t="s">
        <v>4833</v>
      </c>
      <c r="D65" s="2" t="s">
        <v>3223</v>
      </c>
      <c r="E65" s="2" t="s">
        <v>34</v>
      </c>
    </row>
    <row r="66" spans="1:5" x14ac:dyDescent="0.2">
      <c r="A66" s="2" t="s">
        <v>4773</v>
      </c>
      <c r="B66" s="2" t="s">
        <v>4832</v>
      </c>
      <c r="C66" s="2" t="s">
        <v>4833</v>
      </c>
      <c r="D66" s="2" t="s">
        <v>4769</v>
      </c>
      <c r="E66" s="2" t="s">
        <v>34</v>
      </c>
    </row>
    <row r="67" spans="1:5" x14ac:dyDescent="0.2">
      <c r="A67" s="2" t="s">
        <v>4844</v>
      </c>
      <c r="B67" s="2" t="s">
        <v>4832</v>
      </c>
      <c r="C67" s="2" t="s">
        <v>4835</v>
      </c>
      <c r="D67" s="2" t="s">
        <v>34</v>
      </c>
      <c r="E67" s="2" t="s">
        <v>34</v>
      </c>
    </row>
    <row r="68" spans="1:5" x14ac:dyDescent="0.2">
      <c r="A68" s="2" t="s">
        <v>2310</v>
      </c>
      <c r="B68" s="2" t="s">
        <v>4832</v>
      </c>
      <c r="C68" s="2" t="s">
        <v>4833</v>
      </c>
      <c r="D68" s="2" t="s">
        <v>2305</v>
      </c>
      <c r="E68" s="2" t="s">
        <v>34</v>
      </c>
    </row>
    <row r="69" spans="1:5" x14ac:dyDescent="0.2">
      <c r="A69" s="2" t="s">
        <v>1623</v>
      </c>
      <c r="B69" s="2" t="s">
        <v>4832</v>
      </c>
      <c r="C69" s="2" t="s">
        <v>4833</v>
      </c>
      <c r="D69" s="2" t="s">
        <v>1618</v>
      </c>
      <c r="E69" s="2" t="s">
        <v>34</v>
      </c>
    </row>
    <row r="70" spans="1:5" x14ac:dyDescent="0.2">
      <c r="A70" s="2" t="s">
        <v>465</v>
      </c>
      <c r="B70" s="2" t="s">
        <v>4832</v>
      </c>
      <c r="C70" s="2" t="s">
        <v>4833</v>
      </c>
      <c r="D70" s="2" t="s">
        <v>461</v>
      </c>
      <c r="E70" s="2" t="s">
        <v>34</v>
      </c>
    </row>
    <row r="71" spans="1:5" x14ac:dyDescent="0.2">
      <c r="A71" s="2" t="s">
        <v>1466</v>
      </c>
      <c r="B71" s="2" t="s">
        <v>4832</v>
      </c>
      <c r="C71" s="2" t="s">
        <v>4833</v>
      </c>
      <c r="D71" s="2" t="s">
        <v>1463</v>
      </c>
      <c r="E71" s="2" t="s">
        <v>34</v>
      </c>
    </row>
    <row r="72" spans="1:5" x14ac:dyDescent="0.2">
      <c r="A72" s="2" t="s">
        <v>2957</v>
      </c>
      <c r="B72" s="2" t="s">
        <v>4832</v>
      </c>
      <c r="C72" s="2" t="s">
        <v>4833</v>
      </c>
      <c r="D72" s="2" t="s">
        <v>2953</v>
      </c>
      <c r="E72" s="2" t="s">
        <v>34</v>
      </c>
    </row>
    <row r="73" spans="1:5" x14ac:dyDescent="0.2">
      <c r="A73" s="2" t="s">
        <v>4070</v>
      </c>
      <c r="B73" s="2" t="s">
        <v>4832</v>
      </c>
      <c r="C73" s="2" t="s">
        <v>4833</v>
      </c>
      <c r="D73" s="2" t="s">
        <v>4067</v>
      </c>
      <c r="E73" s="2" t="s">
        <v>34</v>
      </c>
    </row>
    <row r="74" spans="1:5" x14ac:dyDescent="0.2">
      <c r="A74" s="2" t="s">
        <v>2048</v>
      </c>
      <c r="B74" s="2" t="s">
        <v>4832</v>
      </c>
      <c r="C74" s="2" t="s">
        <v>4833</v>
      </c>
      <c r="D74" s="2" t="s">
        <v>2044</v>
      </c>
      <c r="E74" s="2" t="s">
        <v>34</v>
      </c>
    </row>
    <row r="75" spans="1:5" x14ac:dyDescent="0.2">
      <c r="A75" s="2" t="s">
        <v>4252</v>
      </c>
      <c r="B75" s="2" t="s">
        <v>4832</v>
      </c>
      <c r="C75" s="2" t="s">
        <v>4833</v>
      </c>
      <c r="D75" s="2" t="s">
        <v>4249</v>
      </c>
      <c r="E75" s="2" t="s">
        <v>34</v>
      </c>
    </row>
    <row r="76" spans="1:5" x14ac:dyDescent="0.2">
      <c r="A76" s="2" t="s">
        <v>3585</v>
      </c>
      <c r="B76" s="2" t="s">
        <v>4832</v>
      </c>
      <c r="C76" s="2" t="s">
        <v>4833</v>
      </c>
      <c r="D76" s="2" t="s">
        <v>3582</v>
      </c>
      <c r="E76" s="2" t="s">
        <v>34</v>
      </c>
    </row>
    <row r="77" spans="1:5" x14ac:dyDescent="0.2">
      <c r="A77" s="2" t="s">
        <v>2301</v>
      </c>
      <c r="B77" s="2" t="s">
        <v>4832</v>
      </c>
      <c r="C77" s="2" t="s">
        <v>4833</v>
      </c>
      <c r="D77" s="2" t="s">
        <v>2297</v>
      </c>
      <c r="E77" s="2" t="s">
        <v>34</v>
      </c>
    </row>
    <row r="78" spans="1:5" x14ac:dyDescent="0.2">
      <c r="A78" s="2" t="s">
        <v>2199</v>
      </c>
      <c r="B78" s="2" t="s">
        <v>4832</v>
      </c>
      <c r="C78" s="2" t="s">
        <v>4833</v>
      </c>
      <c r="D78" s="2" t="s">
        <v>2195</v>
      </c>
      <c r="E78" s="2" t="s">
        <v>34</v>
      </c>
    </row>
    <row r="79" spans="1:5" x14ac:dyDescent="0.2">
      <c r="A79" s="2" t="s">
        <v>2829</v>
      </c>
      <c r="B79" s="2" t="s">
        <v>4832</v>
      </c>
      <c r="C79" s="2" t="s">
        <v>4833</v>
      </c>
      <c r="D79" s="2" t="s">
        <v>2825</v>
      </c>
      <c r="E79" s="2" t="s">
        <v>34</v>
      </c>
    </row>
    <row r="80" spans="1:5" x14ac:dyDescent="0.2">
      <c r="A80" s="2" t="s">
        <v>1537</v>
      </c>
      <c r="B80" s="2" t="s">
        <v>4832</v>
      </c>
      <c r="C80" s="2" t="s">
        <v>4833</v>
      </c>
      <c r="D80" s="2" t="s">
        <v>1533</v>
      </c>
      <c r="E80" s="2" t="s">
        <v>34</v>
      </c>
    </row>
    <row r="81" spans="1:5" x14ac:dyDescent="0.2">
      <c r="A81" s="2" t="s">
        <v>3312</v>
      </c>
      <c r="B81" s="2" t="s">
        <v>4832</v>
      </c>
      <c r="C81" s="2" t="s">
        <v>4833</v>
      </c>
      <c r="D81" s="2" t="s">
        <v>3308</v>
      </c>
      <c r="E81" s="2" t="s">
        <v>34</v>
      </c>
    </row>
    <row r="82" spans="1:5" x14ac:dyDescent="0.2">
      <c r="A82" s="2" t="s">
        <v>2198</v>
      </c>
      <c r="B82" s="2" t="s">
        <v>4832</v>
      </c>
      <c r="C82" s="2" t="s">
        <v>4833</v>
      </c>
      <c r="D82" s="2" t="s">
        <v>2195</v>
      </c>
      <c r="E82" s="2" t="s">
        <v>34</v>
      </c>
    </row>
    <row r="83" spans="1:5" x14ac:dyDescent="0.2">
      <c r="A83" s="2" t="s">
        <v>4469</v>
      </c>
      <c r="B83" s="2" t="s">
        <v>4832</v>
      </c>
      <c r="C83" s="2" t="s">
        <v>4833</v>
      </c>
      <c r="D83" s="2" t="s">
        <v>4465</v>
      </c>
      <c r="E83" s="2" t="s">
        <v>34</v>
      </c>
    </row>
    <row r="84" spans="1:5" x14ac:dyDescent="0.2">
      <c r="A84" s="2" t="s">
        <v>3286</v>
      </c>
      <c r="B84" s="2" t="s">
        <v>4832</v>
      </c>
      <c r="C84" s="2" t="s">
        <v>4833</v>
      </c>
      <c r="D84" s="2" t="s">
        <v>3282</v>
      </c>
      <c r="E84" s="2" t="s">
        <v>34</v>
      </c>
    </row>
    <row r="85" spans="1:5" x14ac:dyDescent="0.2">
      <c r="A85" s="2" t="s">
        <v>2986</v>
      </c>
      <c r="B85" s="2" t="s">
        <v>4832</v>
      </c>
      <c r="C85" s="2" t="s">
        <v>4833</v>
      </c>
      <c r="D85" s="2" t="s">
        <v>2983</v>
      </c>
      <c r="E85" s="2" t="s">
        <v>34</v>
      </c>
    </row>
    <row r="86" spans="1:5" x14ac:dyDescent="0.2">
      <c r="A86" s="2" t="s">
        <v>2041</v>
      </c>
      <c r="B86" s="2" t="s">
        <v>4832</v>
      </c>
      <c r="C86" s="2" t="s">
        <v>4833</v>
      </c>
      <c r="D86" s="2" t="s">
        <v>2037</v>
      </c>
      <c r="E86" s="2" t="s">
        <v>34</v>
      </c>
    </row>
    <row r="87" spans="1:5" x14ac:dyDescent="0.2">
      <c r="A87" s="2" t="s">
        <v>4238</v>
      </c>
      <c r="B87" s="2" t="s">
        <v>4832</v>
      </c>
      <c r="C87" s="2" t="s">
        <v>4833</v>
      </c>
      <c r="D87" s="2" t="s">
        <v>4234</v>
      </c>
      <c r="E87" s="2" t="s">
        <v>34</v>
      </c>
    </row>
    <row r="88" spans="1:5" x14ac:dyDescent="0.2">
      <c r="A88" s="2" t="s">
        <v>3667</v>
      </c>
      <c r="B88" s="2" t="s">
        <v>4832</v>
      </c>
      <c r="C88" s="2" t="s">
        <v>4833</v>
      </c>
      <c r="D88" s="2" t="s">
        <v>3664</v>
      </c>
      <c r="E88" s="2" t="s">
        <v>34</v>
      </c>
    </row>
    <row r="89" spans="1:5" x14ac:dyDescent="0.2">
      <c r="A89" s="2" t="s">
        <v>2596</v>
      </c>
      <c r="B89" s="2" t="s">
        <v>4832</v>
      </c>
      <c r="C89" s="2" t="s">
        <v>4833</v>
      </c>
      <c r="D89" s="2" t="s">
        <v>2592</v>
      </c>
      <c r="E89" s="2" t="s">
        <v>34</v>
      </c>
    </row>
    <row r="90" spans="1:5" x14ac:dyDescent="0.2">
      <c r="A90" s="2" t="s">
        <v>4845</v>
      </c>
      <c r="B90" s="2" t="s">
        <v>4832</v>
      </c>
      <c r="C90" s="2" t="s">
        <v>4835</v>
      </c>
      <c r="D90" s="2" t="s">
        <v>34</v>
      </c>
      <c r="E90" s="2" t="s">
        <v>34</v>
      </c>
    </row>
    <row r="91" spans="1:5" x14ac:dyDescent="0.2">
      <c r="A91" s="2" t="s">
        <v>1854</v>
      </c>
      <c r="B91" s="2" t="s">
        <v>4832</v>
      </c>
      <c r="C91" s="2" t="s">
        <v>4833</v>
      </c>
      <c r="D91" s="2" t="s">
        <v>1849</v>
      </c>
      <c r="E91" s="2" t="s">
        <v>34</v>
      </c>
    </row>
    <row r="92" spans="1:5" x14ac:dyDescent="0.2">
      <c r="A92" s="2" t="s">
        <v>4294</v>
      </c>
      <c r="B92" s="2" t="s">
        <v>4832</v>
      </c>
      <c r="C92" s="2" t="s">
        <v>4833</v>
      </c>
      <c r="D92" s="2" t="s">
        <v>4290</v>
      </c>
      <c r="E92" s="2" t="s">
        <v>34</v>
      </c>
    </row>
    <row r="93" spans="1:5" x14ac:dyDescent="0.2">
      <c r="A93" s="2" t="s">
        <v>1137</v>
      </c>
      <c r="B93" s="2" t="s">
        <v>4832</v>
      </c>
      <c r="C93" s="2" t="s">
        <v>4833</v>
      </c>
      <c r="D93" s="2" t="s">
        <v>1133</v>
      </c>
      <c r="E93" s="2" t="s">
        <v>34</v>
      </c>
    </row>
    <row r="94" spans="1:5" x14ac:dyDescent="0.2">
      <c r="A94" s="2" t="s">
        <v>1827</v>
      </c>
      <c r="B94" s="2" t="s">
        <v>4832</v>
      </c>
      <c r="C94" s="2" t="s">
        <v>4833</v>
      </c>
      <c r="D94" s="2" t="s">
        <v>1824</v>
      </c>
      <c r="E94" s="2" t="s">
        <v>34</v>
      </c>
    </row>
    <row r="95" spans="1:5" x14ac:dyDescent="0.2">
      <c r="A95" s="2" t="s">
        <v>4846</v>
      </c>
      <c r="B95" s="2" t="s">
        <v>4832</v>
      </c>
      <c r="C95" s="2" t="s">
        <v>4837</v>
      </c>
      <c r="D95" s="2" t="s">
        <v>34</v>
      </c>
      <c r="E95" s="2" t="s">
        <v>34</v>
      </c>
    </row>
    <row r="96" spans="1:5" x14ac:dyDescent="0.2">
      <c r="A96" s="2" t="s">
        <v>621</v>
      </c>
      <c r="B96" s="2" t="s">
        <v>4832</v>
      </c>
      <c r="C96" s="2" t="s">
        <v>4833</v>
      </c>
      <c r="D96" s="2" t="s">
        <v>616</v>
      </c>
      <c r="E96" s="2" t="s">
        <v>34</v>
      </c>
    </row>
    <row r="97" spans="1:5" x14ac:dyDescent="0.2">
      <c r="A97" s="2" t="s">
        <v>3641</v>
      </c>
      <c r="B97" s="2" t="s">
        <v>4832</v>
      </c>
      <c r="C97" s="2" t="s">
        <v>4833</v>
      </c>
      <c r="D97" s="2" t="s">
        <v>3638</v>
      </c>
      <c r="E97" s="2" t="s">
        <v>34</v>
      </c>
    </row>
    <row r="98" spans="1:5" x14ac:dyDescent="0.2">
      <c r="A98" s="2" t="s">
        <v>4847</v>
      </c>
      <c r="B98" s="2" t="s">
        <v>4832</v>
      </c>
      <c r="C98" s="2" t="s">
        <v>4837</v>
      </c>
      <c r="D98" s="2" t="s">
        <v>34</v>
      </c>
      <c r="E98" s="2" t="s">
        <v>34</v>
      </c>
    </row>
    <row r="99" spans="1:5" x14ac:dyDescent="0.2">
      <c r="A99" s="2" t="s">
        <v>1477</v>
      </c>
      <c r="B99" s="2" t="s">
        <v>4832</v>
      </c>
      <c r="C99" s="2" t="s">
        <v>4833</v>
      </c>
      <c r="D99" s="2" t="s">
        <v>1473</v>
      </c>
      <c r="E99" s="2" t="s">
        <v>34</v>
      </c>
    </row>
    <row r="100" spans="1:5" x14ac:dyDescent="0.2">
      <c r="A100" s="2" t="s">
        <v>938</v>
      </c>
      <c r="B100" s="2" t="s">
        <v>4832</v>
      </c>
      <c r="C100" s="2" t="s">
        <v>4833</v>
      </c>
      <c r="D100" s="2" t="s">
        <v>934</v>
      </c>
      <c r="E100" s="2" t="s">
        <v>34</v>
      </c>
    </row>
    <row r="101" spans="1:5" x14ac:dyDescent="0.2">
      <c r="A101" s="2" t="s">
        <v>218</v>
      </c>
      <c r="B101" s="2" t="s">
        <v>4832</v>
      </c>
      <c r="C101" s="2" t="s">
        <v>4833</v>
      </c>
      <c r="D101" s="2" t="s">
        <v>214</v>
      </c>
      <c r="E101" s="2" t="s">
        <v>34</v>
      </c>
    </row>
    <row r="102" spans="1:5" x14ac:dyDescent="0.2">
      <c r="A102" s="2" t="s">
        <v>257</v>
      </c>
      <c r="B102" s="2" t="s">
        <v>4832</v>
      </c>
      <c r="C102" s="2" t="s">
        <v>4833</v>
      </c>
      <c r="D102" s="2" t="s">
        <v>253</v>
      </c>
      <c r="E102" s="2" t="s">
        <v>34</v>
      </c>
    </row>
    <row r="103" spans="1:5" x14ac:dyDescent="0.2">
      <c r="A103" s="2" t="s">
        <v>2228</v>
      </c>
      <c r="B103" s="2" t="s">
        <v>4832</v>
      </c>
      <c r="C103" s="2" t="s">
        <v>4833</v>
      </c>
      <c r="D103" s="2" t="s">
        <v>2224</v>
      </c>
      <c r="E103" s="2" t="s">
        <v>34</v>
      </c>
    </row>
    <row r="104" spans="1:5" x14ac:dyDescent="0.2">
      <c r="A104" s="2" t="s">
        <v>4517</v>
      </c>
      <c r="B104" s="2" t="s">
        <v>4832</v>
      </c>
      <c r="C104" s="2" t="s">
        <v>4833</v>
      </c>
      <c r="D104" s="2" t="s">
        <v>4512</v>
      </c>
      <c r="E104" s="2" t="s">
        <v>34</v>
      </c>
    </row>
    <row r="105" spans="1:5" x14ac:dyDescent="0.2">
      <c r="A105" s="2" t="s">
        <v>4625</v>
      </c>
      <c r="B105" s="2" t="s">
        <v>4832</v>
      </c>
      <c r="C105" s="2" t="s">
        <v>4833</v>
      </c>
      <c r="D105" s="2" t="s">
        <v>4621</v>
      </c>
      <c r="E105" s="2" t="s">
        <v>34</v>
      </c>
    </row>
    <row r="106" spans="1:5" x14ac:dyDescent="0.2">
      <c r="A106" s="2" t="s">
        <v>4309</v>
      </c>
      <c r="B106" s="2" t="s">
        <v>4832</v>
      </c>
      <c r="C106" s="2" t="s">
        <v>4833</v>
      </c>
      <c r="D106" s="2" t="s">
        <v>4306</v>
      </c>
      <c r="E106" s="2" t="s">
        <v>34</v>
      </c>
    </row>
    <row r="107" spans="1:5" x14ac:dyDescent="0.2">
      <c r="A107" s="2" t="s">
        <v>2357</v>
      </c>
      <c r="B107" s="2" t="s">
        <v>4832</v>
      </c>
      <c r="C107" s="2" t="s">
        <v>4833</v>
      </c>
      <c r="D107" s="2" t="s">
        <v>2353</v>
      </c>
      <c r="E107" s="2" t="s">
        <v>34</v>
      </c>
    </row>
    <row r="108" spans="1:5" x14ac:dyDescent="0.2">
      <c r="A108" s="2" t="s">
        <v>739</v>
      </c>
      <c r="B108" s="2" t="s">
        <v>4832</v>
      </c>
      <c r="C108" s="2" t="s">
        <v>4833</v>
      </c>
      <c r="D108" s="2" t="s">
        <v>735</v>
      </c>
      <c r="E108" s="2" t="s">
        <v>34</v>
      </c>
    </row>
    <row r="109" spans="1:5" x14ac:dyDescent="0.2">
      <c r="A109" s="2" t="s">
        <v>417</v>
      </c>
      <c r="B109" s="2" t="s">
        <v>4832</v>
      </c>
      <c r="C109" s="2" t="s">
        <v>4833</v>
      </c>
      <c r="D109" s="2" t="s">
        <v>411</v>
      </c>
      <c r="E109" s="2" t="s">
        <v>34</v>
      </c>
    </row>
    <row r="110" spans="1:5" x14ac:dyDescent="0.2">
      <c r="A110" s="2" t="s">
        <v>2754</v>
      </c>
      <c r="B110" s="2" t="s">
        <v>4832</v>
      </c>
      <c r="C110" s="2" t="s">
        <v>4833</v>
      </c>
      <c r="D110" s="2" t="s">
        <v>2751</v>
      </c>
      <c r="E110" s="2" t="s">
        <v>34</v>
      </c>
    </row>
    <row r="111" spans="1:5" x14ac:dyDescent="0.2">
      <c r="A111" s="2" t="s">
        <v>3510</v>
      </c>
      <c r="B111" s="2" t="s">
        <v>4832</v>
      </c>
      <c r="C111" s="2" t="s">
        <v>4833</v>
      </c>
      <c r="D111" s="2" t="s">
        <v>3507</v>
      </c>
      <c r="E111" s="2" t="s">
        <v>34</v>
      </c>
    </row>
    <row r="112" spans="1:5" x14ac:dyDescent="0.2">
      <c r="A112" s="2" t="s">
        <v>4694</v>
      </c>
      <c r="B112" s="2" t="s">
        <v>4832</v>
      </c>
      <c r="C112" s="2" t="s">
        <v>4833</v>
      </c>
      <c r="D112" s="2" t="s">
        <v>4689</v>
      </c>
      <c r="E112" s="2" t="s">
        <v>34</v>
      </c>
    </row>
    <row r="113" spans="1:5" x14ac:dyDescent="0.2">
      <c r="A113" s="2" t="s">
        <v>4002</v>
      </c>
      <c r="B113" s="2" t="s">
        <v>4832</v>
      </c>
      <c r="C113" s="2" t="s">
        <v>4833</v>
      </c>
      <c r="D113" s="2" t="s">
        <v>3999</v>
      </c>
      <c r="E113" s="2" t="s">
        <v>34</v>
      </c>
    </row>
    <row r="114" spans="1:5" x14ac:dyDescent="0.2">
      <c r="A114" s="2" t="s">
        <v>771</v>
      </c>
      <c r="B114" s="2" t="s">
        <v>4832</v>
      </c>
      <c r="C114" s="2" t="s">
        <v>4833</v>
      </c>
      <c r="D114" s="2" t="s">
        <v>766</v>
      </c>
      <c r="E114" s="2" t="s">
        <v>34</v>
      </c>
    </row>
    <row r="115" spans="1:5" x14ac:dyDescent="0.2">
      <c r="A115" s="2" t="s">
        <v>977</v>
      </c>
      <c r="B115" s="2" t="s">
        <v>4832</v>
      </c>
      <c r="C115" s="2" t="s">
        <v>4833</v>
      </c>
      <c r="D115" s="2" t="s">
        <v>972</v>
      </c>
      <c r="E115" s="2" t="s">
        <v>34</v>
      </c>
    </row>
    <row r="116" spans="1:5" x14ac:dyDescent="0.2">
      <c r="A116" s="2" t="s">
        <v>4848</v>
      </c>
      <c r="B116" s="2" t="s">
        <v>4832</v>
      </c>
      <c r="C116" s="2" t="s">
        <v>4835</v>
      </c>
      <c r="D116" s="2" t="s">
        <v>34</v>
      </c>
      <c r="E116" s="2" t="s">
        <v>34</v>
      </c>
    </row>
    <row r="117" spans="1:5" x14ac:dyDescent="0.2">
      <c r="A117" s="2" t="s">
        <v>2064</v>
      </c>
      <c r="B117" s="2" t="s">
        <v>4832</v>
      </c>
      <c r="C117" s="2" t="s">
        <v>4833</v>
      </c>
      <c r="D117" s="2" t="s">
        <v>2059</v>
      </c>
      <c r="E117" s="2" t="s">
        <v>34</v>
      </c>
    </row>
    <row r="118" spans="1:5" x14ac:dyDescent="0.2">
      <c r="A118" s="2" t="s">
        <v>4500</v>
      </c>
      <c r="B118" s="2" t="s">
        <v>4832</v>
      </c>
      <c r="C118" s="2" t="s">
        <v>4833</v>
      </c>
      <c r="D118" s="2" t="s">
        <v>4497</v>
      </c>
      <c r="E118" s="2" t="s">
        <v>34</v>
      </c>
    </row>
    <row r="119" spans="1:5" x14ac:dyDescent="0.2">
      <c r="A119" s="2" t="s">
        <v>4522</v>
      </c>
      <c r="B119" s="2" t="s">
        <v>4832</v>
      </c>
      <c r="C119" s="2" t="s">
        <v>4833</v>
      </c>
      <c r="D119" s="2" t="s">
        <v>4518</v>
      </c>
      <c r="E119" s="2" t="s">
        <v>34</v>
      </c>
    </row>
    <row r="120" spans="1:5" x14ac:dyDescent="0.2">
      <c r="A120" s="2" t="s">
        <v>4849</v>
      </c>
      <c r="B120" s="2" t="s">
        <v>4832</v>
      </c>
      <c r="C120" s="2" t="s">
        <v>4835</v>
      </c>
      <c r="D120" s="2" t="s">
        <v>34</v>
      </c>
      <c r="E120" s="2" t="s">
        <v>34</v>
      </c>
    </row>
    <row r="121" spans="1:5" x14ac:dyDescent="0.2">
      <c r="A121" s="2" t="s">
        <v>4538</v>
      </c>
      <c r="B121" s="2" t="s">
        <v>4832</v>
      </c>
      <c r="C121" s="2" t="s">
        <v>4833</v>
      </c>
      <c r="D121" s="2" t="s">
        <v>4534</v>
      </c>
      <c r="E121" s="2" t="s">
        <v>34</v>
      </c>
    </row>
    <row r="122" spans="1:5" x14ac:dyDescent="0.2">
      <c r="A122" s="2" t="s">
        <v>4783</v>
      </c>
      <c r="B122" s="2" t="s">
        <v>4832</v>
      </c>
      <c r="C122" s="2" t="s">
        <v>4833</v>
      </c>
      <c r="D122" s="2" t="s">
        <v>4780</v>
      </c>
      <c r="E122" s="2" t="s">
        <v>34</v>
      </c>
    </row>
    <row r="123" spans="1:5" x14ac:dyDescent="0.2">
      <c r="A123" s="2" t="s">
        <v>2266</v>
      </c>
      <c r="B123" s="2" t="s">
        <v>4832</v>
      </c>
      <c r="C123" s="2" t="s">
        <v>4833</v>
      </c>
      <c r="D123" s="2" t="s">
        <v>2262</v>
      </c>
      <c r="E123" s="2" t="s">
        <v>34</v>
      </c>
    </row>
    <row r="124" spans="1:5" x14ac:dyDescent="0.2">
      <c r="A124" s="2" t="s">
        <v>2465</v>
      </c>
      <c r="B124" s="2" t="s">
        <v>4832</v>
      </c>
      <c r="C124" s="2" t="s">
        <v>4833</v>
      </c>
      <c r="D124" s="2" t="s">
        <v>2461</v>
      </c>
      <c r="E124" s="2" t="s">
        <v>34</v>
      </c>
    </row>
    <row r="125" spans="1:5" x14ac:dyDescent="0.2">
      <c r="A125" s="2" t="s">
        <v>2803</v>
      </c>
      <c r="B125" s="2" t="s">
        <v>4832</v>
      </c>
      <c r="C125" s="2" t="s">
        <v>4833</v>
      </c>
      <c r="D125" s="2" t="s">
        <v>2800</v>
      </c>
      <c r="E125" s="2" t="s">
        <v>34</v>
      </c>
    </row>
    <row r="126" spans="1:5" x14ac:dyDescent="0.2">
      <c r="A126" s="2" t="s">
        <v>4688</v>
      </c>
      <c r="B126" s="2" t="s">
        <v>4832</v>
      </c>
      <c r="C126" s="2" t="s">
        <v>4833</v>
      </c>
      <c r="D126" s="2" t="s">
        <v>4682</v>
      </c>
      <c r="E126" s="2" t="s">
        <v>34</v>
      </c>
    </row>
    <row r="127" spans="1:5" x14ac:dyDescent="0.2">
      <c r="A127" s="2" t="s">
        <v>90</v>
      </c>
      <c r="B127" s="2" t="s">
        <v>4832</v>
      </c>
      <c r="C127" s="2" t="s">
        <v>4833</v>
      </c>
      <c r="D127" s="2" t="s">
        <v>86</v>
      </c>
      <c r="E127" s="2" t="s">
        <v>34</v>
      </c>
    </row>
    <row r="128" spans="1:5" x14ac:dyDescent="0.2">
      <c r="A128" s="2" t="s">
        <v>297</v>
      </c>
      <c r="B128" s="2" t="s">
        <v>4832</v>
      </c>
      <c r="C128" s="2" t="s">
        <v>4833</v>
      </c>
      <c r="D128" s="2" t="s">
        <v>293</v>
      </c>
      <c r="E128" s="2" t="s">
        <v>34</v>
      </c>
    </row>
    <row r="129" spans="1:5" x14ac:dyDescent="0.2">
      <c r="A129" s="2" t="s">
        <v>3857</v>
      </c>
      <c r="B129" s="2" t="s">
        <v>4832</v>
      </c>
      <c r="C129" s="2" t="s">
        <v>4833</v>
      </c>
      <c r="D129" s="2" t="s">
        <v>3852</v>
      </c>
      <c r="E129" s="2" t="s">
        <v>34</v>
      </c>
    </row>
    <row r="130" spans="1:5" x14ac:dyDescent="0.2">
      <c r="A130" s="2" t="s">
        <v>1931</v>
      </c>
      <c r="B130" s="2" t="s">
        <v>4832</v>
      </c>
      <c r="C130" s="2" t="s">
        <v>4833</v>
      </c>
      <c r="D130" s="2" t="s">
        <v>1927</v>
      </c>
      <c r="E130" s="2" t="s">
        <v>34</v>
      </c>
    </row>
    <row r="131" spans="1:5" x14ac:dyDescent="0.2">
      <c r="A131" s="2" t="s">
        <v>2917</v>
      </c>
      <c r="B131" s="2" t="s">
        <v>4832</v>
      </c>
      <c r="C131" s="2" t="s">
        <v>4833</v>
      </c>
      <c r="D131" s="2" t="s">
        <v>2912</v>
      </c>
      <c r="E131" s="2" t="s">
        <v>34</v>
      </c>
    </row>
    <row r="132" spans="1:5" x14ac:dyDescent="0.2">
      <c r="A132" s="2" t="s">
        <v>4850</v>
      </c>
      <c r="B132" s="2" t="s">
        <v>4832</v>
      </c>
      <c r="C132" s="2" t="s">
        <v>4835</v>
      </c>
      <c r="D132" s="2" t="s">
        <v>34</v>
      </c>
      <c r="E132" s="2" t="s">
        <v>34</v>
      </c>
    </row>
    <row r="133" spans="1:5" x14ac:dyDescent="0.2">
      <c r="A133" s="2" t="s">
        <v>4810</v>
      </c>
      <c r="B133" s="2" t="s">
        <v>4832</v>
      </c>
      <c r="C133" s="2" t="s">
        <v>4833</v>
      </c>
      <c r="D133" s="2" t="s">
        <v>4806</v>
      </c>
      <c r="E133" s="2" t="s">
        <v>34</v>
      </c>
    </row>
    <row r="134" spans="1:5" x14ac:dyDescent="0.2">
      <c r="A134" s="2" t="s">
        <v>149</v>
      </c>
      <c r="B134" s="2" t="s">
        <v>4832</v>
      </c>
      <c r="C134" s="2" t="s">
        <v>4833</v>
      </c>
      <c r="D134" s="2" t="s">
        <v>143</v>
      </c>
      <c r="E134" s="2" t="s">
        <v>34</v>
      </c>
    </row>
    <row r="135" spans="1:5" x14ac:dyDescent="0.2">
      <c r="A135" s="2" t="s">
        <v>620</v>
      </c>
      <c r="B135" s="2" t="s">
        <v>4832</v>
      </c>
      <c r="C135" s="2" t="s">
        <v>4833</v>
      </c>
      <c r="D135" s="2" t="s">
        <v>616</v>
      </c>
      <c r="E135" s="2" t="s">
        <v>34</v>
      </c>
    </row>
    <row r="136" spans="1:5" x14ac:dyDescent="0.2">
      <c r="A136" s="2" t="s">
        <v>581</v>
      </c>
      <c r="B136" s="2" t="s">
        <v>4832</v>
      </c>
      <c r="C136" s="2" t="s">
        <v>4833</v>
      </c>
      <c r="D136" s="2" t="s">
        <v>576</v>
      </c>
      <c r="E136" s="2" t="s">
        <v>34</v>
      </c>
    </row>
    <row r="137" spans="1:5" x14ac:dyDescent="0.2">
      <c r="A137" s="2" t="s">
        <v>4851</v>
      </c>
      <c r="B137" s="2" t="s">
        <v>4832</v>
      </c>
      <c r="C137" s="2" t="s">
        <v>4835</v>
      </c>
      <c r="D137" s="2" t="s">
        <v>34</v>
      </c>
      <c r="E137" s="2" t="s">
        <v>34</v>
      </c>
    </row>
    <row r="138" spans="1:5" x14ac:dyDescent="0.2">
      <c r="A138" s="2" t="s">
        <v>3457</v>
      </c>
      <c r="B138" s="2" t="s">
        <v>4832</v>
      </c>
      <c r="C138" s="2" t="s">
        <v>4833</v>
      </c>
      <c r="D138" s="2" t="s">
        <v>3454</v>
      </c>
      <c r="E138" s="2" t="s">
        <v>34</v>
      </c>
    </row>
    <row r="139" spans="1:5" x14ac:dyDescent="0.2">
      <c r="A139" s="2" t="s">
        <v>1876</v>
      </c>
      <c r="B139" s="2" t="s">
        <v>4832</v>
      </c>
      <c r="C139" s="2" t="s">
        <v>4833</v>
      </c>
      <c r="D139" s="2" t="s">
        <v>1872</v>
      </c>
      <c r="E139" s="2" t="s">
        <v>34</v>
      </c>
    </row>
    <row r="140" spans="1:5" x14ac:dyDescent="0.2">
      <c r="A140" s="2" t="s">
        <v>4778</v>
      </c>
      <c r="B140" s="2" t="s">
        <v>4832</v>
      </c>
      <c r="C140" s="2" t="s">
        <v>4833</v>
      </c>
      <c r="D140" s="2" t="s">
        <v>4774</v>
      </c>
      <c r="E140" s="2" t="s">
        <v>34</v>
      </c>
    </row>
    <row r="141" spans="1:5" x14ac:dyDescent="0.2">
      <c r="A141" s="2" t="s">
        <v>4480</v>
      </c>
      <c r="B141" s="2" t="s">
        <v>4832</v>
      </c>
      <c r="C141" s="2" t="s">
        <v>4833</v>
      </c>
      <c r="D141" s="2" t="s">
        <v>4476</v>
      </c>
      <c r="E141" s="2" t="s">
        <v>34</v>
      </c>
    </row>
    <row r="142" spans="1:5" x14ac:dyDescent="0.2">
      <c r="A142" s="2" t="s">
        <v>4484</v>
      </c>
      <c r="B142" s="2" t="s">
        <v>4832</v>
      </c>
      <c r="C142" s="2" t="s">
        <v>4833</v>
      </c>
      <c r="D142" s="2" t="s">
        <v>4481</v>
      </c>
      <c r="E142" s="2" t="s">
        <v>34</v>
      </c>
    </row>
    <row r="143" spans="1:5" x14ac:dyDescent="0.2">
      <c r="A143" s="2" t="s">
        <v>4852</v>
      </c>
      <c r="B143" s="2" t="s">
        <v>4832</v>
      </c>
      <c r="C143" s="2" t="s">
        <v>4835</v>
      </c>
      <c r="D143" s="2" t="s">
        <v>34</v>
      </c>
      <c r="E143" s="2" t="s">
        <v>34</v>
      </c>
    </row>
    <row r="144" spans="1:5" x14ac:dyDescent="0.2">
      <c r="A144" s="2" t="s">
        <v>4853</v>
      </c>
      <c r="B144" s="2" t="s">
        <v>4832</v>
      </c>
      <c r="C144" s="2" t="s">
        <v>4835</v>
      </c>
      <c r="D144" s="2" t="s">
        <v>34</v>
      </c>
      <c r="E144" s="2" t="s">
        <v>34</v>
      </c>
    </row>
    <row r="145" spans="1:5" x14ac:dyDescent="0.2">
      <c r="A145" s="2" t="s">
        <v>592</v>
      </c>
      <c r="B145" s="2" t="s">
        <v>4832</v>
      </c>
      <c r="C145" s="2" t="s">
        <v>4833</v>
      </c>
      <c r="D145" s="2" t="s">
        <v>588</v>
      </c>
      <c r="E145" s="2" t="s">
        <v>34</v>
      </c>
    </row>
    <row r="146" spans="1:5" x14ac:dyDescent="0.2">
      <c r="A146" s="2" t="s">
        <v>2150</v>
      </c>
      <c r="B146" s="2" t="s">
        <v>4832</v>
      </c>
      <c r="C146" s="2" t="s">
        <v>4833</v>
      </c>
      <c r="D146" s="2" t="s">
        <v>2146</v>
      </c>
      <c r="E146" s="2" t="s">
        <v>34</v>
      </c>
    </row>
    <row r="147" spans="1:5" x14ac:dyDescent="0.2">
      <c r="A147" s="2" t="s">
        <v>4784</v>
      </c>
      <c r="B147" s="2" t="s">
        <v>4832</v>
      </c>
      <c r="C147" s="2" t="s">
        <v>4833</v>
      </c>
      <c r="D147" s="2" t="s">
        <v>4780</v>
      </c>
      <c r="E147" s="2" t="s">
        <v>34</v>
      </c>
    </row>
    <row r="148" spans="1:5" x14ac:dyDescent="0.2">
      <c r="A148" s="2" t="s">
        <v>4854</v>
      </c>
      <c r="B148" s="2" t="s">
        <v>4832</v>
      </c>
      <c r="C148" s="2" t="s">
        <v>4835</v>
      </c>
      <c r="D148" s="2" t="s">
        <v>34</v>
      </c>
      <c r="E148" s="2" t="s">
        <v>34</v>
      </c>
    </row>
    <row r="149" spans="1:5" x14ac:dyDescent="0.2">
      <c r="A149" s="2" t="s">
        <v>2156</v>
      </c>
      <c r="B149" s="2" t="s">
        <v>4832</v>
      </c>
      <c r="C149" s="2" t="s">
        <v>4833</v>
      </c>
      <c r="D149" s="2" t="s">
        <v>2153</v>
      </c>
      <c r="E149" s="2" t="s">
        <v>34</v>
      </c>
    </row>
    <row r="150" spans="1:5" x14ac:dyDescent="0.2">
      <c r="A150" s="2" t="s">
        <v>4423</v>
      </c>
      <c r="B150" s="2" t="s">
        <v>4832</v>
      </c>
      <c r="C150" s="2" t="s">
        <v>4833</v>
      </c>
      <c r="D150" s="2" t="s">
        <v>4420</v>
      </c>
      <c r="E150" s="2" t="s">
        <v>34</v>
      </c>
    </row>
    <row r="151" spans="1:5" x14ac:dyDescent="0.2">
      <c r="A151" s="2" t="s">
        <v>2163</v>
      </c>
      <c r="B151" s="2" t="s">
        <v>4832</v>
      </c>
      <c r="C151" s="2" t="s">
        <v>4833</v>
      </c>
      <c r="D151" s="2" t="s">
        <v>2158</v>
      </c>
      <c r="E151" s="2" t="s">
        <v>34</v>
      </c>
    </row>
    <row r="152" spans="1:5" x14ac:dyDescent="0.2">
      <c r="A152" s="2" t="s">
        <v>4406</v>
      </c>
      <c r="B152" s="2" t="s">
        <v>4832</v>
      </c>
      <c r="C152" s="2" t="s">
        <v>4833</v>
      </c>
      <c r="D152" s="2" t="s">
        <v>4402</v>
      </c>
      <c r="E152" s="2" t="s">
        <v>34</v>
      </c>
    </row>
    <row r="153" spans="1:5" x14ac:dyDescent="0.2">
      <c r="A153" s="2" t="s">
        <v>3533</v>
      </c>
      <c r="B153" s="2" t="s">
        <v>4832</v>
      </c>
      <c r="C153" s="2" t="s">
        <v>4833</v>
      </c>
      <c r="D153" s="2" t="s">
        <v>3529</v>
      </c>
      <c r="E153" s="2" t="s">
        <v>34</v>
      </c>
    </row>
    <row r="154" spans="1:5" x14ac:dyDescent="0.2">
      <c r="A154" s="2" t="s">
        <v>2286</v>
      </c>
      <c r="B154" s="2" t="s">
        <v>4832</v>
      </c>
      <c r="C154" s="2" t="s">
        <v>4833</v>
      </c>
      <c r="D154" s="2" t="s">
        <v>2283</v>
      </c>
      <c r="E154" s="2" t="s">
        <v>34</v>
      </c>
    </row>
    <row r="155" spans="1:5" x14ac:dyDescent="0.2">
      <c r="A155" s="2" t="s">
        <v>1157</v>
      </c>
      <c r="B155" s="2" t="s">
        <v>4832</v>
      </c>
      <c r="C155" s="2" t="s">
        <v>4833</v>
      </c>
      <c r="D155" s="2" t="s">
        <v>1152</v>
      </c>
      <c r="E155" s="2" t="s">
        <v>34</v>
      </c>
    </row>
    <row r="156" spans="1:5" x14ac:dyDescent="0.2">
      <c r="A156" s="2" t="s">
        <v>4636</v>
      </c>
      <c r="B156" s="2" t="s">
        <v>4832</v>
      </c>
      <c r="C156" s="2" t="s">
        <v>4833</v>
      </c>
      <c r="D156" s="2" t="s">
        <v>4632</v>
      </c>
      <c r="E156" s="2" t="s">
        <v>34</v>
      </c>
    </row>
    <row r="157" spans="1:5" x14ac:dyDescent="0.2">
      <c r="A157" s="2" t="s">
        <v>2291</v>
      </c>
      <c r="B157" s="2" t="s">
        <v>4832</v>
      </c>
      <c r="C157" s="2" t="s">
        <v>4833</v>
      </c>
      <c r="D157" s="2" t="s">
        <v>2288</v>
      </c>
      <c r="E157" s="2" t="s">
        <v>34</v>
      </c>
    </row>
    <row r="158" spans="1:5" x14ac:dyDescent="0.2">
      <c r="A158" s="2" t="s">
        <v>3262</v>
      </c>
      <c r="B158" s="2" t="s">
        <v>4832</v>
      </c>
      <c r="C158" s="2" t="s">
        <v>4833</v>
      </c>
      <c r="D158" s="2" t="s">
        <v>3258</v>
      </c>
      <c r="E158" s="2" t="s">
        <v>34</v>
      </c>
    </row>
    <row r="159" spans="1:5" x14ac:dyDescent="0.2">
      <c r="A159" s="2" t="s">
        <v>2029</v>
      </c>
      <c r="B159" s="2" t="s">
        <v>4832</v>
      </c>
      <c r="C159" s="2" t="s">
        <v>4833</v>
      </c>
      <c r="D159" s="2" t="s">
        <v>2025</v>
      </c>
      <c r="E159" s="2" t="s">
        <v>34</v>
      </c>
    </row>
    <row r="160" spans="1:5" x14ac:dyDescent="0.2">
      <c r="A160" s="2" t="s">
        <v>1070</v>
      </c>
      <c r="B160" s="2" t="s">
        <v>4832</v>
      </c>
      <c r="C160" s="2" t="s">
        <v>4833</v>
      </c>
      <c r="D160" s="2" t="s">
        <v>1066</v>
      </c>
      <c r="E160" s="2" t="s">
        <v>34</v>
      </c>
    </row>
    <row r="161" spans="1:5" x14ac:dyDescent="0.2">
      <c r="A161" s="2" t="s">
        <v>1576</v>
      </c>
      <c r="B161" s="2" t="s">
        <v>4832</v>
      </c>
      <c r="C161" s="2" t="s">
        <v>4833</v>
      </c>
      <c r="D161" s="2" t="s">
        <v>1571</v>
      </c>
      <c r="E161" s="2" t="s">
        <v>34</v>
      </c>
    </row>
    <row r="162" spans="1:5" x14ac:dyDescent="0.2">
      <c r="A162" s="2" t="s">
        <v>2209</v>
      </c>
      <c r="B162" s="2" t="s">
        <v>4832</v>
      </c>
      <c r="C162" s="2" t="s">
        <v>4833</v>
      </c>
      <c r="D162" s="2" t="s">
        <v>2206</v>
      </c>
      <c r="E162" s="2" t="s">
        <v>34</v>
      </c>
    </row>
    <row r="163" spans="1:5" x14ac:dyDescent="0.2">
      <c r="A163" s="2" t="s">
        <v>4855</v>
      </c>
      <c r="B163" s="2" t="s">
        <v>4832</v>
      </c>
      <c r="C163" s="2" t="s">
        <v>4835</v>
      </c>
      <c r="D163" s="2" t="s">
        <v>34</v>
      </c>
      <c r="E163" s="2" t="s">
        <v>34</v>
      </c>
    </row>
    <row r="164" spans="1:5" x14ac:dyDescent="0.2">
      <c r="A164" s="2" t="s">
        <v>3388</v>
      </c>
      <c r="B164" s="2" t="s">
        <v>4832</v>
      </c>
      <c r="C164" s="2" t="s">
        <v>4833</v>
      </c>
      <c r="D164" s="2" t="s">
        <v>3385</v>
      </c>
      <c r="E164" s="2" t="s">
        <v>34</v>
      </c>
    </row>
    <row r="165" spans="1:5" x14ac:dyDescent="0.2">
      <c r="A165" s="2" t="s">
        <v>4856</v>
      </c>
      <c r="B165" s="2" t="s">
        <v>4832</v>
      </c>
      <c r="C165" s="2" t="s">
        <v>4835</v>
      </c>
      <c r="D165" s="2" t="s">
        <v>34</v>
      </c>
      <c r="E165" s="2" t="s">
        <v>34</v>
      </c>
    </row>
    <row r="166" spans="1:5" x14ac:dyDescent="0.2">
      <c r="A166" s="2" t="s">
        <v>4492</v>
      </c>
      <c r="B166" s="2" t="s">
        <v>4832</v>
      </c>
      <c r="C166" s="2" t="s">
        <v>4833</v>
      </c>
      <c r="D166" s="2" t="s">
        <v>4489</v>
      </c>
      <c r="E166" s="2" t="s">
        <v>34</v>
      </c>
    </row>
    <row r="167" spans="1:5" x14ac:dyDescent="0.2">
      <c r="A167" s="2" t="s">
        <v>1937</v>
      </c>
      <c r="B167" s="2" t="s">
        <v>4832</v>
      </c>
      <c r="C167" s="2" t="s">
        <v>4833</v>
      </c>
      <c r="D167" s="2" t="s">
        <v>1933</v>
      </c>
      <c r="E167" s="2" t="s">
        <v>34</v>
      </c>
    </row>
    <row r="168" spans="1:5" x14ac:dyDescent="0.2">
      <c r="A168" s="2" t="s">
        <v>1149</v>
      </c>
      <c r="B168" s="2" t="s">
        <v>4832</v>
      </c>
      <c r="C168" s="2" t="s">
        <v>4833</v>
      </c>
      <c r="D168" s="2" t="s">
        <v>1145</v>
      </c>
      <c r="E168" s="2" t="s">
        <v>34</v>
      </c>
    </row>
    <row r="169" spans="1:5" x14ac:dyDescent="0.2">
      <c r="A169" s="2" t="s">
        <v>4464</v>
      </c>
      <c r="B169" s="2" t="s">
        <v>4832</v>
      </c>
      <c r="C169" s="2" t="s">
        <v>4833</v>
      </c>
      <c r="D169" s="2" t="s">
        <v>4461</v>
      </c>
      <c r="E169" s="2" t="s">
        <v>34</v>
      </c>
    </row>
    <row r="170" spans="1:5" x14ac:dyDescent="0.2">
      <c r="A170" s="2" t="s">
        <v>1764</v>
      </c>
      <c r="B170" s="2" t="s">
        <v>4832</v>
      </c>
      <c r="C170" s="2" t="s">
        <v>4833</v>
      </c>
      <c r="D170" s="2" t="s">
        <v>1759</v>
      </c>
      <c r="E170" s="2" t="s">
        <v>34</v>
      </c>
    </row>
    <row r="171" spans="1:5" x14ac:dyDescent="0.2">
      <c r="A171" s="2" t="s">
        <v>3097</v>
      </c>
      <c r="B171" s="2" t="s">
        <v>4832</v>
      </c>
      <c r="C171" s="2" t="s">
        <v>4833</v>
      </c>
      <c r="D171" s="2" t="s">
        <v>3092</v>
      </c>
      <c r="E171" s="2" t="s">
        <v>34</v>
      </c>
    </row>
    <row r="172" spans="1:5" x14ac:dyDescent="0.2">
      <c r="A172" s="2" t="s">
        <v>1777</v>
      </c>
      <c r="B172" s="2" t="s">
        <v>4832</v>
      </c>
      <c r="C172" s="2" t="s">
        <v>4833</v>
      </c>
      <c r="D172" s="2" t="s">
        <v>1772</v>
      </c>
      <c r="E172" s="2" t="s">
        <v>34</v>
      </c>
    </row>
    <row r="173" spans="1:5" x14ac:dyDescent="0.2">
      <c r="A173" s="2" t="s">
        <v>2886</v>
      </c>
      <c r="B173" s="2" t="s">
        <v>4832</v>
      </c>
      <c r="C173" s="2" t="s">
        <v>4833</v>
      </c>
      <c r="D173" s="2" t="s">
        <v>2881</v>
      </c>
      <c r="E173" s="2" t="s">
        <v>34</v>
      </c>
    </row>
    <row r="174" spans="1:5" x14ac:dyDescent="0.2">
      <c r="A174" s="2" t="s">
        <v>402</v>
      </c>
      <c r="B174" s="2" t="s">
        <v>4832</v>
      </c>
      <c r="C174" s="2" t="s">
        <v>4833</v>
      </c>
      <c r="D174" s="2" t="s">
        <v>397</v>
      </c>
      <c r="E174" s="2" t="s">
        <v>34</v>
      </c>
    </row>
    <row r="175" spans="1:5" x14ac:dyDescent="0.2">
      <c r="A175" s="2" t="s">
        <v>3673</v>
      </c>
      <c r="B175" s="2" t="s">
        <v>4832</v>
      </c>
      <c r="C175" s="2" t="s">
        <v>4833</v>
      </c>
      <c r="D175" s="2" t="s">
        <v>3670</v>
      </c>
      <c r="E175" s="2" t="s">
        <v>34</v>
      </c>
    </row>
    <row r="176" spans="1:5" x14ac:dyDescent="0.2">
      <c r="A176" s="2" t="s">
        <v>1444</v>
      </c>
      <c r="B176" s="2" t="s">
        <v>4832</v>
      </c>
      <c r="C176" s="2" t="s">
        <v>4833</v>
      </c>
      <c r="D176" s="2" t="s">
        <v>1440</v>
      </c>
      <c r="E176" s="2" t="s">
        <v>34</v>
      </c>
    </row>
    <row r="177" spans="1:5" x14ac:dyDescent="0.2">
      <c r="A177" s="2" t="s">
        <v>4857</v>
      </c>
      <c r="B177" s="2" t="s">
        <v>4832</v>
      </c>
      <c r="C177" s="2" t="s">
        <v>4835</v>
      </c>
      <c r="D177" s="2" t="s">
        <v>34</v>
      </c>
      <c r="E177" s="2" t="s">
        <v>34</v>
      </c>
    </row>
    <row r="178" spans="1:5" x14ac:dyDescent="0.2">
      <c r="A178" s="2" t="s">
        <v>1383</v>
      </c>
      <c r="B178" s="2" t="s">
        <v>4832</v>
      </c>
      <c r="C178" s="2" t="s">
        <v>4833</v>
      </c>
      <c r="D178" s="2" t="s">
        <v>1379</v>
      </c>
      <c r="E178" s="2" t="s">
        <v>34</v>
      </c>
    </row>
    <row r="179" spans="1:5" x14ac:dyDescent="0.2">
      <c r="A179" s="2" t="s">
        <v>2203</v>
      </c>
      <c r="B179" s="2" t="s">
        <v>4832</v>
      </c>
      <c r="C179" s="2" t="s">
        <v>4833</v>
      </c>
      <c r="D179" s="2" t="s">
        <v>2200</v>
      </c>
      <c r="E179" s="2" t="s">
        <v>34</v>
      </c>
    </row>
    <row r="180" spans="1:5" x14ac:dyDescent="0.2">
      <c r="A180" s="2" t="s">
        <v>4858</v>
      </c>
      <c r="B180" s="2" t="s">
        <v>4832</v>
      </c>
      <c r="C180" s="2" t="s">
        <v>4835</v>
      </c>
      <c r="D180" s="2" t="s">
        <v>34</v>
      </c>
      <c r="E180" s="2" t="s">
        <v>34</v>
      </c>
    </row>
    <row r="181" spans="1:5" x14ac:dyDescent="0.2">
      <c r="A181" s="2" t="s">
        <v>896</v>
      </c>
      <c r="B181" s="2" t="s">
        <v>4832</v>
      </c>
      <c r="C181" s="2" t="s">
        <v>4833</v>
      </c>
      <c r="D181" s="2" t="s">
        <v>892</v>
      </c>
      <c r="E181" s="2" t="s">
        <v>34</v>
      </c>
    </row>
    <row r="182" spans="1:5" x14ac:dyDescent="0.2">
      <c r="A182" s="2" t="s">
        <v>3498</v>
      </c>
      <c r="B182" s="2" t="s">
        <v>4832</v>
      </c>
      <c r="C182" s="2" t="s">
        <v>4833</v>
      </c>
      <c r="D182" s="2" t="s">
        <v>3494</v>
      </c>
      <c r="E182" s="2" t="s">
        <v>34</v>
      </c>
    </row>
    <row r="183" spans="1:5" x14ac:dyDescent="0.2">
      <c r="A183" s="2" t="s">
        <v>183</v>
      </c>
      <c r="B183" s="2" t="s">
        <v>4832</v>
      </c>
      <c r="C183" s="2" t="s">
        <v>4833</v>
      </c>
      <c r="D183" s="2" t="s">
        <v>179</v>
      </c>
      <c r="E183" s="2" t="s">
        <v>34</v>
      </c>
    </row>
    <row r="184" spans="1:5" x14ac:dyDescent="0.2">
      <c r="A184" s="2" t="s">
        <v>4016</v>
      </c>
      <c r="B184" s="2" t="s">
        <v>4832</v>
      </c>
      <c r="C184" s="2" t="s">
        <v>4833</v>
      </c>
      <c r="D184" s="2" t="s">
        <v>4012</v>
      </c>
      <c r="E184" s="2" t="s">
        <v>34</v>
      </c>
    </row>
    <row r="185" spans="1:5" x14ac:dyDescent="0.2">
      <c r="A185" s="2" t="s">
        <v>2411</v>
      </c>
      <c r="B185" s="2" t="s">
        <v>4832</v>
      </c>
      <c r="C185" s="2" t="s">
        <v>4833</v>
      </c>
      <c r="D185" s="2" t="s">
        <v>2405</v>
      </c>
      <c r="E185" s="2" t="s">
        <v>34</v>
      </c>
    </row>
    <row r="186" spans="1:5" x14ac:dyDescent="0.2">
      <c r="A186" s="2" t="s">
        <v>204</v>
      </c>
      <c r="B186" s="2" t="s">
        <v>4832</v>
      </c>
      <c r="C186" s="2" t="s">
        <v>4833</v>
      </c>
      <c r="D186" s="2" t="s">
        <v>199</v>
      </c>
      <c r="E186" s="2" t="s">
        <v>34</v>
      </c>
    </row>
    <row r="187" spans="1:5" x14ac:dyDescent="0.2">
      <c r="A187" s="2" t="s">
        <v>1664</v>
      </c>
      <c r="B187" s="2" t="s">
        <v>4832</v>
      </c>
      <c r="C187" s="2" t="s">
        <v>4833</v>
      </c>
      <c r="D187" s="2" t="s">
        <v>1660</v>
      </c>
      <c r="E187" s="2" t="s">
        <v>34</v>
      </c>
    </row>
    <row r="188" spans="1:5" x14ac:dyDescent="0.2">
      <c r="A188" s="2" t="s">
        <v>4859</v>
      </c>
      <c r="B188" s="2" t="s">
        <v>4832</v>
      </c>
      <c r="C188" s="2" t="s">
        <v>4835</v>
      </c>
      <c r="D188" s="2" t="s">
        <v>34</v>
      </c>
      <c r="E188" s="2" t="s">
        <v>34</v>
      </c>
    </row>
    <row r="189" spans="1:5" x14ac:dyDescent="0.2">
      <c r="A189" s="2" t="s">
        <v>103</v>
      </c>
      <c r="B189" s="2" t="s">
        <v>4832</v>
      </c>
      <c r="C189" s="2" t="s">
        <v>4833</v>
      </c>
      <c r="D189" s="2" t="s">
        <v>99</v>
      </c>
      <c r="E189" s="2" t="s">
        <v>34</v>
      </c>
    </row>
    <row r="190" spans="1:5" x14ac:dyDescent="0.2">
      <c r="A190" s="2" t="s">
        <v>2333</v>
      </c>
      <c r="B190" s="2" t="s">
        <v>4832</v>
      </c>
      <c r="C190" s="2" t="s">
        <v>4833</v>
      </c>
      <c r="D190" s="2" t="s">
        <v>2329</v>
      </c>
      <c r="E190" s="2" t="s">
        <v>34</v>
      </c>
    </row>
    <row r="191" spans="1:5" x14ac:dyDescent="0.2">
      <c r="A191" s="2" t="s">
        <v>4860</v>
      </c>
      <c r="B191" s="2" t="s">
        <v>4832</v>
      </c>
      <c r="C191" s="2" t="s">
        <v>4837</v>
      </c>
      <c r="D191" s="2" t="s">
        <v>34</v>
      </c>
      <c r="E191" s="2" t="s">
        <v>34</v>
      </c>
    </row>
    <row r="192" spans="1:5" x14ac:dyDescent="0.2">
      <c r="A192" s="2" t="s">
        <v>197</v>
      </c>
      <c r="B192" s="2" t="s">
        <v>4832</v>
      </c>
      <c r="C192" s="2" t="s">
        <v>4833</v>
      </c>
      <c r="D192" s="2" t="s">
        <v>192</v>
      </c>
      <c r="E192" s="2" t="s">
        <v>34</v>
      </c>
    </row>
    <row r="193" spans="1:5" x14ac:dyDescent="0.2">
      <c r="A193" s="2" t="s">
        <v>4861</v>
      </c>
      <c r="B193" s="2" t="s">
        <v>4832</v>
      </c>
      <c r="C193" s="2" t="s">
        <v>4835</v>
      </c>
      <c r="D193" s="2" t="s">
        <v>34</v>
      </c>
      <c r="E193" s="2" t="s">
        <v>34</v>
      </c>
    </row>
    <row r="194" spans="1:5" x14ac:dyDescent="0.2">
      <c r="A194" s="2" t="s">
        <v>801</v>
      </c>
      <c r="B194" s="2" t="s">
        <v>4832</v>
      </c>
      <c r="C194" s="2" t="s">
        <v>4833</v>
      </c>
      <c r="D194" s="2" t="s">
        <v>797</v>
      </c>
      <c r="E194" s="2" t="s">
        <v>34</v>
      </c>
    </row>
    <row r="195" spans="1:5" x14ac:dyDescent="0.2">
      <c r="A195" s="2" t="s">
        <v>4715</v>
      </c>
      <c r="B195" s="2" t="s">
        <v>4832</v>
      </c>
      <c r="C195" s="2" t="s">
        <v>4833</v>
      </c>
      <c r="D195" s="2" t="s">
        <v>4710</v>
      </c>
      <c r="E195" s="2" t="s">
        <v>34</v>
      </c>
    </row>
    <row r="196" spans="1:5" x14ac:dyDescent="0.2">
      <c r="A196" s="2" t="s">
        <v>3952</v>
      </c>
      <c r="B196" s="2" t="s">
        <v>4832</v>
      </c>
      <c r="C196" s="2" t="s">
        <v>4833</v>
      </c>
      <c r="D196" s="2" t="s">
        <v>3949</v>
      </c>
      <c r="E196" s="2" t="s">
        <v>34</v>
      </c>
    </row>
    <row r="197" spans="1:5" x14ac:dyDescent="0.2">
      <c r="A197" s="2" t="s">
        <v>2597</v>
      </c>
      <c r="B197" s="2" t="s">
        <v>4832</v>
      </c>
      <c r="C197" s="2" t="s">
        <v>4833</v>
      </c>
      <c r="D197" s="2" t="s">
        <v>2592</v>
      </c>
      <c r="E197" s="2" t="s">
        <v>34</v>
      </c>
    </row>
    <row r="198" spans="1:5" x14ac:dyDescent="0.2">
      <c r="A198" s="2" t="s">
        <v>3805</v>
      </c>
      <c r="B198" s="2" t="s">
        <v>4832</v>
      </c>
      <c r="C198" s="2" t="s">
        <v>4833</v>
      </c>
      <c r="D198" s="2" t="s">
        <v>3801</v>
      </c>
      <c r="E198" s="2" t="s">
        <v>34</v>
      </c>
    </row>
    <row r="199" spans="1:5" x14ac:dyDescent="0.2">
      <c r="A199" s="2" t="s">
        <v>4091</v>
      </c>
      <c r="B199" s="2" t="s">
        <v>4832</v>
      </c>
      <c r="C199" s="2" t="s">
        <v>4833</v>
      </c>
      <c r="D199" s="2" t="s">
        <v>4088</v>
      </c>
      <c r="E199" s="2" t="s">
        <v>34</v>
      </c>
    </row>
    <row r="200" spans="1:5" x14ac:dyDescent="0.2">
      <c r="A200" s="2" t="s">
        <v>4862</v>
      </c>
      <c r="B200" s="2" t="s">
        <v>4832</v>
      </c>
      <c r="C200" s="2" t="s">
        <v>4837</v>
      </c>
      <c r="D200" s="2" t="s">
        <v>34</v>
      </c>
      <c r="E200" s="2" t="s">
        <v>34</v>
      </c>
    </row>
    <row r="201" spans="1:5" x14ac:dyDescent="0.2">
      <c r="A201" s="2" t="s">
        <v>3565</v>
      </c>
      <c r="B201" s="2" t="s">
        <v>4832</v>
      </c>
      <c r="C201" s="2" t="s">
        <v>4833</v>
      </c>
      <c r="D201" s="2" t="s">
        <v>3562</v>
      </c>
      <c r="E201" s="2" t="s">
        <v>34</v>
      </c>
    </row>
    <row r="202" spans="1:5" x14ac:dyDescent="0.2">
      <c r="A202" s="2" t="s">
        <v>4629</v>
      </c>
      <c r="B202" s="2" t="s">
        <v>4832</v>
      </c>
      <c r="C202" s="2" t="s">
        <v>4833</v>
      </c>
      <c r="D202" s="2" t="s">
        <v>4626</v>
      </c>
      <c r="E202" s="2" t="s">
        <v>34</v>
      </c>
    </row>
    <row r="203" spans="1:5" x14ac:dyDescent="0.2">
      <c r="A203" s="2" t="s">
        <v>4693</v>
      </c>
      <c r="B203" s="2" t="s">
        <v>4832</v>
      </c>
      <c r="C203" s="2" t="s">
        <v>4833</v>
      </c>
      <c r="D203" s="2" t="s">
        <v>4689</v>
      </c>
      <c r="E203" s="2" t="s">
        <v>34</v>
      </c>
    </row>
    <row r="204" spans="1:5" x14ac:dyDescent="0.2">
      <c r="A204" s="2" t="s">
        <v>1089</v>
      </c>
      <c r="B204" s="2" t="s">
        <v>4832</v>
      </c>
      <c r="C204" s="2" t="s">
        <v>4833</v>
      </c>
      <c r="D204" s="2" t="s">
        <v>1084</v>
      </c>
      <c r="E204" s="2" t="s">
        <v>34</v>
      </c>
    </row>
    <row r="205" spans="1:5" x14ac:dyDescent="0.2">
      <c r="A205" s="2" t="s">
        <v>3611</v>
      </c>
      <c r="B205" s="2" t="s">
        <v>4832</v>
      </c>
      <c r="C205" s="2" t="s">
        <v>4833</v>
      </c>
      <c r="D205" s="2" t="s">
        <v>3608</v>
      </c>
      <c r="E205" s="2" t="s">
        <v>34</v>
      </c>
    </row>
    <row r="206" spans="1:5" x14ac:dyDescent="0.2">
      <c r="A206" s="2" t="s">
        <v>4410</v>
      </c>
      <c r="B206" s="2" t="s">
        <v>4832</v>
      </c>
      <c r="C206" s="2" t="s">
        <v>4833</v>
      </c>
      <c r="D206" s="2" t="s">
        <v>4407</v>
      </c>
      <c r="E206" s="2" t="s">
        <v>34</v>
      </c>
    </row>
    <row r="207" spans="1:5" x14ac:dyDescent="0.2">
      <c r="A207" s="2" t="s">
        <v>1742</v>
      </c>
      <c r="B207" s="2" t="s">
        <v>4832</v>
      </c>
      <c r="C207" s="2" t="s">
        <v>4833</v>
      </c>
      <c r="D207" s="2" t="s">
        <v>1739</v>
      </c>
      <c r="E207" s="2" t="s">
        <v>34</v>
      </c>
    </row>
    <row r="208" spans="1:5" x14ac:dyDescent="0.2">
      <c r="A208" s="2" t="s">
        <v>4863</v>
      </c>
      <c r="B208" s="2" t="s">
        <v>4832</v>
      </c>
      <c r="C208" s="2" t="s">
        <v>4835</v>
      </c>
      <c r="D208" s="2" t="s">
        <v>34</v>
      </c>
      <c r="E208" s="2" t="s">
        <v>34</v>
      </c>
    </row>
    <row r="209" spans="1:5" x14ac:dyDescent="0.2">
      <c r="A209" s="2" t="s">
        <v>627</v>
      </c>
      <c r="B209" s="2" t="s">
        <v>4832</v>
      </c>
      <c r="C209" s="2" t="s">
        <v>4833</v>
      </c>
      <c r="D209" s="2" t="s">
        <v>623</v>
      </c>
      <c r="E209" s="2" t="s">
        <v>34</v>
      </c>
    </row>
    <row r="210" spans="1:5" x14ac:dyDescent="0.2">
      <c r="A210" s="2" t="s">
        <v>1562</v>
      </c>
      <c r="B210" s="2" t="s">
        <v>4832</v>
      </c>
      <c r="C210" s="2" t="s">
        <v>4833</v>
      </c>
      <c r="D210" s="2" t="s">
        <v>1559</v>
      </c>
      <c r="E210" s="2" t="s">
        <v>34</v>
      </c>
    </row>
    <row r="211" spans="1:5" x14ac:dyDescent="0.2">
      <c r="A211" s="2" t="s">
        <v>4864</v>
      </c>
      <c r="B211" s="2" t="s">
        <v>4832</v>
      </c>
      <c r="C211" s="2" t="s">
        <v>4835</v>
      </c>
      <c r="D211" s="2" t="s">
        <v>34</v>
      </c>
      <c r="E211" s="2" t="s">
        <v>34</v>
      </c>
    </row>
    <row r="212" spans="1:5" x14ac:dyDescent="0.2">
      <c r="A212" s="2" t="s">
        <v>4213</v>
      </c>
      <c r="B212" s="2" t="s">
        <v>4832</v>
      </c>
      <c r="C212" s="2" t="s">
        <v>4833</v>
      </c>
      <c r="D212" s="2" t="s">
        <v>4210</v>
      </c>
      <c r="E212" s="2" t="s">
        <v>34</v>
      </c>
    </row>
    <row r="213" spans="1:5" x14ac:dyDescent="0.2">
      <c r="A213" s="2" t="s">
        <v>3222</v>
      </c>
      <c r="B213" s="2" t="s">
        <v>4832</v>
      </c>
      <c r="C213" s="2" t="s">
        <v>4833</v>
      </c>
      <c r="D213" s="2" t="s">
        <v>3217</v>
      </c>
      <c r="E213" s="2" t="s">
        <v>34</v>
      </c>
    </row>
    <row r="214" spans="1:5" x14ac:dyDescent="0.2">
      <c r="A214" s="2" t="s">
        <v>4357</v>
      </c>
      <c r="B214" s="2" t="s">
        <v>4832</v>
      </c>
      <c r="C214" s="2" t="s">
        <v>4833</v>
      </c>
      <c r="D214" s="2" t="s">
        <v>4353</v>
      </c>
      <c r="E214" s="2" t="s">
        <v>34</v>
      </c>
    </row>
    <row r="215" spans="1:5" x14ac:dyDescent="0.2">
      <c r="A215" s="2" t="s">
        <v>366</v>
      </c>
      <c r="B215" s="2" t="s">
        <v>4832</v>
      </c>
      <c r="C215" s="2" t="s">
        <v>4833</v>
      </c>
      <c r="D215" s="2" t="s">
        <v>362</v>
      </c>
      <c r="E215" s="2" t="s">
        <v>34</v>
      </c>
    </row>
    <row r="216" spans="1:5" x14ac:dyDescent="0.2">
      <c r="A216" s="2" t="s">
        <v>422</v>
      </c>
      <c r="B216" s="2" t="s">
        <v>4832</v>
      </c>
      <c r="C216" s="2" t="s">
        <v>4833</v>
      </c>
      <c r="D216" s="2" t="s">
        <v>419</v>
      </c>
      <c r="E216" s="2" t="s">
        <v>34</v>
      </c>
    </row>
    <row r="217" spans="1:5" x14ac:dyDescent="0.2">
      <c r="A217" s="2" t="s">
        <v>3740</v>
      </c>
      <c r="B217" s="2" t="s">
        <v>4832</v>
      </c>
      <c r="C217" s="2" t="s">
        <v>4833</v>
      </c>
      <c r="D217" s="2" t="s">
        <v>3736</v>
      </c>
      <c r="E217" s="2" t="s">
        <v>34</v>
      </c>
    </row>
    <row r="218" spans="1:5" x14ac:dyDescent="0.2">
      <c r="A218" s="2" t="s">
        <v>3012</v>
      </c>
      <c r="B218" s="2" t="s">
        <v>4832</v>
      </c>
      <c r="C218" s="2" t="s">
        <v>4833</v>
      </c>
      <c r="D218" s="2" t="s">
        <v>3008</v>
      </c>
      <c r="E218" s="2" t="s">
        <v>34</v>
      </c>
    </row>
    <row r="219" spans="1:5" x14ac:dyDescent="0.2">
      <c r="A219" s="2" t="s">
        <v>4865</v>
      </c>
      <c r="B219" s="2" t="s">
        <v>4832</v>
      </c>
      <c r="C219" s="2" t="s">
        <v>4835</v>
      </c>
      <c r="D219" s="2" t="s">
        <v>34</v>
      </c>
      <c r="E219" s="2" t="s">
        <v>34</v>
      </c>
    </row>
    <row r="220" spans="1:5" x14ac:dyDescent="0.2">
      <c r="A220" s="2" t="s">
        <v>3697</v>
      </c>
      <c r="B220" s="2" t="s">
        <v>4832</v>
      </c>
      <c r="C220" s="2" t="s">
        <v>4833</v>
      </c>
      <c r="D220" s="2" t="s">
        <v>3693</v>
      </c>
      <c r="E220" s="2" t="s">
        <v>34</v>
      </c>
    </row>
    <row r="221" spans="1:5" x14ac:dyDescent="0.2">
      <c r="A221" s="2" t="s">
        <v>4342</v>
      </c>
      <c r="B221" s="2" t="s">
        <v>4832</v>
      </c>
      <c r="C221" s="2" t="s">
        <v>4833</v>
      </c>
      <c r="D221" s="2" t="s">
        <v>4339</v>
      </c>
      <c r="E221" s="2" t="s">
        <v>34</v>
      </c>
    </row>
    <row r="222" spans="1:5" x14ac:dyDescent="0.2">
      <c r="A222" s="2" t="s">
        <v>845</v>
      </c>
      <c r="B222" s="2" t="s">
        <v>4832</v>
      </c>
      <c r="C222" s="2" t="s">
        <v>4833</v>
      </c>
      <c r="D222" s="2" t="s">
        <v>841</v>
      </c>
      <c r="E222" s="2" t="s">
        <v>34</v>
      </c>
    </row>
    <row r="223" spans="1:5" x14ac:dyDescent="0.2">
      <c r="A223" s="2" t="s">
        <v>2448</v>
      </c>
      <c r="B223" s="2" t="s">
        <v>4832</v>
      </c>
      <c r="C223" s="2" t="s">
        <v>4833</v>
      </c>
      <c r="D223" s="2" t="s">
        <v>2445</v>
      </c>
      <c r="E223" s="2" t="s">
        <v>34</v>
      </c>
    </row>
    <row r="224" spans="1:5" x14ac:dyDescent="0.2">
      <c r="A224" s="2" t="s">
        <v>1186</v>
      </c>
      <c r="B224" s="2" t="s">
        <v>4832</v>
      </c>
      <c r="C224" s="2" t="s">
        <v>4833</v>
      </c>
      <c r="D224" s="2" t="s">
        <v>1182</v>
      </c>
      <c r="E224" s="2" t="s">
        <v>34</v>
      </c>
    </row>
    <row r="225" spans="1:5" x14ac:dyDescent="0.2">
      <c r="A225" s="2" t="s">
        <v>4680</v>
      </c>
      <c r="B225" s="2" t="s">
        <v>4832</v>
      </c>
      <c r="C225" s="2" t="s">
        <v>4833</v>
      </c>
      <c r="D225" s="2" t="s">
        <v>4677</v>
      </c>
      <c r="E225" s="2" t="s">
        <v>34</v>
      </c>
    </row>
    <row r="226" spans="1:5" x14ac:dyDescent="0.2">
      <c r="A226" s="2" t="s">
        <v>4866</v>
      </c>
      <c r="B226" s="2" t="s">
        <v>4832</v>
      </c>
      <c r="C226" s="2" t="s">
        <v>4835</v>
      </c>
      <c r="D226" s="2" t="s">
        <v>34</v>
      </c>
      <c r="E226" s="2" t="s">
        <v>34</v>
      </c>
    </row>
    <row r="227" spans="1:5" x14ac:dyDescent="0.2">
      <c r="A227" s="2" t="s">
        <v>3151</v>
      </c>
      <c r="B227" s="2" t="s">
        <v>4832</v>
      </c>
      <c r="C227" s="2" t="s">
        <v>4833</v>
      </c>
      <c r="D227" s="2" t="s">
        <v>3147</v>
      </c>
      <c r="E227" s="2" t="s">
        <v>34</v>
      </c>
    </row>
    <row r="228" spans="1:5" x14ac:dyDescent="0.2">
      <c r="A228" s="2" t="s">
        <v>2545</v>
      </c>
      <c r="B228" s="2" t="s">
        <v>4832</v>
      </c>
      <c r="C228" s="2" t="s">
        <v>4833</v>
      </c>
      <c r="D228" s="2" t="s">
        <v>2541</v>
      </c>
      <c r="E228" s="2" t="s">
        <v>34</v>
      </c>
    </row>
    <row r="229" spans="1:5" x14ac:dyDescent="0.2">
      <c r="A229" s="2" t="s">
        <v>4136</v>
      </c>
      <c r="B229" s="2" t="s">
        <v>4832</v>
      </c>
      <c r="C229" s="2" t="s">
        <v>4833</v>
      </c>
      <c r="D229" s="2" t="s">
        <v>4132</v>
      </c>
      <c r="E229" s="2" t="s">
        <v>34</v>
      </c>
    </row>
    <row r="230" spans="1:5" x14ac:dyDescent="0.2">
      <c r="A230" s="2" t="s">
        <v>4867</v>
      </c>
      <c r="B230" s="2" t="s">
        <v>4832</v>
      </c>
      <c r="C230" s="2" t="s">
        <v>4837</v>
      </c>
      <c r="D230" s="2" t="s">
        <v>34</v>
      </c>
      <c r="E230" s="2" t="s">
        <v>34</v>
      </c>
    </row>
    <row r="231" spans="1:5" x14ac:dyDescent="0.2">
      <c r="A231" s="2" t="s">
        <v>4868</v>
      </c>
      <c r="B231" s="2" t="s">
        <v>4832</v>
      </c>
      <c r="C231" s="2" t="s">
        <v>4835</v>
      </c>
      <c r="D231" s="2" t="s">
        <v>34</v>
      </c>
      <c r="E231" s="2" t="s">
        <v>34</v>
      </c>
    </row>
    <row r="232" spans="1:5" x14ac:dyDescent="0.2">
      <c r="A232" s="2" t="s">
        <v>3612</v>
      </c>
      <c r="B232" s="2" t="s">
        <v>4832</v>
      </c>
      <c r="C232" s="2" t="s">
        <v>4833</v>
      </c>
      <c r="D232" s="2" t="s">
        <v>3608</v>
      </c>
      <c r="E232" s="2" t="s">
        <v>34</v>
      </c>
    </row>
    <row r="233" spans="1:5" x14ac:dyDescent="0.2">
      <c r="A233" s="2" t="s">
        <v>2260</v>
      </c>
      <c r="B233" s="2" t="s">
        <v>4832</v>
      </c>
      <c r="C233" s="2" t="s">
        <v>4833</v>
      </c>
      <c r="D233" s="2" t="s">
        <v>2256</v>
      </c>
      <c r="E233" s="2" t="s">
        <v>34</v>
      </c>
    </row>
    <row r="234" spans="1:5" x14ac:dyDescent="0.2">
      <c r="A234" s="2" t="s">
        <v>2423</v>
      </c>
      <c r="B234" s="2" t="s">
        <v>4832</v>
      </c>
      <c r="C234" s="2" t="s">
        <v>4833</v>
      </c>
      <c r="D234" s="2" t="s">
        <v>2419</v>
      </c>
      <c r="E234" s="2" t="s">
        <v>34</v>
      </c>
    </row>
    <row r="235" spans="1:5" x14ac:dyDescent="0.2">
      <c r="A235" s="2" t="s">
        <v>4102</v>
      </c>
      <c r="B235" s="2" t="s">
        <v>4832</v>
      </c>
      <c r="C235" s="2" t="s">
        <v>4833</v>
      </c>
      <c r="D235" s="2" t="s">
        <v>4097</v>
      </c>
      <c r="E235" s="2" t="s">
        <v>34</v>
      </c>
    </row>
    <row r="236" spans="1:5" x14ac:dyDescent="0.2">
      <c r="A236" s="2" t="s">
        <v>4869</v>
      </c>
      <c r="B236" s="2" t="s">
        <v>4832</v>
      </c>
      <c r="C236" s="2" t="s">
        <v>4835</v>
      </c>
      <c r="D236" s="2" t="s">
        <v>34</v>
      </c>
      <c r="E236" s="2" t="s">
        <v>34</v>
      </c>
    </row>
    <row r="237" spans="1:5" x14ac:dyDescent="0.2">
      <c r="A237" s="2" t="s">
        <v>118</v>
      </c>
      <c r="B237" s="2" t="s">
        <v>4832</v>
      </c>
      <c r="C237" s="2" t="s">
        <v>4833</v>
      </c>
      <c r="D237" s="2" t="s">
        <v>112</v>
      </c>
      <c r="E237" s="2" t="s">
        <v>34</v>
      </c>
    </row>
    <row r="238" spans="1:5" x14ac:dyDescent="0.2">
      <c r="A238" s="2" t="s">
        <v>4347</v>
      </c>
      <c r="B238" s="2" t="s">
        <v>4832</v>
      </c>
      <c r="C238" s="2" t="s">
        <v>4833</v>
      </c>
      <c r="D238" s="2" t="s">
        <v>4343</v>
      </c>
      <c r="E238" s="2" t="s">
        <v>34</v>
      </c>
    </row>
    <row r="239" spans="1:5" x14ac:dyDescent="0.2">
      <c r="A239" s="2" t="s">
        <v>817</v>
      </c>
      <c r="B239" s="2" t="s">
        <v>4832</v>
      </c>
      <c r="C239" s="2" t="s">
        <v>4833</v>
      </c>
      <c r="D239" s="2" t="s">
        <v>813</v>
      </c>
      <c r="E239" s="2" t="s">
        <v>34</v>
      </c>
    </row>
    <row r="240" spans="1:5" x14ac:dyDescent="0.2">
      <c r="A240" s="2" t="s">
        <v>921</v>
      </c>
      <c r="B240" s="2" t="s">
        <v>4832</v>
      </c>
      <c r="C240" s="2" t="s">
        <v>4833</v>
      </c>
      <c r="D240" s="2" t="s">
        <v>915</v>
      </c>
      <c r="E240" s="2" t="s">
        <v>34</v>
      </c>
    </row>
    <row r="241" spans="1:5" x14ac:dyDescent="0.2">
      <c r="A241" s="2" t="s">
        <v>2001</v>
      </c>
      <c r="B241" s="2" t="s">
        <v>4832</v>
      </c>
      <c r="C241" s="2" t="s">
        <v>4833</v>
      </c>
      <c r="D241" s="2" t="s">
        <v>1997</v>
      </c>
      <c r="E241" s="2" t="s">
        <v>34</v>
      </c>
    </row>
    <row r="242" spans="1:5" x14ac:dyDescent="0.2">
      <c r="A242" s="2" t="s">
        <v>3628</v>
      </c>
      <c r="B242" s="2" t="s">
        <v>4832</v>
      </c>
      <c r="C242" s="2" t="s">
        <v>4833</v>
      </c>
      <c r="D242" s="2" t="s">
        <v>3624</v>
      </c>
      <c r="E242" s="2" t="s">
        <v>34</v>
      </c>
    </row>
    <row r="243" spans="1:5" x14ac:dyDescent="0.2">
      <c r="A243" s="2" t="s">
        <v>1505</v>
      </c>
      <c r="B243" s="2" t="s">
        <v>4832</v>
      </c>
      <c r="C243" s="2" t="s">
        <v>4833</v>
      </c>
      <c r="D243" s="2" t="s">
        <v>1501</v>
      </c>
      <c r="E243" s="2" t="s">
        <v>34</v>
      </c>
    </row>
    <row r="244" spans="1:5" x14ac:dyDescent="0.2">
      <c r="A244" s="2" t="s">
        <v>1323</v>
      </c>
      <c r="B244" s="2" t="s">
        <v>4832</v>
      </c>
      <c r="C244" s="2" t="s">
        <v>4833</v>
      </c>
      <c r="D244" s="2" t="s">
        <v>1319</v>
      </c>
      <c r="E244" s="2" t="s">
        <v>34</v>
      </c>
    </row>
    <row r="245" spans="1:5" x14ac:dyDescent="0.2">
      <c r="A245" s="2" t="s">
        <v>109</v>
      </c>
      <c r="B245" s="2" t="s">
        <v>4832</v>
      </c>
      <c r="C245" s="2" t="s">
        <v>4833</v>
      </c>
      <c r="D245" s="2" t="s">
        <v>105</v>
      </c>
      <c r="E245" s="2" t="s">
        <v>34</v>
      </c>
    </row>
    <row r="246" spans="1:5" x14ac:dyDescent="0.2">
      <c r="A246" s="2" t="s">
        <v>3323</v>
      </c>
      <c r="B246" s="2" t="s">
        <v>4832</v>
      </c>
      <c r="C246" s="2" t="s">
        <v>4833</v>
      </c>
      <c r="D246" s="2" t="s">
        <v>3319</v>
      </c>
      <c r="E246" s="2" t="s">
        <v>34</v>
      </c>
    </row>
    <row r="247" spans="1:5" x14ac:dyDescent="0.2">
      <c r="A247" s="2" t="s">
        <v>4474</v>
      </c>
      <c r="B247" s="2" t="s">
        <v>4832</v>
      </c>
      <c r="C247" s="2" t="s">
        <v>4833</v>
      </c>
      <c r="D247" s="2" t="s">
        <v>4471</v>
      </c>
      <c r="E247" s="2" t="s">
        <v>34</v>
      </c>
    </row>
    <row r="248" spans="1:5" x14ac:dyDescent="0.2">
      <c r="A248" s="2" t="s">
        <v>2575</v>
      </c>
      <c r="B248" s="2" t="s">
        <v>4832</v>
      </c>
      <c r="C248" s="2" t="s">
        <v>4833</v>
      </c>
      <c r="D248" s="2" t="s">
        <v>2570</v>
      </c>
      <c r="E248" s="2" t="s">
        <v>34</v>
      </c>
    </row>
    <row r="249" spans="1:5" x14ac:dyDescent="0.2">
      <c r="A249" s="2" t="s">
        <v>4816</v>
      </c>
      <c r="B249" s="2" t="s">
        <v>4832</v>
      </c>
      <c r="C249" s="2" t="s">
        <v>4833</v>
      </c>
      <c r="D249" s="2" t="s">
        <v>4811</v>
      </c>
      <c r="E249" s="2" t="s">
        <v>34</v>
      </c>
    </row>
    <row r="250" spans="1:5" x14ac:dyDescent="0.2">
      <c r="A250" s="2" t="s">
        <v>2815</v>
      </c>
      <c r="B250" s="2" t="s">
        <v>4832</v>
      </c>
      <c r="C250" s="2" t="s">
        <v>4833</v>
      </c>
      <c r="D250" s="2" t="s">
        <v>2810</v>
      </c>
      <c r="E250" s="2" t="s">
        <v>34</v>
      </c>
    </row>
    <row r="251" spans="1:5" x14ac:dyDescent="0.2">
      <c r="A251" s="2" t="s">
        <v>3537</v>
      </c>
      <c r="B251" s="2" t="s">
        <v>4832</v>
      </c>
      <c r="C251" s="2" t="s">
        <v>4833</v>
      </c>
      <c r="D251" s="2" t="s">
        <v>3534</v>
      </c>
      <c r="E251" s="2" t="s">
        <v>34</v>
      </c>
    </row>
    <row r="252" spans="1:5" x14ac:dyDescent="0.2">
      <c r="A252" s="2" t="s">
        <v>3596</v>
      </c>
      <c r="B252" s="2" t="s">
        <v>4832</v>
      </c>
      <c r="C252" s="2" t="s">
        <v>4833</v>
      </c>
      <c r="D252" s="2" t="s">
        <v>3592</v>
      </c>
      <c r="E252" s="2" t="s">
        <v>34</v>
      </c>
    </row>
    <row r="253" spans="1:5" x14ac:dyDescent="0.2">
      <c r="A253" s="2" t="s">
        <v>2691</v>
      </c>
      <c r="B253" s="2" t="s">
        <v>4832</v>
      </c>
      <c r="C253" s="2" t="s">
        <v>4833</v>
      </c>
      <c r="D253" s="2" t="s">
        <v>2687</v>
      </c>
      <c r="E253" s="2" t="s">
        <v>34</v>
      </c>
    </row>
    <row r="254" spans="1:5" x14ac:dyDescent="0.2">
      <c r="A254" s="2" t="s">
        <v>1966</v>
      </c>
      <c r="B254" s="2" t="s">
        <v>4832</v>
      </c>
      <c r="C254" s="2" t="s">
        <v>4833</v>
      </c>
      <c r="D254" s="2" t="s">
        <v>1962</v>
      </c>
      <c r="E254" s="2" t="s">
        <v>34</v>
      </c>
    </row>
    <row r="255" spans="1:5" x14ac:dyDescent="0.2">
      <c r="A255" s="2" t="s">
        <v>3364</v>
      </c>
      <c r="B255" s="2" t="s">
        <v>4832</v>
      </c>
      <c r="C255" s="2" t="s">
        <v>4833</v>
      </c>
      <c r="D255" s="2" t="s">
        <v>3361</v>
      </c>
      <c r="E255" s="2" t="s">
        <v>34</v>
      </c>
    </row>
    <row r="256" spans="1:5" x14ac:dyDescent="0.2">
      <c r="A256" s="2" t="s">
        <v>2271</v>
      </c>
      <c r="B256" s="2" t="s">
        <v>4832</v>
      </c>
      <c r="C256" s="2" t="s">
        <v>4833</v>
      </c>
      <c r="D256" s="2" t="s">
        <v>2268</v>
      </c>
      <c r="E256" s="2" t="s">
        <v>34</v>
      </c>
    </row>
    <row r="257" spans="1:5" x14ac:dyDescent="0.2">
      <c r="A257" s="2" t="s">
        <v>4870</v>
      </c>
      <c r="B257" s="2" t="s">
        <v>4832</v>
      </c>
      <c r="C257" s="2" t="s">
        <v>4835</v>
      </c>
      <c r="D257" s="2" t="s">
        <v>34</v>
      </c>
      <c r="E257" s="2" t="s">
        <v>34</v>
      </c>
    </row>
    <row r="258" spans="1:5" x14ac:dyDescent="0.2">
      <c r="A258" s="2" t="s">
        <v>1967</v>
      </c>
      <c r="B258" s="2" t="s">
        <v>4832</v>
      </c>
      <c r="C258" s="2" t="s">
        <v>4833</v>
      </c>
      <c r="D258" s="2" t="s">
        <v>1962</v>
      </c>
      <c r="E258" s="2" t="s">
        <v>34</v>
      </c>
    </row>
    <row r="259" spans="1:5" x14ac:dyDescent="0.2">
      <c r="A259" s="2" t="s">
        <v>4871</v>
      </c>
      <c r="B259" s="2" t="s">
        <v>4832</v>
      </c>
      <c r="C259" s="2" t="s">
        <v>4837</v>
      </c>
      <c r="D259" s="2" t="s">
        <v>34</v>
      </c>
      <c r="E259" s="2" t="s">
        <v>34</v>
      </c>
    </row>
    <row r="260" spans="1:5" x14ac:dyDescent="0.2">
      <c r="A260" s="2" t="s">
        <v>2987</v>
      </c>
      <c r="B260" s="2" t="s">
        <v>4832</v>
      </c>
      <c r="C260" s="2" t="s">
        <v>4833</v>
      </c>
      <c r="D260" s="2" t="s">
        <v>2983</v>
      </c>
      <c r="E260" s="2" t="s">
        <v>34</v>
      </c>
    </row>
    <row r="261" spans="1:5" x14ac:dyDescent="0.2">
      <c r="A261" s="2" t="s">
        <v>1439</v>
      </c>
      <c r="B261" s="2" t="s">
        <v>4832</v>
      </c>
      <c r="C261" s="2" t="s">
        <v>4833</v>
      </c>
      <c r="D261" s="2" t="s">
        <v>1435</v>
      </c>
      <c r="E261" s="2" t="s">
        <v>34</v>
      </c>
    </row>
    <row r="262" spans="1:5" x14ac:dyDescent="0.2">
      <c r="A262" s="2" t="s">
        <v>3947</v>
      </c>
      <c r="B262" s="2" t="s">
        <v>4832</v>
      </c>
      <c r="C262" s="2" t="s">
        <v>4833</v>
      </c>
      <c r="D262" s="2" t="s">
        <v>3943</v>
      </c>
      <c r="E262" s="2" t="s">
        <v>34</v>
      </c>
    </row>
    <row r="263" spans="1:5" x14ac:dyDescent="0.2">
      <c r="A263" s="2" t="s">
        <v>4872</v>
      </c>
      <c r="B263" s="2" t="s">
        <v>4832</v>
      </c>
      <c r="C263" s="2" t="s">
        <v>4837</v>
      </c>
      <c r="D263" s="2" t="s">
        <v>34</v>
      </c>
      <c r="E263" s="2" t="s">
        <v>34</v>
      </c>
    </row>
    <row r="264" spans="1:5" x14ac:dyDescent="0.2">
      <c r="A264" s="2" t="s">
        <v>4873</v>
      </c>
      <c r="B264" s="2" t="s">
        <v>4832</v>
      </c>
      <c r="C264" s="2" t="s">
        <v>4835</v>
      </c>
      <c r="D264" s="2" t="s">
        <v>34</v>
      </c>
      <c r="E264" s="2" t="s">
        <v>34</v>
      </c>
    </row>
    <row r="265" spans="1:5" x14ac:dyDescent="0.2">
      <c r="A265" s="2" t="s">
        <v>1704</v>
      </c>
      <c r="B265" s="2" t="s">
        <v>4832</v>
      </c>
      <c r="C265" s="2" t="s">
        <v>4833</v>
      </c>
      <c r="D265" s="2" t="s">
        <v>1700</v>
      </c>
      <c r="E265" s="2" t="s">
        <v>34</v>
      </c>
    </row>
    <row r="266" spans="1:5" x14ac:dyDescent="0.2">
      <c r="A266" s="2" t="s">
        <v>2624</v>
      </c>
      <c r="B266" s="2" t="s">
        <v>4832</v>
      </c>
      <c r="C266" s="2" t="s">
        <v>4833</v>
      </c>
      <c r="D266" s="2" t="s">
        <v>2621</v>
      </c>
      <c r="E266" s="2" t="s">
        <v>34</v>
      </c>
    </row>
    <row r="267" spans="1:5" x14ac:dyDescent="0.2">
      <c r="A267" s="2" t="s">
        <v>3376</v>
      </c>
      <c r="B267" s="2" t="s">
        <v>4832</v>
      </c>
      <c r="C267" s="2" t="s">
        <v>4833</v>
      </c>
      <c r="D267" s="2" t="s">
        <v>3371</v>
      </c>
      <c r="E267" s="2" t="s">
        <v>34</v>
      </c>
    </row>
    <row r="268" spans="1:5" x14ac:dyDescent="0.2">
      <c r="A268" s="2" t="s">
        <v>3026</v>
      </c>
      <c r="B268" s="2" t="s">
        <v>4832</v>
      </c>
      <c r="C268" s="2" t="s">
        <v>4833</v>
      </c>
      <c r="D268" s="2" t="s">
        <v>3021</v>
      </c>
      <c r="E268" s="2" t="s">
        <v>34</v>
      </c>
    </row>
    <row r="269" spans="1:5" x14ac:dyDescent="0.2">
      <c r="A269" s="2" t="s">
        <v>4285</v>
      </c>
      <c r="B269" s="2" t="s">
        <v>4832</v>
      </c>
      <c r="C269" s="2" t="s">
        <v>4833</v>
      </c>
      <c r="D269" s="2" t="s">
        <v>4281</v>
      </c>
      <c r="E269" s="2" t="s">
        <v>34</v>
      </c>
    </row>
    <row r="270" spans="1:5" x14ac:dyDescent="0.2">
      <c r="A270" s="2" t="s">
        <v>4439</v>
      </c>
      <c r="B270" s="2" t="s">
        <v>4832</v>
      </c>
      <c r="C270" s="2" t="s">
        <v>4833</v>
      </c>
      <c r="D270" s="2" t="s">
        <v>4436</v>
      </c>
      <c r="E270" s="2" t="s">
        <v>34</v>
      </c>
    </row>
    <row r="271" spans="1:5" x14ac:dyDescent="0.2">
      <c r="A271" s="2" t="s">
        <v>1270</v>
      </c>
      <c r="B271" s="2" t="s">
        <v>4832</v>
      </c>
      <c r="C271" s="2" t="s">
        <v>4833</v>
      </c>
      <c r="D271" s="2" t="s">
        <v>1267</v>
      </c>
      <c r="E271" s="2" t="s">
        <v>34</v>
      </c>
    </row>
    <row r="272" spans="1:5" x14ac:dyDescent="0.2">
      <c r="A272" s="2" t="s">
        <v>4744</v>
      </c>
      <c r="B272" s="2" t="s">
        <v>4832</v>
      </c>
      <c r="C272" s="2" t="s">
        <v>4833</v>
      </c>
      <c r="D272" s="2" t="s">
        <v>4741</v>
      </c>
      <c r="E272" s="2" t="s">
        <v>34</v>
      </c>
    </row>
    <row r="273" spans="1:5" x14ac:dyDescent="0.2">
      <c r="A273" s="2" t="s">
        <v>4395</v>
      </c>
      <c r="B273" s="2" t="s">
        <v>4832</v>
      </c>
      <c r="C273" s="2" t="s">
        <v>4833</v>
      </c>
      <c r="D273" s="2" t="s">
        <v>4392</v>
      </c>
      <c r="E273" s="2" t="s">
        <v>34</v>
      </c>
    </row>
    <row r="274" spans="1:5" x14ac:dyDescent="0.2">
      <c r="A274" s="2" t="s">
        <v>714</v>
      </c>
      <c r="B274" s="2" t="s">
        <v>4832</v>
      </c>
      <c r="C274" s="2" t="s">
        <v>4833</v>
      </c>
      <c r="D274" s="2" t="s">
        <v>710</v>
      </c>
      <c r="E274" s="2" t="s">
        <v>34</v>
      </c>
    </row>
    <row r="275" spans="1:5" x14ac:dyDescent="0.2">
      <c r="A275" s="2" t="s">
        <v>1229</v>
      </c>
      <c r="B275" s="2" t="s">
        <v>4832</v>
      </c>
      <c r="C275" s="2" t="s">
        <v>4833</v>
      </c>
      <c r="D275" s="2" t="s">
        <v>1225</v>
      </c>
      <c r="E275" s="2" t="s">
        <v>34</v>
      </c>
    </row>
    <row r="276" spans="1:5" x14ac:dyDescent="0.2">
      <c r="A276" s="2" t="s">
        <v>2701</v>
      </c>
      <c r="B276" s="2" t="s">
        <v>4832</v>
      </c>
      <c r="C276" s="2" t="s">
        <v>4833</v>
      </c>
      <c r="D276" s="2" t="s">
        <v>2697</v>
      </c>
      <c r="E276" s="2" t="s">
        <v>34</v>
      </c>
    </row>
    <row r="277" spans="1:5" x14ac:dyDescent="0.2">
      <c r="A277" s="2" t="s">
        <v>4356</v>
      </c>
      <c r="B277" s="2" t="s">
        <v>4832</v>
      </c>
      <c r="C277" s="2" t="s">
        <v>4833</v>
      </c>
      <c r="D277" s="2" t="s">
        <v>4353</v>
      </c>
      <c r="E277" s="2" t="s">
        <v>34</v>
      </c>
    </row>
    <row r="278" spans="1:5" x14ac:dyDescent="0.2">
      <c r="A278" s="2" t="s">
        <v>2723</v>
      </c>
      <c r="B278" s="2" t="s">
        <v>4832</v>
      </c>
      <c r="C278" s="2" t="s">
        <v>4833</v>
      </c>
      <c r="D278" s="2" t="s">
        <v>2720</v>
      </c>
      <c r="E278" s="2" t="s">
        <v>34</v>
      </c>
    </row>
    <row r="279" spans="1:5" x14ac:dyDescent="0.2">
      <c r="A279" s="2" t="s">
        <v>2497</v>
      </c>
      <c r="B279" s="2" t="s">
        <v>4832</v>
      </c>
      <c r="C279" s="2" t="s">
        <v>4833</v>
      </c>
      <c r="D279" s="2" t="s">
        <v>2493</v>
      </c>
      <c r="E279" s="2" t="s">
        <v>34</v>
      </c>
    </row>
    <row r="280" spans="1:5" x14ac:dyDescent="0.2">
      <c r="A280" s="2" t="s">
        <v>3299</v>
      </c>
      <c r="B280" s="2" t="s">
        <v>4832</v>
      </c>
      <c r="C280" s="2" t="s">
        <v>4833</v>
      </c>
      <c r="D280" s="2" t="s">
        <v>3295</v>
      </c>
      <c r="E280" s="2" t="s">
        <v>34</v>
      </c>
    </row>
    <row r="281" spans="1:5" x14ac:dyDescent="0.2">
      <c r="A281" s="2" t="s">
        <v>3136</v>
      </c>
      <c r="B281" s="2" t="s">
        <v>4832</v>
      </c>
      <c r="C281" s="2" t="s">
        <v>4833</v>
      </c>
      <c r="D281" s="2" t="s">
        <v>3132</v>
      </c>
      <c r="E281" s="2" t="s">
        <v>34</v>
      </c>
    </row>
    <row r="282" spans="1:5" x14ac:dyDescent="0.2">
      <c r="A282" s="2" t="s">
        <v>2390</v>
      </c>
      <c r="B282" s="2" t="s">
        <v>4832</v>
      </c>
      <c r="C282" s="2" t="s">
        <v>4833</v>
      </c>
      <c r="D282" s="2" t="s">
        <v>2385</v>
      </c>
      <c r="E282" s="2" t="s">
        <v>34</v>
      </c>
    </row>
    <row r="283" spans="1:5" x14ac:dyDescent="0.2">
      <c r="A283" s="2" t="s">
        <v>3317</v>
      </c>
      <c r="B283" s="2" t="s">
        <v>4832</v>
      </c>
      <c r="C283" s="2" t="s">
        <v>4833</v>
      </c>
      <c r="D283" s="2" t="s">
        <v>3313</v>
      </c>
      <c r="E283" s="2" t="s">
        <v>34</v>
      </c>
    </row>
    <row r="284" spans="1:5" x14ac:dyDescent="0.2">
      <c r="A284" s="2" t="s">
        <v>2612</v>
      </c>
      <c r="B284" s="2" t="s">
        <v>4832</v>
      </c>
      <c r="C284" s="2" t="s">
        <v>4833</v>
      </c>
      <c r="D284" s="2" t="s">
        <v>2609</v>
      </c>
      <c r="E284" s="2" t="s">
        <v>34</v>
      </c>
    </row>
    <row r="285" spans="1:5" x14ac:dyDescent="0.2">
      <c r="A285" s="2" t="s">
        <v>4874</v>
      </c>
      <c r="B285" s="2" t="s">
        <v>4832</v>
      </c>
      <c r="C285" s="2" t="s">
        <v>4835</v>
      </c>
      <c r="D285" s="2" t="s">
        <v>34</v>
      </c>
      <c r="E285" s="2" t="s">
        <v>34</v>
      </c>
    </row>
    <row r="286" spans="1:5" x14ac:dyDescent="0.2">
      <c r="A286" s="2" t="s">
        <v>2994</v>
      </c>
      <c r="B286" s="2" t="s">
        <v>4875</v>
      </c>
      <c r="C286" s="2" t="s">
        <v>4833</v>
      </c>
      <c r="D286" s="2" t="s">
        <v>2989</v>
      </c>
      <c r="E286" s="2" t="s">
        <v>34</v>
      </c>
    </row>
    <row r="287" spans="1:5" x14ac:dyDescent="0.2">
      <c r="A287" s="2" t="s">
        <v>4876</v>
      </c>
      <c r="B287" s="2" t="s">
        <v>4875</v>
      </c>
      <c r="C287" s="2" t="s">
        <v>4837</v>
      </c>
      <c r="D287" s="2" t="s">
        <v>34</v>
      </c>
      <c r="E287" s="2" t="s">
        <v>34</v>
      </c>
    </row>
    <row r="288" spans="1:5" x14ac:dyDescent="0.2">
      <c r="A288" s="2" t="s">
        <v>2619</v>
      </c>
      <c r="B288" s="2" t="s">
        <v>4875</v>
      </c>
      <c r="C288" s="2" t="s">
        <v>4833</v>
      </c>
      <c r="D288" s="2" t="s">
        <v>2615</v>
      </c>
      <c r="E288" s="2" t="s">
        <v>34</v>
      </c>
    </row>
    <row r="289" spans="1:5" x14ac:dyDescent="0.2">
      <c r="A289" s="2" t="s">
        <v>4654</v>
      </c>
      <c r="B289" s="2" t="s">
        <v>4875</v>
      </c>
      <c r="C289" s="2" t="s">
        <v>4833</v>
      </c>
      <c r="D289" s="2" t="s">
        <v>4651</v>
      </c>
      <c r="E289" s="2" t="s">
        <v>34</v>
      </c>
    </row>
    <row r="290" spans="1:5" x14ac:dyDescent="0.2">
      <c r="A290" s="2" t="s">
        <v>252</v>
      </c>
      <c r="B290" s="2" t="s">
        <v>4875</v>
      </c>
      <c r="C290" s="2" t="s">
        <v>4833</v>
      </c>
      <c r="D290" s="2" t="s">
        <v>246</v>
      </c>
      <c r="E290" s="2" t="s">
        <v>34</v>
      </c>
    </row>
    <row r="291" spans="1:5" x14ac:dyDescent="0.2">
      <c r="A291" s="2" t="s">
        <v>2437</v>
      </c>
      <c r="B291" s="2" t="s">
        <v>4875</v>
      </c>
      <c r="C291" s="2" t="s">
        <v>4833</v>
      </c>
      <c r="D291" s="2" t="s">
        <v>2434</v>
      </c>
      <c r="E291" s="2" t="s">
        <v>34</v>
      </c>
    </row>
    <row r="292" spans="1:5" x14ac:dyDescent="0.2">
      <c r="A292" s="2" t="s">
        <v>3662</v>
      </c>
      <c r="B292" s="2" t="s">
        <v>4875</v>
      </c>
      <c r="C292" s="2" t="s">
        <v>4833</v>
      </c>
      <c r="D292" s="2" t="s">
        <v>3658</v>
      </c>
      <c r="E292" s="2" t="s">
        <v>34</v>
      </c>
    </row>
    <row r="293" spans="1:5" x14ac:dyDescent="0.2">
      <c r="A293" s="2" t="s">
        <v>2352</v>
      </c>
      <c r="B293" s="2" t="s">
        <v>4875</v>
      </c>
      <c r="C293" s="2" t="s">
        <v>4833</v>
      </c>
      <c r="D293" s="2" t="s">
        <v>2347</v>
      </c>
      <c r="E293" s="2" t="s">
        <v>34</v>
      </c>
    </row>
    <row r="294" spans="1:5" x14ac:dyDescent="0.2">
      <c r="A294" s="2" t="s">
        <v>4877</v>
      </c>
      <c r="B294" s="2" t="s">
        <v>4875</v>
      </c>
      <c r="C294" s="2" t="s">
        <v>4837</v>
      </c>
      <c r="D294" s="2" t="s">
        <v>34</v>
      </c>
      <c r="E294" s="2" t="s">
        <v>34</v>
      </c>
    </row>
    <row r="295" spans="1:5" x14ac:dyDescent="0.2">
      <c r="A295" s="2" t="s">
        <v>3746</v>
      </c>
      <c r="B295" s="2" t="s">
        <v>4875</v>
      </c>
      <c r="C295" s="2" t="s">
        <v>4833</v>
      </c>
      <c r="D295" s="2" t="s">
        <v>3741</v>
      </c>
      <c r="E295" s="2" t="s">
        <v>34</v>
      </c>
    </row>
    <row r="296" spans="1:5" x14ac:dyDescent="0.2">
      <c r="A296" s="2" t="s">
        <v>1907</v>
      </c>
      <c r="B296" s="2" t="s">
        <v>4875</v>
      </c>
      <c r="C296" s="2" t="s">
        <v>4833</v>
      </c>
      <c r="D296" s="2" t="s">
        <v>1904</v>
      </c>
      <c r="E296" s="2" t="s">
        <v>34</v>
      </c>
    </row>
    <row r="297" spans="1:5" x14ac:dyDescent="0.2">
      <c r="A297" s="2" t="s">
        <v>1870</v>
      </c>
      <c r="B297" s="2" t="s">
        <v>4875</v>
      </c>
      <c r="C297" s="2" t="s">
        <v>4833</v>
      </c>
      <c r="D297" s="2" t="s">
        <v>1867</v>
      </c>
      <c r="E297" s="2" t="s">
        <v>34</v>
      </c>
    </row>
    <row r="298" spans="1:5" x14ac:dyDescent="0.2">
      <c r="A298" s="2" t="s">
        <v>1408</v>
      </c>
      <c r="B298" s="2" t="s">
        <v>4875</v>
      </c>
      <c r="C298" s="2" t="s">
        <v>4833</v>
      </c>
      <c r="D298" s="2" t="s">
        <v>1405</v>
      </c>
      <c r="E298" s="2" t="s">
        <v>34</v>
      </c>
    </row>
    <row r="299" spans="1:5" x14ac:dyDescent="0.2">
      <c r="A299" s="2" t="s">
        <v>945</v>
      </c>
      <c r="B299" s="2" t="s">
        <v>4875</v>
      </c>
      <c r="C299" s="2" t="s">
        <v>4833</v>
      </c>
      <c r="D299" s="2" t="s">
        <v>940</v>
      </c>
      <c r="E299" s="2" t="s">
        <v>34</v>
      </c>
    </row>
    <row r="300" spans="1:5" x14ac:dyDescent="0.2">
      <c r="A300" s="2" t="s">
        <v>237</v>
      </c>
      <c r="B300" s="2" t="s">
        <v>4875</v>
      </c>
      <c r="C300" s="2" t="s">
        <v>4833</v>
      </c>
      <c r="D300" s="2" t="s">
        <v>232</v>
      </c>
      <c r="E300" s="2" t="s">
        <v>34</v>
      </c>
    </row>
    <row r="301" spans="1:5" x14ac:dyDescent="0.2">
      <c r="A301" s="2" t="s">
        <v>2374</v>
      </c>
      <c r="B301" s="2" t="s">
        <v>4875</v>
      </c>
      <c r="C301" s="2" t="s">
        <v>4833</v>
      </c>
      <c r="D301" s="2" t="s">
        <v>2370</v>
      </c>
      <c r="E301" s="2" t="s">
        <v>34</v>
      </c>
    </row>
    <row r="302" spans="1:5" x14ac:dyDescent="0.2">
      <c r="A302" s="2" t="s">
        <v>1902</v>
      </c>
      <c r="B302" s="2" t="s">
        <v>4875</v>
      </c>
      <c r="C302" s="2" t="s">
        <v>4833</v>
      </c>
      <c r="D302" s="2" t="s">
        <v>1898</v>
      </c>
      <c r="E302" s="2" t="s">
        <v>34</v>
      </c>
    </row>
    <row r="303" spans="1:5" x14ac:dyDescent="0.2">
      <c r="A303" s="2" t="s">
        <v>2546</v>
      </c>
      <c r="B303" s="2" t="s">
        <v>4875</v>
      </c>
      <c r="C303" s="2" t="s">
        <v>4833</v>
      </c>
      <c r="D303" s="2" t="s">
        <v>2541</v>
      </c>
      <c r="E303" s="2" t="s">
        <v>34</v>
      </c>
    </row>
    <row r="304" spans="1:5" x14ac:dyDescent="0.2">
      <c r="A304" s="2" t="s">
        <v>3819</v>
      </c>
      <c r="B304" s="2" t="s">
        <v>4875</v>
      </c>
      <c r="C304" s="2" t="s">
        <v>4833</v>
      </c>
      <c r="D304" s="2" t="s">
        <v>3816</v>
      </c>
      <c r="E304" s="2" t="s">
        <v>34</v>
      </c>
    </row>
    <row r="305" spans="1:5" x14ac:dyDescent="0.2">
      <c r="A305" s="2" t="s">
        <v>4244</v>
      </c>
      <c r="B305" s="2" t="s">
        <v>4875</v>
      </c>
      <c r="C305" s="2" t="s">
        <v>4833</v>
      </c>
      <c r="D305" s="2" t="s">
        <v>4240</v>
      </c>
      <c r="E305" s="2" t="s">
        <v>34</v>
      </c>
    </row>
    <row r="306" spans="1:5" x14ac:dyDescent="0.2">
      <c r="A306" s="2" t="s">
        <v>2242</v>
      </c>
      <c r="B306" s="2" t="s">
        <v>4875</v>
      </c>
      <c r="C306" s="2" t="s">
        <v>4833</v>
      </c>
      <c r="D306" s="2" t="s">
        <v>2237</v>
      </c>
      <c r="E306" s="2" t="s">
        <v>34</v>
      </c>
    </row>
    <row r="307" spans="1:5" x14ac:dyDescent="0.2">
      <c r="A307" s="2" t="s">
        <v>4256</v>
      </c>
      <c r="B307" s="2" t="s">
        <v>4875</v>
      </c>
      <c r="C307" s="2" t="s">
        <v>4833</v>
      </c>
      <c r="D307" s="2" t="s">
        <v>4253</v>
      </c>
      <c r="E307" s="2" t="s">
        <v>34</v>
      </c>
    </row>
    <row r="308" spans="1:5" x14ac:dyDescent="0.2">
      <c r="A308" s="2" t="s">
        <v>1956</v>
      </c>
      <c r="B308" s="2" t="s">
        <v>4875</v>
      </c>
      <c r="C308" s="2" t="s">
        <v>4833</v>
      </c>
      <c r="D308" s="2" t="s">
        <v>1952</v>
      </c>
      <c r="E308" s="2" t="s">
        <v>34</v>
      </c>
    </row>
    <row r="309" spans="1:5" x14ac:dyDescent="0.2">
      <c r="A309" s="2" t="s">
        <v>3850</v>
      </c>
      <c r="B309" s="2" t="s">
        <v>4875</v>
      </c>
      <c r="C309" s="2" t="s">
        <v>4833</v>
      </c>
      <c r="D309" s="2" t="s">
        <v>3847</v>
      </c>
      <c r="E309" s="2" t="s">
        <v>34</v>
      </c>
    </row>
    <row r="310" spans="1:5" x14ac:dyDescent="0.2">
      <c r="A310" s="2" t="s">
        <v>3767</v>
      </c>
      <c r="B310" s="2" t="s">
        <v>4875</v>
      </c>
      <c r="C310" s="2" t="s">
        <v>4833</v>
      </c>
      <c r="D310" s="2" t="s">
        <v>3764</v>
      </c>
      <c r="E310" s="2" t="s">
        <v>34</v>
      </c>
    </row>
    <row r="311" spans="1:5" x14ac:dyDescent="0.2">
      <c r="A311" s="2" t="s">
        <v>2410</v>
      </c>
      <c r="B311" s="2" t="s">
        <v>4875</v>
      </c>
      <c r="C311" s="2" t="s">
        <v>4833</v>
      </c>
      <c r="D311" s="2" t="s">
        <v>2405</v>
      </c>
      <c r="E311" s="2" t="s">
        <v>34</v>
      </c>
    </row>
    <row r="312" spans="1:5" x14ac:dyDescent="0.2">
      <c r="A312" s="2" t="s">
        <v>1266</v>
      </c>
      <c r="B312" s="2" t="s">
        <v>4875</v>
      </c>
      <c r="C312" s="2" t="s">
        <v>4833</v>
      </c>
      <c r="D312" s="2" t="s">
        <v>1262</v>
      </c>
      <c r="E312" s="2" t="s">
        <v>34</v>
      </c>
    </row>
    <row r="313" spans="1:5" x14ac:dyDescent="0.2">
      <c r="A313" s="2" t="s">
        <v>3747</v>
      </c>
      <c r="B313" s="2" t="s">
        <v>4875</v>
      </c>
      <c r="C313" s="2" t="s">
        <v>4833</v>
      </c>
      <c r="D313" s="2" t="s">
        <v>3741</v>
      </c>
      <c r="E313" s="2" t="s">
        <v>34</v>
      </c>
    </row>
    <row r="314" spans="1:5" x14ac:dyDescent="0.2">
      <c r="A314" s="2" t="s">
        <v>4114</v>
      </c>
      <c r="B314" s="2" t="s">
        <v>4875</v>
      </c>
      <c r="C314" s="2" t="s">
        <v>4833</v>
      </c>
      <c r="D314" s="2" t="s">
        <v>4110</v>
      </c>
      <c r="E314" s="2" t="s">
        <v>34</v>
      </c>
    </row>
    <row r="315" spans="1:5" x14ac:dyDescent="0.2">
      <c r="A315" s="2" t="s">
        <v>4878</v>
      </c>
      <c r="B315" s="2" t="s">
        <v>4875</v>
      </c>
      <c r="C315" s="2" t="s">
        <v>4837</v>
      </c>
      <c r="D315" s="2" t="s">
        <v>34</v>
      </c>
      <c r="E315" s="2" t="s">
        <v>34</v>
      </c>
    </row>
    <row r="316" spans="1:5" x14ac:dyDescent="0.2">
      <c r="A316" s="2" t="s">
        <v>1024</v>
      </c>
      <c r="B316" s="2" t="s">
        <v>4875</v>
      </c>
      <c r="C316" s="2" t="s">
        <v>4833</v>
      </c>
      <c r="D316" s="2" t="s">
        <v>1020</v>
      </c>
      <c r="E316" s="2" t="s">
        <v>34</v>
      </c>
    </row>
    <row r="317" spans="1:5" x14ac:dyDescent="0.2">
      <c r="A317" s="2" t="s">
        <v>958</v>
      </c>
      <c r="B317" s="2" t="s">
        <v>4875</v>
      </c>
      <c r="C317" s="2" t="s">
        <v>4833</v>
      </c>
      <c r="D317" s="2" t="s">
        <v>954</v>
      </c>
      <c r="E317" s="2" t="s">
        <v>34</v>
      </c>
    </row>
    <row r="318" spans="1:5" x14ac:dyDescent="0.2">
      <c r="A318" s="2" t="s">
        <v>4202</v>
      </c>
      <c r="B318" s="2" t="s">
        <v>4875</v>
      </c>
      <c r="C318" s="2" t="s">
        <v>4833</v>
      </c>
      <c r="D318" s="2" t="s">
        <v>4199</v>
      </c>
      <c r="E318" s="2" t="s">
        <v>34</v>
      </c>
    </row>
    <row r="319" spans="1:5" x14ac:dyDescent="0.2">
      <c r="A319" s="2" t="s">
        <v>4549</v>
      </c>
      <c r="B319" s="2" t="s">
        <v>4875</v>
      </c>
      <c r="C319" s="2" t="s">
        <v>4833</v>
      </c>
      <c r="D319" s="2" t="s">
        <v>4545</v>
      </c>
      <c r="E319" s="2" t="s">
        <v>34</v>
      </c>
    </row>
    <row r="320" spans="1:5" x14ac:dyDescent="0.2">
      <c r="A320" s="2" t="s">
        <v>4879</v>
      </c>
      <c r="B320" s="2" t="s">
        <v>4875</v>
      </c>
      <c r="C320" s="2" t="s">
        <v>4835</v>
      </c>
      <c r="D320" s="2" t="s">
        <v>34</v>
      </c>
      <c r="E320" s="2" t="s">
        <v>34</v>
      </c>
    </row>
    <row r="321" spans="1:5" x14ac:dyDescent="0.2">
      <c r="A321" s="2" t="s">
        <v>2850</v>
      </c>
      <c r="B321" s="2" t="s">
        <v>4875</v>
      </c>
      <c r="C321" s="2" t="s">
        <v>4833</v>
      </c>
      <c r="D321" s="2" t="s">
        <v>2846</v>
      </c>
      <c r="E321" s="2" t="s">
        <v>34</v>
      </c>
    </row>
    <row r="322" spans="1:5" x14ac:dyDescent="0.2">
      <c r="A322" s="2" t="s">
        <v>2111</v>
      </c>
      <c r="B322" s="2" t="s">
        <v>4875</v>
      </c>
      <c r="C322" s="2" t="s">
        <v>4833</v>
      </c>
      <c r="D322" s="2" t="s">
        <v>2106</v>
      </c>
      <c r="E322" s="2" t="s">
        <v>34</v>
      </c>
    </row>
    <row r="323" spans="1:5" x14ac:dyDescent="0.2">
      <c r="A323" s="2" t="s">
        <v>4880</v>
      </c>
      <c r="B323" s="2" t="s">
        <v>4875</v>
      </c>
      <c r="C323" s="2" t="s">
        <v>4835</v>
      </c>
      <c r="D323" s="2" t="s">
        <v>34</v>
      </c>
      <c r="E323" s="2" t="s">
        <v>34</v>
      </c>
    </row>
    <row r="324" spans="1:5" x14ac:dyDescent="0.2">
      <c r="A324" s="2" t="s">
        <v>4505</v>
      </c>
      <c r="B324" s="2" t="s">
        <v>4875</v>
      </c>
      <c r="C324" s="2" t="s">
        <v>4833</v>
      </c>
      <c r="D324" s="2" t="s">
        <v>4501</v>
      </c>
      <c r="E324" s="2" t="s">
        <v>34</v>
      </c>
    </row>
    <row r="325" spans="1:5" x14ac:dyDescent="0.2">
      <c r="A325" s="2" t="s">
        <v>4881</v>
      </c>
      <c r="B325" s="2" t="s">
        <v>4875</v>
      </c>
      <c r="C325" s="2" t="s">
        <v>4837</v>
      </c>
      <c r="D325" s="2" t="s">
        <v>34</v>
      </c>
      <c r="E325" s="2" t="s">
        <v>34</v>
      </c>
    </row>
    <row r="326" spans="1:5" x14ac:dyDescent="0.2">
      <c r="A326" s="2" t="s">
        <v>4882</v>
      </c>
      <c r="B326" s="2" t="s">
        <v>4875</v>
      </c>
      <c r="C326" s="2" t="s">
        <v>4837</v>
      </c>
      <c r="D326" s="2" t="s">
        <v>34</v>
      </c>
      <c r="E326" s="2" t="s">
        <v>34</v>
      </c>
    </row>
    <row r="327" spans="1:5" x14ac:dyDescent="0.2">
      <c r="A327" s="2" t="s">
        <v>1811</v>
      </c>
      <c r="B327" s="2" t="s">
        <v>4875</v>
      </c>
      <c r="C327" s="2" t="s">
        <v>4833</v>
      </c>
      <c r="D327" s="2" t="s">
        <v>1807</v>
      </c>
      <c r="E327" s="2" t="s">
        <v>34</v>
      </c>
    </row>
    <row r="328" spans="1:5" x14ac:dyDescent="0.2">
      <c r="A328" s="2" t="s">
        <v>4883</v>
      </c>
      <c r="B328" s="2" t="s">
        <v>4875</v>
      </c>
      <c r="C328" s="2" t="s">
        <v>4835</v>
      </c>
      <c r="D328" s="2" t="s">
        <v>34</v>
      </c>
      <c r="E328" s="2" t="s">
        <v>34</v>
      </c>
    </row>
    <row r="329" spans="1:5" x14ac:dyDescent="0.2">
      <c r="A329" s="2" t="s">
        <v>4884</v>
      </c>
      <c r="B329" s="2" t="s">
        <v>4875</v>
      </c>
      <c r="C329" s="2" t="s">
        <v>4835</v>
      </c>
      <c r="D329" s="2" t="s">
        <v>34</v>
      </c>
      <c r="E329" s="2" t="s">
        <v>34</v>
      </c>
    </row>
    <row r="330" spans="1:5" x14ac:dyDescent="0.2">
      <c r="A330" s="2" t="s">
        <v>1095</v>
      </c>
      <c r="B330" s="2" t="s">
        <v>4875</v>
      </c>
      <c r="C330" s="2" t="s">
        <v>4833</v>
      </c>
      <c r="D330" s="2" t="s">
        <v>1091</v>
      </c>
      <c r="E330" s="2" t="s">
        <v>34</v>
      </c>
    </row>
    <row r="331" spans="1:5" x14ac:dyDescent="0.2">
      <c r="A331" s="2" t="s">
        <v>3716</v>
      </c>
      <c r="B331" s="2" t="s">
        <v>4875</v>
      </c>
      <c r="C331" s="2" t="s">
        <v>4833</v>
      </c>
      <c r="D331" s="2" t="s">
        <v>3713</v>
      </c>
      <c r="E331" s="2" t="s">
        <v>34</v>
      </c>
    </row>
    <row r="332" spans="1:5" x14ac:dyDescent="0.2">
      <c r="A332" s="2" t="s">
        <v>4885</v>
      </c>
      <c r="B332" s="2" t="s">
        <v>4875</v>
      </c>
      <c r="C332" s="2" t="s">
        <v>4835</v>
      </c>
      <c r="D332" s="2" t="s">
        <v>34</v>
      </c>
      <c r="E332" s="2" t="s">
        <v>34</v>
      </c>
    </row>
    <row r="333" spans="1:5" x14ac:dyDescent="0.2">
      <c r="A333" s="2" t="s">
        <v>4886</v>
      </c>
      <c r="B333" s="2" t="s">
        <v>4875</v>
      </c>
      <c r="C333" s="2" t="s">
        <v>4837</v>
      </c>
      <c r="D333" s="2" t="s">
        <v>34</v>
      </c>
      <c r="E333" s="2" t="s">
        <v>34</v>
      </c>
    </row>
    <row r="334" spans="1:5" x14ac:dyDescent="0.2">
      <c r="A334" s="2" t="s">
        <v>4197</v>
      </c>
      <c r="B334" s="2" t="s">
        <v>4875</v>
      </c>
      <c r="C334" s="2" t="s">
        <v>4833</v>
      </c>
      <c r="D334" s="2" t="s">
        <v>4193</v>
      </c>
      <c r="E334" s="2" t="s">
        <v>34</v>
      </c>
    </row>
    <row r="335" spans="1:5" x14ac:dyDescent="0.2">
      <c r="A335" s="2" t="s">
        <v>4887</v>
      </c>
      <c r="B335" s="2" t="s">
        <v>4875</v>
      </c>
      <c r="C335" s="2" t="s">
        <v>4835</v>
      </c>
      <c r="D335" s="2" t="s">
        <v>34</v>
      </c>
      <c r="E335" s="2" t="s">
        <v>34</v>
      </c>
    </row>
    <row r="336" spans="1:5" x14ac:dyDescent="0.2">
      <c r="A336" s="2" t="s">
        <v>4888</v>
      </c>
      <c r="B336" s="2" t="s">
        <v>4875</v>
      </c>
      <c r="C336" s="2" t="s">
        <v>4835</v>
      </c>
      <c r="D336" s="2" t="s">
        <v>34</v>
      </c>
      <c r="E336" s="2" t="s">
        <v>34</v>
      </c>
    </row>
    <row r="337" spans="1:5" x14ac:dyDescent="0.2">
      <c r="A337" s="2" t="s">
        <v>3018</v>
      </c>
      <c r="B337" s="2" t="s">
        <v>4875</v>
      </c>
      <c r="C337" s="2" t="s">
        <v>4833</v>
      </c>
      <c r="D337" s="2" t="s">
        <v>3014</v>
      </c>
      <c r="E337" s="2" t="s">
        <v>34</v>
      </c>
    </row>
    <row r="338" spans="1:5" x14ac:dyDescent="0.2">
      <c r="A338" s="2" t="s">
        <v>4082</v>
      </c>
      <c r="B338" s="2" t="s">
        <v>4875</v>
      </c>
      <c r="C338" s="2" t="s">
        <v>4833</v>
      </c>
      <c r="D338" s="2" t="s">
        <v>4079</v>
      </c>
      <c r="E338" s="2" t="s">
        <v>34</v>
      </c>
    </row>
    <row r="339" spans="1:5" x14ac:dyDescent="0.2">
      <c r="A339" s="2" t="s">
        <v>4584</v>
      </c>
      <c r="B339" s="2" t="s">
        <v>4875</v>
      </c>
      <c r="C339" s="2" t="s">
        <v>4833</v>
      </c>
      <c r="D339" s="2" t="s">
        <v>4581</v>
      </c>
      <c r="E339" s="2" t="s">
        <v>34</v>
      </c>
    </row>
    <row r="340" spans="1:5" x14ac:dyDescent="0.2">
      <c r="A340" s="2" t="s">
        <v>4889</v>
      </c>
      <c r="B340" s="2" t="s">
        <v>4875</v>
      </c>
      <c r="C340" s="2" t="s">
        <v>4835</v>
      </c>
      <c r="D340" s="2" t="s">
        <v>34</v>
      </c>
      <c r="E340" s="2" t="s">
        <v>34</v>
      </c>
    </row>
    <row r="341" spans="1:5" x14ac:dyDescent="0.2">
      <c r="A341" s="2" t="s">
        <v>4036</v>
      </c>
      <c r="B341" s="2" t="s">
        <v>4875</v>
      </c>
      <c r="C341" s="2" t="s">
        <v>4833</v>
      </c>
      <c r="D341" s="2" t="s">
        <v>4032</v>
      </c>
      <c r="E341" s="2" t="s">
        <v>34</v>
      </c>
    </row>
    <row r="342" spans="1:5" x14ac:dyDescent="0.2">
      <c r="A342" s="2" t="s">
        <v>4614</v>
      </c>
      <c r="B342" s="2" t="s">
        <v>4875</v>
      </c>
      <c r="C342" s="2" t="s">
        <v>4833</v>
      </c>
      <c r="D342" s="2" t="s">
        <v>4611</v>
      </c>
      <c r="E342" s="2" t="s">
        <v>34</v>
      </c>
    </row>
    <row r="343" spans="1:5" x14ac:dyDescent="0.2">
      <c r="A343" s="2" t="s">
        <v>55</v>
      </c>
      <c r="B343" s="2" t="s">
        <v>4875</v>
      </c>
      <c r="C343" s="2" t="s">
        <v>4833</v>
      </c>
      <c r="D343" s="2" t="s">
        <v>51</v>
      </c>
      <c r="E343" s="2" t="s">
        <v>34</v>
      </c>
    </row>
    <row r="344" spans="1:5" x14ac:dyDescent="0.2">
      <c r="A344" s="2" t="s">
        <v>1384</v>
      </c>
      <c r="B344" s="2" t="s">
        <v>4875</v>
      </c>
      <c r="C344" s="2" t="s">
        <v>4833</v>
      </c>
      <c r="D344" s="2" t="s">
        <v>1379</v>
      </c>
      <c r="E344" s="2" t="s">
        <v>34</v>
      </c>
    </row>
    <row r="345" spans="1:5" x14ac:dyDescent="0.2">
      <c r="A345" s="2" t="s">
        <v>3645</v>
      </c>
      <c r="B345" s="2" t="s">
        <v>4875</v>
      </c>
      <c r="C345" s="2" t="s">
        <v>4833</v>
      </c>
      <c r="D345" s="2" t="s">
        <v>3642</v>
      </c>
      <c r="E345" s="2" t="s">
        <v>34</v>
      </c>
    </row>
    <row r="346" spans="1:5" x14ac:dyDescent="0.2">
      <c r="A346" s="2" t="s">
        <v>3119</v>
      </c>
      <c r="B346" s="2" t="s">
        <v>4875</v>
      </c>
      <c r="C346" s="2" t="s">
        <v>4833</v>
      </c>
      <c r="D346" s="2" t="s">
        <v>3115</v>
      </c>
      <c r="E346" s="2" t="s">
        <v>34</v>
      </c>
    </row>
    <row r="347" spans="1:5" x14ac:dyDescent="0.2">
      <c r="A347" s="2" t="s">
        <v>3005</v>
      </c>
      <c r="B347" s="2" t="s">
        <v>4875</v>
      </c>
      <c r="C347" s="2" t="s">
        <v>4833</v>
      </c>
      <c r="D347" s="2" t="s">
        <v>3002</v>
      </c>
      <c r="E347" s="2" t="s">
        <v>34</v>
      </c>
    </row>
    <row r="348" spans="1:5" x14ac:dyDescent="0.2">
      <c r="A348" s="2" t="s">
        <v>1050</v>
      </c>
      <c r="B348" s="2" t="s">
        <v>4875</v>
      </c>
      <c r="C348" s="2" t="s">
        <v>4833</v>
      </c>
      <c r="D348" s="2" t="s">
        <v>1044</v>
      </c>
      <c r="E348" s="2" t="s">
        <v>34</v>
      </c>
    </row>
    <row r="349" spans="1:5" x14ac:dyDescent="0.2">
      <c r="A349" s="2" t="s">
        <v>970</v>
      </c>
      <c r="B349" s="2" t="s">
        <v>4875</v>
      </c>
      <c r="C349" s="2" t="s">
        <v>4833</v>
      </c>
      <c r="D349" s="2" t="s">
        <v>965</v>
      </c>
      <c r="E349" s="2" t="s">
        <v>34</v>
      </c>
    </row>
    <row r="350" spans="1:5" x14ac:dyDescent="0.2">
      <c r="A350" s="2" t="s">
        <v>2620</v>
      </c>
      <c r="B350" s="2" t="s">
        <v>4875</v>
      </c>
      <c r="C350" s="2" t="s">
        <v>4833</v>
      </c>
      <c r="D350" s="2" t="s">
        <v>2615</v>
      </c>
      <c r="E350" s="2" t="s">
        <v>34</v>
      </c>
    </row>
    <row r="351" spans="1:5" x14ac:dyDescent="0.2">
      <c r="A351" s="2" t="s">
        <v>2776</v>
      </c>
      <c r="B351" s="2" t="s">
        <v>4875</v>
      </c>
      <c r="C351" s="2" t="s">
        <v>4833</v>
      </c>
      <c r="D351" s="2" t="s">
        <v>2772</v>
      </c>
      <c r="E351" s="2" t="s">
        <v>34</v>
      </c>
    </row>
    <row r="352" spans="1:5" x14ac:dyDescent="0.2">
      <c r="A352" s="2" t="s">
        <v>4890</v>
      </c>
      <c r="B352" s="2" t="s">
        <v>4875</v>
      </c>
      <c r="C352" s="2" t="s">
        <v>4837</v>
      </c>
      <c r="D352" s="2" t="s">
        <v>34</v>
      </c>
      <c r="E352" s="2" t="s">
        <v>34</v>
      </c>
    </row>
    <row r="353" spans="1:5" x14ac:dyDescent="0.2">
      <c r="A353" s="2" t="s">
        <v>2132</v>
      </c>
      <c r="B353" s="2" t="s">
        <v>4875</v>
      </c>
      <c r="C353" s="2" t="s">
        <v>4833</v>
      </c>
      <c r="D353" s="2" t="s">
        <v>2129</v>
      </c>
      <c r="E353" s="2" t="s">
        <v>34</v>
      </c>
    </row>
    <row r="354" spans="1:5" x14ac:dyDescent="0.2">
      <c r="A354" s="2" t="s">
        <v>2518</v>
      </c>
      <c r="B354" s="2" t="s">
        <v>4875</v>
      </c>
      <c r="C354" s="2" t="s">
        <v>4833</v>
      </c>
      <c r="D354" s="2" t="s">
        <v>2513</v>
      </c>
      <c r="E354" s="2" t="s">
        <v>34</v>
      </c>
    </row>
    <row r="355" spans="1:5" x14ac:dyDescent="0.2">
      <c r="A355" s="2" t="s">
        <v>3985</v>
      </c>
      <c r="B355" s="2" t="s">
        <v>4875</v>
      </c>
      <c r="C355" s="2" t="s">
        <v>4833</v>
      </c>
      <c r="D355" s="2" t="s">
        <v>3982</v>
      </c>
      <c r="E355" s="2" t="s">
        <v>34</v>
      </c>
    </row>
    <row r="356" spans="1:5" x14ac:dyDescent="0.2">
      <c r="A356" s="2" t="s">
        <v>447</v>
      </c>
      <c r="B356" s="2" t="s">
        <v>4875</v>
      </c>
      <c r="C356" s="2" t="s">
        <v>4833</v>
      </c>
      <c r="D356" s="2" t="s">
        <v>442</v>
      </c>
      <c r="E356" s="2" t="s">
        <v>34</v>
      </c>
    </row>
    <row r="357" spans="1:5" x14ac:dyDescent="0.2">
      <c r="A357" s="2" t="s">
        <v>2793</v>
      </c>
      <c r="B357" s="2" t="s">
        <v>4875</v>
      </c>
      <c r="C357" s="2" t="s">
        <v>4833</v>
      </c>
      <c r="D357" s="2" t="s">
        <v>2789</v>
      </c>
      <c r="E357" s="2" t="s">
        <v>34</v>
      </c>
    </row>
    <row r="358" spans="1:5" x14ac:dyDescent="0.2">
      <c r="A358" s="2" t="s">
        <v>1488</v>
      </c>
      <c r="B358" s="2" t="s">
        <v>4875</v>
      </c>
      <c r="C358" s="2" t="s">
        <v>4833</v>
      </c>
      <c r="D358" s="2" t="s">
        <v>1485</v>
      </c>
      <c r="E358" s="2" t="s">
        <v>34</v>
      </c>
    </row>
    <row r="359" spans="1:5" x14ac:dyDescent="0.2">
      <c r="A359" s="2" t="s">
        <v>1607</v>
      </c>
      <c r="B359" s="2" t="s">
        <v>4875</v>
      </c>
      <c r="C359" s="2" t="s">
        <v>4833</v>
      </c>
      <c r="D359" s="2" t="s">
        <v>1602</v>
      </c>
      <c r="E359" s="2" t="s">
        <v>34</v>
      </c>
    </row>
    <row r="360" spans="1:5" x14ac:dyDescent="0.2">
      <c r="A360" s="2" t="s">
        <v>4119</v>
      </c>
      <c r="B360" s="2" t="s">
        <v>4875</v>
      </c>
      <c r="C360" s="2" t="s">
        <v>4833</v>
      </c>
      <c r="D360" s="2" t="s">
        <v>4115</v>
      </c>
      <c r="E360" s="2" t="s">
        <v>34</v>
      </c>
    </row>
    <row r="361" spans="1:5" x14ac:dyDescent="0.2">
      <c r="A361" s="2" t="s">
        <v>4057</v>
      </c>
      <c r="B361" s="2" t="s">
        <v>4875</v>
      </c>
      <c r="C361" s="2" t="s">
        <v>4833</v>
      </c>
      <c r="D361" s="2" t="s">
        <v>4053</v>
      </c>
      <c r="E361" s="2" t="s">
        <v>34</v>
      </c>
    </row>
    <row r="362" spans="1:5" x14ac:dyDescent="0.2">
      <c r="A362" s="2" t="s">
        <v>3185</v>
      </c>
      <c r="B362" s="2" t="s">
        <v>4875</v>
      </c>
      <c r="C362" s="2" t="s">
        <v>4833</v>
      </c>
      <c r="D362" s="2" t="s">
        <v>3181</v>
      </c>
      <c r="E362" s="2" t="s">
        <v>34</v>
      </c>
    </row>
    <row r="363" spans="1:5" x14ac:dyDescent="0.2">
      <c r="A363" s="2" t="s">
        <v>2151</v>
      </c>
      <c r="B363" s="2" t="s">
        <v>4875</v>
      </c>
      <c r="C363" s="2" t="s">
        <v>4833</v>
      </c>
      <c r="D363" s="2" t="s">
        <v>2146</v>
      </c>
      <c r="E363" s="2" t="s">
        <v>34</v>
      </c>
    </row>
    <row r="364" spans="1:5" x14ac:dyDescent="0.2">
      <c r="A364" s="2" t="s">
        <v>4192</v>
      </c>
      <c r="B364" s="2" t="s">
        <v>4875</v>
      </c>
      <c r="C364" s="2" t="s">
        <v>4833</v>
      </c>
      <c r="D364" s="2" t="s">
        <v>4187</v>
      </c>
      <c r="E364" s="2" t="s">
        <v>34</v>
      </c>
    </row>
    <row r="365" spans="1:5" x14ac:dyDescent="0.2">
      <c r="A365" s="2" t="s">
        <v>2625</v>
      </c>
      <c r="B365" s="2" t="s">
        <v>4875</v>
      </c>
      <c r="C365" s="2" t="s">
        <v>4833</v>
      </c>
      <c r="D365" s="2" t="s">
        <v>2621</v>
      </c>
      <c r="E365" s="2" t="s">
        <v>34</v>
      </c>
    </row>
    <row r="366" spans="1:5" x14ac:dyDescent="0.2">
      <c r="A366" s="2" t="s">
        <v>1156</v>
      </c>
      <c r="B366" s="2" t="s">
        <v>4875</v>
      </c>
      <c r="C366" s="2" t="s">
        <v>4833</v>
      </c>
      <c r="D366" s="2" t="s">
        <v>1152</v>
      </c>
      <c r="E366" s="2" t="s">
        <v>34</v>
      </c>
    </row>
    <row r="367" spans="1:5" x14ac:dyDescent="0.2">
      <c r="A367" s="2" t="s">
        <v>4891</v>
      </c>
      <c r="B367" s="2" t="s">
        <v>4875</v>
      </c>
      <c r="C367" s="2" t="s">
        <v>4835</v>
      </c>
      <c r="D367" s="2" t="s">
        <v>34</v>
      </c>
      <c r="E367" s="2" t="s">
        <v>34</v>
      </c>
    </row>
    <row r="368" spans="1:5" x14ac:dyDescent="0.2">
      <c r="A368" s="2" t="s">
        <v>535</v>
      </c>
      <c r="B368" s="2" t="s">
        <v>4875</v>
      </c>
      <c r="C368" s="2" t="s">
        <v>4833</v>
      </c>
      <c r="D368" s="2" t="s">
        <v>531</v>
      </c>
      <c r="E368" s="2" t="s">
        <v>34</v>
      </c>
    </row>
    <row r="369" spans="1:5" x14ac:dyDescent="0.2">
      <c r="A369" s="2" t="s">
        <v>4185</v>
      </c>
      <c r="B369" s="2" t="s">
        <v>4875</v>
      </c>
      <c r="C369" s="2" t="s">
        <v>4833</v>
      </c>
      <c r="D369" s="2" t="s">
        <v>4181</v>
      </c>
      <c r="E369" s="2" t="s">
        <v>34</v>
      </c>
    </row>
    <row r="370" spans="1:5" x14ac:dyDescent="0.2">
      <c r="A370" s="2" t="s">
        <v>328</v>
      </c>
      <c r="B370" s="2" t="s">
        <v>4875</v>
      </c>
      <c r="C370" s="2" t="s">
        <v>4833</v>
      </c>
      <c r="D370" s="2" t="s">
        <v>324</v>
      </c>
      <c r="E370" s="2" t="s">
        <v>34</v>
      </c>
    </row>
    <row r="371" spans="1:5" x14ac:dyDescent="0.2">
      <c r="A371" s="2" t="s">
        <v>2417</v>
      </c>
      <c r="B371" s="2" t="s">
        <v>4875</v>
      </c>
      <c r="C371" s="2" t="s">
        <v>4833</v>
      </c>
      <c r="D371" s="2" t="s">
        <v>2413</v>
      </c>
      <c r="E371" s="2" t="s">
        <v>34</v>
      </c>
    </row>
    <row r="372" spans="1:5" x14ac:dyDescent="0.2">
      <c r="A372" s="2" t="s">
        <v>2744</v>
      </c>
      <c r="B372" s="2" t="s">
        <v>4875</v>
      </c>
      <c r="C372" s="2" t="s">
        <v>4833</v>
      </c>
      <c r="D372" s="2" t="s">
        <v>2738</v>
      </c>
      <c r="E372" s="2" t="s">
        <v>34</v>
      </c>
    </row>
    <row r="373" spans="1:5" x14ac:dyDescent="0.2">
      <c r="A373" s="2" t="s">
        <v>159</v>
      </c>
      <c r="B373" s="2" t="s">
        <v>4875</v>
      </c>
      <c r="C373" s="2" t="s">
        <v>4833</v>
      </c>
      <c r="D373" s="2" t="s">
        <v>156</v>
      </c>
      <c r="E373" s="2" t="s">
        <v>34</v>
      </c>
    </row>
    <row r="374" spans="1:5" x14ac:dyDescent="0.2">
      <c r="A374" s="2" t="s">
        <v>3886</v>
      </c>
      <c r="B374" s="2" t="s">
        <v>4875</v>
      </c>
      <c r="C374" s="2" t="s">
        <v>4833</v>
      </c>
      <c r="D374" s="2" t="s">
        <v>3883</v>
      </c>
      <c r="E374" s="2" t="s">
        <v>34</v>
      </c>
    </row>
    <row r="375" spans="1:5" x14ac:dyDescent="0.2">
      <c r="A375" s="2" t="s">
        <v>459</v>
      </c>
      <c r="B375" s="2" t="s">
        <v>4875</v>
      </c>
      <c r="C375" s="2" t="s">
        <v>4833</v>
      </c>
      <c r="D375" s="2" t="s">
        <v>454</v>
      </c>
      <c r="E375" s="2" t="s">
        <v>34</v>
      </c>
    </row>
    <row r="376" spans="1:5" x14ac:dyDescent="0.2">
      <c r="A376" s="2" t="s">
        <v>119</v>
      </c>
      <c r="B376" s="2" t="s">
        <v>4875</v>
      </c>
      <c r="C376" s="2" t="s">
        <v>4833</v>
      </c>
      <c r="D376" s="2" t="s">
        <v>112</v>
      </c>
      <c r="E376" s="2" t="s">
        <v>34</v>
      </c>
    </row>
    <row r="377" spans="1:5" x14ac:dyDescent="0.2">
      <c r="A377" s="2" t="s">
        <v>4646</v>
      </c>
      <c r="B377" s="2" t="s">
        <v>4875</v>
      </c>
      <c r="C377" s="2" t="s">
        <v>4833</v>
      </c>
      <c r="D377" s="2" t="s">
        <v>4642</v>
      </c>
      <c r="E377" s="2" t="s">
        <v>34</v>
      </c>
    </row>
    <row r="378" spans="1:5" x14ac:dyDescent="0.2">
      <c r="A378" s="2" t="s">
        <v>1944</v>
      </c>
      <c r="B378" s="2" t="s">
        <v>4875</v>
      </c>
      <c r="C378" s="2" t="s">
        <v>4833</v>
      </c>
      <c r="D378" s="2" t="s">
        <v>1939</v>
      </c>
      <c r="E378" s="2" t="s">
        <v>34</v>
      </c>
    </row>
    <row r="379" spans="1:5" x14ac:dyDescent="0.2">
      <c r="A379" s="2" t="s">
        <v>2891</v>
      </c>
      <c r="B379" s="2" t="s">
        <v>4875</v>
      </c>
      <c r="C379" s="2" t="s">
        <v>4833</v>
      </c>
      <c r="D379" s="2" t="s">
        <v>2887</v>
      </c>
      <c r="E379" s="2" t="s">
        <v>34</v>
      </c>
    </row>
    <row r="380" spans="1:5" x14ac:dyDescent="0.2">
      <c r="A380" s="2" t="s">
        <v>964</v>
      </c>
      <c r="B380" s="2" t="s">
        <v>4875</v>
      </c>
      <c r="C380" s="2" t="s">
        <v>4833</v>
      </c>
      <c r="D380" s="2" t="s">
        <v>959</v>
      </c>
      <c r="E380" s="2" t="s">
        <v>34</v>
      </c>
    </row>
    <row r="381" spans="1:5" x14ac:dyDescent="0.2">
      <c r="A381" s="2" t="s">
        <v>2787</v>
      </c>
      <c r="B381" s="2" t="s">
        <v>4875</v>
      </c>
      <c r="C381" s="2" t="s">
        <v>4833</v>
      </c>
      <c r="D381" s="2" t="s">
        <v>2784</v>
      </c>
      <c r="E381" s="2" t="s">
        <v>34</v>
      </c>
    </row>
    <row r="382" spans="1:5" x14ac:dyDescent="0.2">
      <c r="A382" s="2" t="s">
        <v>4488</v>
      </c>
      <c r="B382" s="2" t="s">
        <v>4875</v>
      </c>
      <c r="C382" s="2" t="s">
        <v>4833</v>
      </c>
      <c r="D382" s="2" t="s">
        <v>4485</v>
      </c>
      <c r="E382" s="2" t="s">
        <v>34</v>
      </c>
    </row>
    <row r="383" spans="1:5" x14ac:dyDescent="0.2">
      <c r="A383" s="2" t="s">
        <v>1355</v>
      </c>
      <c r="B383" s="2" t="s">
        <v>4875</v>
      </c>
      <c r="C383" s="2" t="s">
        <v>4833</v>
      </c>
      <c r="D383" s="2" t="s">
        <v>1351</v>
      </c>
      <c r="E383" s="2" t="s">
        <v>34</v>
      </c>
    </row>
    <row r="384" spans="1:5" x14ac:dyDescent="0.2">
      <c r="A384" s="2" t="s">
        <v>931</v>
      </c>
      <c r="B384" s="2" t="s">
        <v>4875</v>
      </c>
      <c r="C384" s="2" t="s">
        <v>4833</v>
      </c>
      <c r="D384" s="2" t="s">
        <v>927</v>
      </c>
      <c r="E384" s="2" t="s">
        <v>34</v>
      </c>
    </row>
    <row r="385" spans="1:5" x14ac:dyDescent="0.2">
      <c r="A385" s="2" t="s">
        <v>2022</v>
      </c>
      <c r="B385" s="2" t="s">
        <v>4875</v>
      </c>
      <c r="C385" s="2" t="s">
        <v>4833</v>
      </c>
      <c r="D385" s="2" t="s">
        <v>2019</v>
      </c>
      <c r="E385" s="2" t="s">
        <v>34</v>
      </c>
    </row>
    <row r="386" spans="1:5" x14ac:dyDescent="0.2">
      <c r="A386" s="2" t="s">
        <v>2837</v>
      </c>
      <c r="B386" s="2" t="s">
        <v>4875</v>
      </c>
      <c r="C386" s="2" t="s">
        <v>4833</v>
      </c>
      <c r="D386" s="2" t="s">
        <v>2832</v>
      </c>
      <c r="E386" s="2" t="s">
        <v>34</v>
      </c>
    </row>
    <row r="387" spans="1:5" x14ac:dyDescent="0.2">
      <c r="A387" s="2" t="s">
        <v>566</v>
      </c>
      <c r="B387" s="2" t="s">
        <v>4875</v>
      </c>
      <c r="C387" s="2" t="s">
        <v>4833</v>
      </c>
      <c r="D387" s="2" t="s">
        <v>561</v>
      </c>
      <c r="E387" s="2" t="s">
        <v>34</v>
      </c>
    </row>
    <row r="388" spans="1:5" x14ac:dyDescent="0.2">
      <c r="A388" s="2" t="s">
        <v>1343</v>
      </c>
      <c r="B388" s="2" t="s">
        <v>4875</v>
      </c>
      <c r="C388" s="2" t="s">
        <v>4833</v>
      </c>
      <c r="D388" s="2" t="s">
        <v>1338</v>
      </c>
      <c r="E388" s="2" t="s">
        <v>34</v>
      </c>
    </row>
    <row r="389" spans="1:5" x14ac:dyDescent="0.2">
      <c r="A389" s="2" t="s">
        <v>1859</v>
      </c>
      <c r="B389" s="2" t="s">
        <v>4875</v>
      </c>
      <c r="C389" s="2" t="s">
        <v>4833</v>
      </c>
      <c r="D389" s="2" t="s">
        <v>1855</v>
      </c>
      <c r="E389" s="2" t="s">
        <v>34</v>
      </c>
    </row>
    <row r="390" spans="1:5" x14ac:dyDescent="0.2">
      <c r="A390" s="2" t="s">
        <v>4544</v>
      </c>
      <c r="B390" s="2" t="s">
        <v>4875</v>
      </c>
      <c r="C390" s="2" t="s">
        <v>4833</v>
      </c>
      <c r="D390" s="2" t="s">
        <v>4540</v>
      </c>
      <c r="E390" s="2" t="s">
        <v>34</v>
      </c>
    </row>
    <row r="391" spans="1:5" x14ac:dyDescent="0.2">
      <c r="A391" s="2" t="s">
        <v>4721</v>
      </c>
      <c r="B391" s="2" t="s">
        <v>4875</v>
      </c>
      <c r="C391" s="2" t="s">
        <v>4833</v>
      </c>
      <c r="D391" s="2" t="s">
        <v>4716</v>
      </c>
      <c r="E391" s="2" t="s">
        <v>34</v>
      </c>
    </row>
    <row r="392" spans="1:5" x14ac:dyDescent="0.2">
      <c r="A392" s="2" t="s">
        <v>1864</v>
      </c>
      <c r="B392" s="2" t="s">
        <v>4875</v>
      </c>
      <c r="C392" s="2" t="s">
        <v>4833</v>
      </c>
      <c r="D392" s="2" t="s">
        <v>1860</v>
      </c>
      <c r="E392" s="2" t="s">
        <v>34</v>
      </c>
    </row>
    <row r="393" spans="1:5" x14ac:dyDescent="0.2">
      <c r="A393" s="2" t="s">
        <v>4151</v>
      </c>
      <c r="B393" s="2" t="s">
        <v>4875</v>
      </c>
      <c r="C393" s="2" t="s">
        <v>4833</v>
      </c>
      <c r="D393" s="2" t="s">
        <v>4148</v>
      </c>
      <c r="E393" s="2" t="s">
        <v>34</v>
      </c>
    </row>
    <row r="394" spans="1:5" x14ac:dyDescent="0.2">
      <c r="A394" s="2" t="s">
        <v>4671</v>
      </c>
      <c r="B394" s="2" t="s">
        <v>4875</v>
      </c>
      <c r="C394" s="2" t="s">
        <v>4833</v>
      </c>
      <c r="D394" s="2" t="s">
        <v>4668</v>
      </c>
      <c r="E394" s="2" t="s">
        <v>34</v>
      </c>
    </row>
    <row r="395" spans="1:5" x14ac:dyDescent="0.2">
      <c r="A395" s="2" t="s">
        <v>4892</v>
      </c>
      <c r="B395" s="2" t="s">
        <v>4875</v>
      </c>
      <c r="C395" s="2" t="s">
        <v>4835</v>
      </c>
      <c r="D395" s="2" t="s">
        <v>34</v>
      </c>
      <c r="E395" s="2" t="s">
        <v>34</v>
      </c>
    </row>
    <row r="396" spans="1:5" x14ac:dyDescent="0.2">
      <c r="A396" s="2" t="s">
        <v>3959</v>
      </c>
      <c r="B396" s="2" t="s">
        <v>4875</v>
      </c>
      <c r="C396" s="2" t="s">
        <v>4833</v>
      </c>
      <c r="D396" s="2" t="s">
        <v>3954</v>
      </c>
      <c r="E396" s="2" t="s">
        <v>34</v>
      </c>
    </row>
    <row r="397" spans="1:5" x14ac:dyDescent="0.2">
      <c r="A397" s="2" t="s">
        <v>435</v>
      </c>
      <c r="B397" s="2" t="s">
        <v>4875</v>
      </c>
      <c r="C397" s="2" t="s">
        <v>4833</v>
      </c>
      <c r="D397" s="2" t="s">
        <v>429</v>
      </c>
      <c r="E397" s="2" t="s">
        <v>34</v>
      </c>
    </row>
    <row r="398" spans="1:5" x14ac:dyDescent="0.2">
      <c r="A398" s="2" t="s">
        <v>1293</v>
      </c>
      <c r="B398" s="2" t="s">
        <v>4875</v>
      </c>
      <c r="C398" s="2" t="s">
        <v>4833</v>
      </c>
      <c r="D398" s="2" t="s">
        <v>1290</v>
      </c>
      <c r="E398" s="2" t="s">
        <v>34</v>
      </c>
    </row>
    <row r="399" spans="1:5" x14ac:dyDescent="0.2">
      <c r="A399" s="2" t="s">
        <v>1624</v>
      </c>
      <c r="B399" s="2" t="s">
        <v>4875</v>
      </c>
      <c r="C399" s="2" t="s">
        <v>4833</v>
      </c>
      <c r="D399" s="2" t="s">
        <v>1618</v>
      </c>
      <c r="E399" s="2" t="s">
        <v>34</v>
      </c>
    </row>
    <row r="400" spans="1:5" x14ac:dyDescent="0.2">
      <c r="A400" s="2" t="s">
        <v>3214</v>
      </c>
      <c r="B400" s="2" t="s">
        <v>4875</v>
      </c>
      <c r="C400" s="2" t="s">
        <v>4833</v>
      </c>
      <c r="D400" s="2" t="s">
        <v>3211</v>
      </c>
      <c r="E400" s="2" t="s">
        <v>34</v>
      </c>
    </row>
    <row r="401" spans="1:5" x14ac:dyDescent="0.2">
      <c r="A401" s="2" t="s">
        <v>3179</v>
      </c>
      <c r="B401" s="2" t="s">
        <v>4875</v>
      </c>
      <c r="C401" s="2" t="s">
        <v>4833</v>
      </c>
      <c r="D401" s="2" t="s">
        <v>3176</v>
      </c>
      <c r="E401" s="2" t="s">
        <v>34</v>
      </c>
    </row>
    <row r="402" spans="1:5" x14ac:dyDescent="0.2">
      <c r="A402" s="2" t="s">
        <v>1366</v>
      </c>
      <c r="B402" s="2" t="s">
        <v>4875</v>
      </c>
      <c r="C402" s="2" t="s">
        <v>4833</v>
      </c>
      <c r="D402" s="2" t="s">
        <v>1362</v>
      </c>
      <c r="E402" s="2" t="s">
        <v>34</v>
      </c>
    </row>
    <row r="403" spans="1:5" x14ac:dyDescent="0.2">
      <c r="A403" s="2" t="s">
        <v>1617</v>
      </c>
      <c r="B403" s="2" t="s">
        <v>4875</v>
      </c>
      <c r="C403" s="2" t="s">
        <v>4833</v>
      </c>
      <c r="D403" s="2" t="s">
        <v>1613</v>
      </c>
      <c r="E403" s="2" t="s">
        <v>34</v>
      </c>
    </row>
    <row r="404" spans="1:5" x14ac:dyDescent="0.2">
      <c r="A404" s="2" t="s">
        <v>1299</v>
      </c>
      <c r="B404" s="2" t="s">
        <v>4875</v>
      </c>
      <c r="C404" s="2" t="s">
        <v>4833</v>
      </c>
      <c r="D404" s="2" t="s">
        <v>1295</v>
      </c>
      <c r="E404" s="2" t="s">
        <v>34</v>
      </c>
    </row>
    <row r="405" spans="1:5" x14ac:dyDescent="0.2">
      <c r="A405" s="2" t="s">
        <v>3073</v>
      </c>
      <c r="B405" s="2" t="s">
        <v>4875</v>
      </c>
      <c r="C405" s="2" t="s">
        <v>4833</v>
      </c>
      <c r="D405" s="2" t="s">
        <v>3068</v>
      </c>
      <c r="E405" s="2" t="s">
        <v>34</v>
      </c>
    </row>
    <row r="406" spans="1:5" x14ac:dyDescent="0.2">
      <c r="A406" s="2" t="s">
        <v>1335</v>
      </c>
      <c r="B406" s="2" t="s">
        <v>4875</v>
      </c>
      <c r="C406" s="2" t="s">
        <v>4833</v>
      </c>
      <c r="D406" s="2" t="s">
        <v>1331</v>
      </c>
      <c r="E406" s="2" t="s">
        <v>34</v>
      </c>
    </row>
    <row r="407" spans="1:5" x14ac:dyDescent="0.2">
      <c r="A407" s="2" t="s">
        <v>2116</v>
      </c>
      <c r="B407" s="2" t="s">
        <v>4875</v>
      </c>
      <c r="C407" s="2" t="s">
        <v>4833</v>
      </c>
      <c r="D407" s="2" t="s">
        <v>2112</v>
      </c>
      <c r="E407" s="2" t="s">
        <v>34</v>
      </c>
    </row>
    <row r="408" spans="1:5" x14ac:dyDescent="0.2">
      <c r="A408" s="2" t="s">
        <v>2836</v>
      </c>
      <c r="B408" s="2" t="s">
        <v>4875</v>
      </c>
      <c r="C408" s="2" t="s">
        <v>4833</v>
      </c>
      <c r="D408" s="2" t="s">
        <v>2832</v>
      </c>
      <c r="E408" s="2" t="s">
        <v>34</v>
      </c>
    </row>
    <row r="409" spans="1:5" x14ac:dyDescent="0.2">
      <c r="A409" s="2" t="s">
        <v>4893</v>
      </c>
      <c r="B409" s="2" t="s">
        <v>4875</v>
      </c>
      <c r="C409" s="2" t="s">
        <v>4837</v>
      </c>
      <c r="D409" s="2" t="s">
        <v>34</v>
      </c>
      <c r="E409" s="2" t="s">
        <v>34</v>
      </c>
    </row>
    <row r="410" spans="1:5" x14ac:dyDescent="0.2">
      <c r="A410" s="2" t="s">
        <v>4087</v>
      </c>
      <c r="B410" s="2" t="s">
        <v>4875</v>
      </c>
      <c r="C410" s="2" t="s">
        <v>4833</v>
      </c>
      <c r="D410" s="2" t="s">
        <v>4084</v>
      </c>
      <c r="E410" s="2" t="s">
        <v>34</v>
      </c>
    </row>
    <row r="411" spans="1:5" x14ac:dyDescent="0.2">
      <c r="A411" s="2" t="s">
        <v>4046</v>
      </c>
      <c r="B411" s="2" t="s">
        <v>4875</v>
      </c>
      <c r="C411" s="2" t="s">
        <v>4833</v>
      </c>
      <c r="D411" s="2" t="s">
        <v>4042</v>
      </c>
      <c r="E411" s="2" t="s">
        <v>34</v>
      </c>
    </row>
    <row r="412" spans="1:5" x14ac:dyDescent="0.2">
      <c r="A412" s="2" t="s">
        <v>2309</v>
      </c>
      <c r="B412" s="2" t="s">
        <v>4875</v>
      </c>
      <c r="C412" s="2" t="s">
        <v>4833</v>
      </c>
      <c r="D412" s="2" t="s">
        <v>2305</v>
      </c>
      <c r="E412" s="2" t="s">
        <v>34</v>
      </c>
    </row>
    <row r="413" spans="1:5" x14ac:dyDescent="0.2">
      <c r="A413" s="2" t="s">
        <v>4894</v>
      </c>
      <c r="B413" s="2" t="s">
        <v>4875</v>
      </c>
      <c r="C413" s="2" t="s">
        <v>4835</v>
      </c>
      <c r="D413" s="2" t="s">
        <v>34</v>
      </c>
      <c r="E413" s="2" t="s">
        <v>34</v>
      </c>
    </row>
    <row r="414" spans="1:5" x14ac:dyDescent="0.2">
      <c r="A414" s="2" t="s">
        <v>3828</v>
      </c>
      <c r="B414" s="2" t="s">
        <v>4875</v>
      </c>
      <c r="C414" s="2" t="s">
        <v>4833</v>
      </c>
      <c r="D414" s="2" t="s">
        <v>3824</v>
      </c>
      <c r="E414" s="2" t="s">
        <v>34</v>
      </c>
    </row>
    <row r="415" spans="1:5" x14ac:dyDescent="0.2">
      <c r="A415" s="2" t="s">
        <v>1248</v>
      </c>
      <c r="B415" s="2" t="s">
        <v>4875</v>
      </c>
      <c r="C415" s="2" t="s">
        <v>4833</v>
      </c>
      <c r="D415" s="2" t="s">
        <v>1242</v>
      </c>
      <c r="E415" s="2" t="s">
        <v>34</v>
      </c>
    </row>
    <row r="416" spans="1:5" x14ac:dyDescent="0.2">
      <c r="A416" s="2" t="s">
        <v>3106</v>
      </c>
      <c r="B416" s="2" t="s">
        <v>4875</v>
      </c>
      <c r="C416" s="2" t="s">
        <v>4833</v>
      </c>
      <c r="D416" s="2" t="s">
        <v>3102</v>
      </c>
      <c r="E416" s="2" t="s">
        <v>34</v>
      </c>
    </row>
    <row r="417" spans="1:5" x14ac:dyDescent="0.2">
      <c r="A417" s="2" t="s">
        <v>3763</v>
      </c>
      <c r="B417" s="2" t="s">
        <v>4875</v>
      </c>
      <c r="C417" s="2" t="s">
        <v>4833</v>
      </c>
      <c r="D417" s="2" t="s">
        <v>3758</v>
      </c>
      <c r="E417" s="2" t="s">
        <v>34</v>
      </c>
    </row>
    <row r="418" spans="1:5" x14ac:dyDescent="0.2">
      <c r="A418" s="2" t="s">
        <v>4895</v>
      </c>
      <c r="B418" s="2" t="s">
        <v>4875</v>
      </c>
      <c r="C418" s="2" t="s">
        <v>4835</v>
      </c>
      <c r="D418" s="2" t="s">
        <v>34</v>
      </c>
      <c r="E418" s="2" t="s">
        <v>34</v>
      </c>
    </row>
    <row r="419" spans="1:5" x14ac:dyDescent="0.2">
      <c r="A419" s="2" t="s">
        <v>3243</v>
      </c>
      <c r="B419" s="2" t="s">
        <v>4875</v>
      </c>
      <c r="C419" s="2" t="s">
        <v>4833</v>
      </c>
      <c r="D419" s="2" t="s">
        <v>3239</v>
      </c>
      <c r="E419" s="2" t="s">
        <v>34</v>
      </c>
    </row>
    <row r="420" spans="1:5" x14ac:dyDescent="0.2">
      <c r="A420" s="2" t="s">
        <v>4450</v>
      </c>
      <c r="B420" s="2" t="s">
        <v>4875</v>
      </c>
      <c r="C420" s="2" t="s">
        <v>4833</v>
      </c>
      <c r="D420" s="2" t="s">
        <v>4446</v>
      </c>
      <c r="E420" s="2" t="s">
        <v>34</v>
      </c>
    </row>
    <row r="421" spans="1:5" x14ac:dyDescent="0.2">
      <c r="A421" s="2" t="s">
        <v>389</v>
      </c>
      <c r="B421" s="2" t="s">
        <v>4875</v>
      </c>
      <c r="C421" s="2" t="s">
        <v>4833</v>
      </c>
      <c r="D421" s="2" t="s">
        <v>384</v>
      </c>
      <c r="E421" s="2" t="s">
        <v>34</v>
      </c>
    </row>
    <row r="422" spans="1:5" x14ac:dyDescent="0.2">
      <c r="A422" s="2" t="s">
        <v>1881</v>
      </c>
      <c r="B422" s="2" t="s">
        <v>4875</v>
      </c>
      <c r="C422" s="2" t="s">
        <v>4833</v>
      </c>
      <c r="D422" s="2" t="s">
        <v>1877</v>
      </c>
      <c r="E422" s="2" t="s">
        <v>34</v>
      </c>
    </row>
    <row r="423" spans="1:5" x14ac:dyDescent="0.2">
      <c r="A423" s="2" t="s">
        <v>1646</v>
      </c>
      <c r="B423" s="2" t="s">
        <v>4875</v>
      </c>
      <c r="C423" s="2" t="s">
        <v>4833</v>
      </c>
      <c r="D423" s="2" t="s">
        <v>1643</v>
      </c>
      <c r="E423" s="2" t="s">
        <v>34</v>
      </c>
    </row>
    <row r="424" spans="1:5" x14ac:dyDescent="0.2">
      <c r="A424" s="2" t="s">
        <v>2018</v>
      </c>
      <c r="B424" s="2" t="s">
        <v>4875</v>
      </c>
      <c r="C424" s="2" t="s">
        <v>4833</v>
      </c>
      <c r="D424" s="2" t="s">
        <v>2012</v>
      </c>
      <c r="E424" s="2" t="s">
        <v>34</v>
      </c>
    </row>
    <row r="425" spans="1:5" x14ac:dyDescent="0.2">
      <c r="A425" s="2" t="s">
        <v>2052</v>
      </c>
      <c r="B425" s="2" t="s">
        <v>4875</v>
      </c>
      <c r="C425" s="2" t="s">
        <v>4833</v>
      </c>
      <c r="D425" s="2" t="s">
        <v>2049</v>
      </c>
      <c r="E425" s="2" t="s">
        <v>34</v>
      </c>
    </row>
    <row r="426" spans="1:5" x14ac:dyDescent="0.2">
      <c r="A426" s="2" t="s">
        <v>3580</v>
      </c>
      <c r="B426" s="2" t="s">
        <v>4875</v>
      </c>
      <c r="C426" s="2" t="s">
        <v>4833</v>
      </c>
      <c r="D426" s="2" t="s">
        <v>3577</v>
      </c>
      <c r="E426" s="2" t="s">
        <v>34</v>
      </c>
    </row>
    <row r="427" spans="1:5" x14ac:dyDescent="0.2">
      <c r="A427" s="2" t="s">
        <v>4896</v>
      </c>
      <c r="B427" s="2" t="s">
        <v>4875</v>
      </c>
      <c r="C427" s="2" t="s">
        <v>4837</v>
      </c>
      <c r="D427" s="2" t="s">
        <v>34</v>
      </c>
      <c r="E427" s="2" t="s">
        <v>34</v>
      </c>
    </row>
    <row r="428" spans="1:5" x14ac:dyDescent="0.2">
      <c r="A428" s="2" t="s">
        <v>2261</v>
      </c>
      <c r="B428" s="2" t="s">
        <v>4875</v>
      </c>
      <c r="C428" s="2" t="s">
        <v>4833</v>
      </c>
      <c r="D428" s="2" t="s">
        <v>2256</v>
      </c>
      <c r="E428" s="2" t="s">
        <v>34</v>
      </c>
    </row>
    <row r="429" spans="1:5" x14ac:dyDescent="0.2">
      <c r="A429" s="2" t="s">
        <v>1043</v>
      </c>
      <c r="B429" s="2" t="s">
        <v>4875</v>
      </c>
      <c r="C429" s="2" t="s">
        <v>4833</v>
      </c>
      <c r="D429" s="2" t="s">
        <v>1038</v>
      </c>
      <c r="E429" s="2" t="s">
        <v>34</v>
      </c>
    </row>
    <row r="430" spans="1:5" x14ac:dyDescent="0.2">
      <c r="A430" s="2" t="s">
        <v>1913</v>
      </c>
      <c r="B430" s="2" t="s">
        <v>4875</v>
      </c>
      <c r="C430" s="2" t="s">
        <v>4833</v>
      </c>
      <c r="D430" s="2" t="s">
        <v>1908</v>
      </c>
      <c r="E430" s="2" t="s">
        <v>34</v>
      </c>
    </row>
    <row r="431" spans="1:5" x14ac:dyDescent="0.2">
      <c r="A431" s="2" t="s">
        <v>4897</v>
      </c>
      <c r="B431" s="2" t="s">
        <v>4875</v>
      </c>
      <c r="C431" s="2" t="s">
        <v>4837</v>
      </c>
      <c r="D431" s="2" t="s">
        <v>34</v>
      </c>
      <c r="E431" s="2" t="s">
        <v>34</v>
      </c>
    </row>
    <row r="432" spans="1:5" x14ac:dyDescent="0.2">
      <c r="A432" s="2" t="s">
        <v>4221</v>
      </c>
      <c r="B432" s="2" t="s">
        <v>4875</v>
      </c>
      <c r="C432" s="2" t="s">
        <v>4833</v>
      </c>
      <c r="D432" s="2" t="s">
        <v>4218</v>
      </c>
      <c r="E432" s="2" t="s">
        <v>34</v>
      </c>
    </row>
    <row r="433" spans="1:5" x14ac:dyDescent="0.2">
      <c r="A433" s="2" t="s">
        <v>4325</v>
      </c>
      <c r="B433" s="2" t="s">
        <v>4875</v>
      </c>
      <c r="C433" s="2" t="s">
        <v>4833</v>
      </c>
      <c r="D433" s="2" t="s">
        <v>4321</v>
      </c>
      <c r="E433" s="2" t="s">
        <v>34</v>
      </c>
    </row>
    <row r="434" spans="1:5" x14ac:dyDescent="0.2">
      <c r="A434" s="2" t="s">
        <v>4898</v>
      </c>
      <c r="B434" s="2" t="s">
        <v>4875</v>
      </c>
      <c r="C434" s="2" t="s">
        <v>4835</v>
      </c>
      <c r="D434" s="2" t="s">
        <v>34</v>
      </c>
      <c r="E434" s="2" t="s">
        <v>34</v>
      </c>
    </row>
    <row r="435" spans="1:5" x14ac:dyDescent="0.2">
      <c r="A435" s="2" t="s">
        <v>4899</v>
      </c>
      <c r="B435" s="2" t="s">
        <v>4875</v>
      </c>
      <c r="C435" s="2" t="s">
        <v>4837</v>
      </c>
      <c r="D435" s="2" t="s">
        <v>34</v>
      </c>
      <c r="E435" s="2" t="s">
        <v>34</v>
      </c>
    </row>
    <row r="436" spans="1:5" x14ac:dyDescent="0.2">
      <c r="A436" s="2" t="s">
        <v>776</v>
      </c>
      <c r="B436" s="2" t="s">
        <v>4875</v>
      </c>
      <c r="C436" s="2" t="s">
        <v>4833</v>
      </c>
      <c r="D436" s="2" t="s">
        <v>773</v>
      </c>
      <c r="E436" s="2" t="s">
        <v>34</v>
      </c>
    </row>
    <row r="437" spans="1:5" x14ac:dyDescent="0.2">
      <c r="A437" s="2" t="s">
        <v>4900</v>
      </c>
      <c r="B437" s="2" t="s">
        <v>4875</v>
      </c>
      <c r="C437" s="2" t="s">
        <v>4837</v>
      </c>
      <c r="D437" s="2" t="s">
        <v>34</v>
      </c>
      <c r="E437" s="2" t="s">
        <v>34</v>
      </c>
    </row>
    <row r="438" spans="1:5" x14ac:dyDescent="0.2">
      <c r="A438" s="2" t="s">
        <v>4401</v>
      </c>
      <c r="B438" s="2" t="s">
        <v>4875</v>
      </c>
      <c r="C438" s="2" t="s">
        <v>4833</v>
      </c>
      <c r="D438" s="2" t="s">
        <v>4397</v>
      </c>
      <c r="E438" s="2" t="s">
        <v>34</v>
      </c>
    </row>
    <row r="439" spans="1:5" x14ac:dyDescent="0.2">
      <c r="A439" s="2" t="s">
        <v>4596</v>
      </c>
      <c r="B439" s="2" t="s">
        <v>4875</v>
      </c>
      <c r="C439" s="2" t="s">
        <v>4833</v>
      </c>
      <c r="D439" s="2" t="s">
        <v>4593</v>
      </c>
      <c r="E439" s="2" t="s">
        <v>34</v>
      </c>
    </row>
    <row r="440" spans="1:5" x14ac:dyDescent="0.2">
      <c r="A440" s="2" t="s">
        <v>4752</v>
      </c>
      <c r="B440" s="2" t="s">
        <v>4875</v>
      </c>
      <c r="C440" s="2" t="s">
        <v>4833</v>
      </c>
      <c r="D440" s="2" t="s">
        <v>4749</v>
      </c>
      <c r="E440" s="2" t="s">
        <v>34</v>
      </c>
    </row>
    <row r="441" spans="1:5" x14ac:dyDescent="0.2">
      <c r="A441" s="2" t="s">
        <v>2241</v>
      </c>
      <c r="B441" s="2" t="s">
        <v>4875</v>
      </c>
      <c r="C441" s="2" t="s">
        <v>4833</v>
      </c>
      <c r="D441" s="2" t="s">
        <v>2237</v>
      </c>
      <c r="E441" s="2" t="s">
        <v>34</v>
      </c>
    </row>
    <row r="442" spans="1:5" x14ac:dyDescent="0.2">
      <c r="A442" s="2" t="s">
        <v>4901</v>
      </c>
      <c r="B442" s="2" t="s">
        <v>4875</v>
      </c>
      <c r="C442" s="2" t="s">
        <v>4835</v>
      </c>
      <c r="D442" s="2" t="s">
        <v>34</v>
      </c>
      <c r="E442" s="2" t="s">
        <v>34</v>
      </c>
    </row>
    <row r="443" spans="1:5" x14ac:dyDescent="0.2">
      <c r="A443" s="2" t="s">
        <v>3881</v>
      </c>
      <c r="B443" s="2" t="s">
        <v>4875</v>
      </c>
      <c r="C443" s="2" t="s">
        <v>4833</v>
      </c>
      <c r="D443" s="2" t="s">
        <v>3875</v>
      </c>
      <c r="E443" s="2" t="s">
        <v>34</v>
      </c>
    </row>
    <row r="444" spans="1:5" x14ac:dyDescent="0.2">
      <c r="A444" s="2" t="s">
        <v>708</v>
      </c>
      <c r="B444" s="2" t="s">
        <v>4875</v>
      </c>
      <c r="C444" s="2" t="s">
        <v>4833</v>
      </c>
      <c r="D444" s="2" t="s">
        <v>703</v>
      </c>
      <c r="E444" s="2" t="s">
        <v>34</v>
      </c>
    </row>
    <row r="445" spans="1:5" x14ac:dyDescent="0.2">
      <c r="A445" s="2" t="s">
        <v>2749</v>
      </c>
      <c r="B445" s="2" t="s">
        <v>4875</v>
      </c>
      <c r="C445" s="2" t="s">
        <v>4833</v>
      </c>
      <c r="D445" s="2" t="s">
        <v>2746</v>
      </c>
      <c r="E445" s="2" t="s">
        <v>34</v>
      </c>
    </row>
    <row r="446" spans="1:5" x14ac:dyDescent="0.2">
      <c r="A446" s="2" t="s">
        <v>3992</v>
      </c>
      <c r="B446" s="2" t="s">
        <v>4875</v>
      </c>
      <c r="C446" s="2" t="s">
        <v>4833</v>
      </c>
      <c r="D446" s="2" t="s">
        <v>3987</v>
      </c>
      <c r="E446" s="2" t="s">
        <v>34</v>
      </c>
    </row>
    <row r="447" spans="1:5" x14ac:dyDescent="0.2">
      <c r="A447" s="2" t="s">
        <v>4539</v>
      </c>
      <c r="B447" s="2" t="s">
        <v>4875</v>
      </c>
      <c r="C447" s="2" t="s">
        <v>4833</v>
      </c>
      <c r="D447" s="2" t="s">
        <v>4534</v>
      </c>
      <c r="E447" s="2" t="s">
        <v>34</v>
      </c>
    </row>
    <row r="448" spans="1:5" x14ac:dyDescent="0.2">
      <c r="A448" s="2" t="s">
        <v>3976</v>
      </c>
      <c r="B448" s="2" t="s">
        <v>4875</v>
      </c>
      <c r="C448" s="2" t="s">
        <v>4833</v>
      </c>
      <c r="D448" s="2" t="s">
        <v>3973</v>
      </c>
      <c r="E448" s="2" t="s">
        <v>34</v>
      </c>
    </row>
    <row r="449" spans="1:5" x14ac:dyDescent="0.2">
      <c r="A449" s="2" t="s">
        <v>4902</v>
      </c>
      <c r="B449" s="2" t="s">
        <v>4875</v>
      </c>
      <c r="C449" s="2" t="s">
        <v>4835</v>
      </c>
      <c r="D449" s="2" t="s">
        <v>34</v>
      </c>
      <c r="E449" s="2" t="s">
        <v>34</v>
      </c>
    </row>
    <row r="450" spans="1:5" x14ac:dyDescent="0.2">
      <c r="A450" s="2" t="s">
        <v>1472</v>
      </c>
      <c r="B450" s="2" t="s">
        <v>4875</v>
      </c>
      <c r="C450" s="2" t="s">
        <v>4833</v>
      </c>
      <c r="D450" s="2" t="s">
        <v>1467</v>
      </c>
      <c r="E450" s="2" t="s">
        <v>34</v>
      </c>
    </row>
    <row r="451" spans="1:5" x14ac:dyDescent="0.2">
      <c r="A451" s="2" t="s">
        <v>4903</v>
      </c>
      <c r="B451" s="2" t="s">
        <v>4875</v>
      </c>
      <c r="C451" s="2" t="s">
        <v>4835</v>
      </c>
      <c r="D451" s="2" t="s">
        <v>34</v>
      </c>
      <c r="E451" s="2" t="s">
        <v>34</v>
      </c>
    </row>
    <row r="452" spans="1:5" x14ac:dyDescent="0.2">
      <c r="A452" s="2" t="s">
        <v>3316</v>
      </c>
      <c r="B452" s="2" t="s">
        <v>4875</v>
      </c>
      <c r="C452" s="2" t="s">
        <v>4833</v>
      </c>
      <c r="D452" s="2" t="s">
        <v>3313</v>
      </c>
      <c r="E452" s="2" t="s">
        <v>34</v>
      </c>
    </row>
    <row r="453" spans="1:5" x14ac:dyDescent="0.2">
      <c r="A453" s="2" t="s">
        <v>4904</v>
      </c>
      <c r="B453" s="2" t="s">
        <v>4875</v>
      </c>
      <c r="C453" s="2" t="s">
        <v>4837</v>
      </c>
      <c r="D453" s="2" t="s">
        <v>34</v>
      </c>
      <c r="E453" s="2" t="s">
        <v>34</v>
      </c>
    </row>
    <row r="454" spans="1:5" x14ac:dyDescent="0.2">
      <c r="A454" s="2" t="s">
        <v>3706</v>
      </c>
      <c r="B454" s="2" t="s">
        <v>4875</v>
      </c>
      <c r="C454" s="2" t="s">
        <v>4833</v>
      </c>
      <c r="D454" s="2" t="s">
        <v>3703</v>
      </c>
      <c r="E454" s="2" t="s">
        <v>34</v>
      </c>
    </row>
    <row r="455" spans="1:5" x14ac:dyDescent="0.2">
      <c r="A455" s="2" t="s">
        <v>3416</v>
      </c>
      <c r="B455" s="2" t="s">
        <v>4875</v>
      </c>
      <c r="C455" s="2" t="s">
        <v>4833</v>
      </c>
      <c r="D455" s="2" t="s">
        <v>3412</v>
      </c>
      <c r="E455" s="2" t="s">
        <v>34</v>
      </c>
    </row>
    <row r="456" spans="1:5" x14ac:dyDescent="0.2">
      <c r="A456" s="2" t="s">
        <v>1520</v>
      </c>
      <c r="B456" s="2" t="s">
        <v>4875</v>
      </c>
      <c r="C456" s="2" t="s">
        <v>4833</v>
      </c>
      <c r="D456" s="2" t="s">
        <v>1515</v>
      </c>
      <c r="E456" s="2" t="s">
        <v>34</v>
      </c>
    </row>
    <row r="457" spans="1:5" x14ac:dyDescent="0.2">
      <c r="A457" s="2" t="s">
        <v>1709</v>
      </c>
      <c r="B457" s="2" t="s">
        <v>4875</v>
      </c>
      <c r="C457" s="2" t="s">
        <v>4833</v>
      </c>
      <c r="D457" s="2" t="s">
        <v>1705</v>
      </c>
      <c r="E457" s="2" t="s">
        <v>34</v>
      </c>
    </row>
    <row r="458" spans="1:5" x14ac:dyDescent="0.2">
      <c r="A458" s="2" t="s">
        <v>3393</v>
      </c>
      <c r="B458" s="2" t="s">
        <v>4875</v>
      </c>
      <c r="C458" s="2" t="s">
        <v>4833</v>
      </c>
      <c r="D458" s="2" t="s">
        <v>3389</v>
      </c>
      <c r="E458" s="2" t="s">
        <v>34</v>
      </c>
    </row>
    <row r="459" spans="1:5" x14ac:dyDescent="0.2">
      <c r="A459" s="2" t="s">
        <v>4905</v>
      </c>
      <c r="B459" s="2" t="s">
        <v>4875</v>
      </c>
      <c r="C459" s="2" t="s">
        <v>4835</v>
      </c>
      <c r="D459" s="2" t="s">
        <v>34</v>
      </c>
      <c r="E459" s="2" t="s">
        <v>34</v>
      </c>
    </row>
    <row r="460" spans="1:5" x14ac:dyDescent="0.2">
      <c r="A460" s="2" t="s">
        <v>2557</v>
      </c>
      <c r="B460" s="2" t="s">
        <v>4875</v>
      </c>
      <c r="C460" s="2" t="s">
        <v>4833</v>
      </c>
      <c r="D460" s="2" t="s">
        <v>2554</v>
      </c>
      <c r="E460" s="2" t="s">
        <v>34</v>
      </c>
    </row>
    <row r="461" spans="1:5" x14ac:dyDescent="0.2">
      <c r="A461" s="2" t="s">
        <v>335</v>
      </c>
      <c r="B461" s="2" t="s">
        <v>4875</v>
      </c>
      <c r="C461" s="2" t="s">
        <v>4833</v>
      </c>
      <c r="D461" s="2" t="s">
        <v>330</v>
      </c>
      <c r="E461" s="2" t="s">
        <v>34</v>
      </c>
    </row>
    <row r="462" spans="1:5" x14ac:dyDescent="0.2">
      <c r="A462" s="2" t="s">
        <v>4815</v>
      </c>
      <c r="B462" s="2" t="s">
        <v>4875</v>
      </c>
      <c r="C462" s="2" t="s">
        <v>4833</v>
      </c>
      <c r="D462" s="2" t="s">
        <v>4811</v>
      </c>
      <c r="E462" s="2" t="s">
        <v>34</v>
      </c>
    </row>
    <row r="463" spans="1:5" x14ac:dyDescent="0.2">
      <c r="A463" s="2" t="s">
        <v>2674</v>
      </c>
      <c r="B463" s="2" t="s">
        <v>4875</v>
      </c>
      <c r="C463" s="2" t="s">
        <v>4833</v>
      </c>
      <c r="D463" s="2" t="s">
        <v>2671</v>
      </c>
      <c r="E463" s="2" t="s">
        <v>34</v>
      </c>
    </row>
    <row r="464" spans="1:5" x14ac:dyDescent="0.2">
      <c r="A464" s="2" t="s">
        <v>1750</v>
      </c>
      <c r="B464" s="2" t="s">
        <v>4875</v>
      </c>
      <c r="C464" s="2" t="s">
        <v>4833</v>
      </c>
      <c r="D464" s="2" t="s">
        <v>1746</v>
      </c>
      <c r="E464" s="2" t="s">
        <v>34</v>
      </c>
    </row>
    <row r="465" spans="1:5" x14ac:dyDescent="0.2">
      <c r="A465" s="2" t="s">
        <v>1271</v>
      </c>
      <c r="B465" s="2" t="s">
        <v>4875</v>
      </c>
      <c r="C465" s="2" t="s">
        <v>4833</v>
      </c>
      <c r="D465" s="2" t="s">
        <v>1267</v>
      </c>
      <c r="E465" s="2" t="s">
        <v>34</v>
      </c>
    </row>
    <row r="466" spans="1:5" x14ac:dyDescent="0.2">
      <c r="A466" s="2" t="s">
        <v>2501</v>
      </c>
      <c r="B466" s="2" t="s">
        <v>4875</v>
      </c>
      <c r="C466" s="2" t="s">
        <v>4833</v>
      </c>
      <c r="D466" s="2" t="s">
        <v>2498</v>
      </c>
      <c r="E466" s="2" t="s">
        <v>34</v>
      </c>
    </row>
    <row r="467" spans="1:5" x14ac:dyDescent="0.2">
      <c r="A467" s="2" t="s">
        <v>3011</v>
      </c>
      <c r="B467" s="2" t="s">
        <v>4875</v>
      </c>
      <c r="C467" s="2" t="s">
        <v>4833</v>
      </c>
      <c r="D467" s="2" t="s">
        <v>3008</v>
      </c>
      <c r="E467" s="2" t="s">
        <v>34</v>
      </c>
    </row>
    <row r="468" spans="1:5" x14ac:dyDescent="0.2">
      <c r="A468" s="2" t="s">
        <v>4906</v>
      </c>
      <c r="B468" s="2" t="s">
        <v>4875</v>
      </c>
      <c r="C468" s="2" t="s">
        <v>4835</v>
      </c>
      <c r="D468" s="2" t="s">
        <v>34</v>
      </c>
      <c r="E468" s="2" t="s">
        <v>34</v>
      </c>
    </row>
    <row r="469" spans="1:5" x14ac:dyDescent="0.2">
      <c r="A469" s="2" t="s">
        <v>3462</v>
      </c>
      <c r="B469" s="2" t="s">
        <v>4875</v>
      </c>
      <c r="C469" s="2" t="s">
        <v>4833</v>
      </c>
      <c r="D469" s="2" t="s">
        <v>3458</v>
      </c>
      <c r="E469" s="2" t="s">
        <v>34</v>
      </c>
    </row>
    <row r="470" spans="1:5" x14ac:dyDescent="0.2">
      <c r="A470" s="2" t="s">
        <v>4779</v>
      </c>
      <c r="B470" s="2" t="s">
        <v>4875</v>
      </c>
      <c r="C470" s="2" t="s">
        <v>4833</v>
      </c>
      <c r="D470" s="2" t="s">
        <v>4774</v>
      </c>
      <c r="E470" s="2" t="s">
        <v>34</v>
      </c>
    </row>
    <row r="471" spans="1:5" x14ac:dyDescent="0.2">
      <c r="A471" s="2" t="s">
        <v>4907</v>
      </c>
      <c r="B471" s="2" t="s">
        <v>4875</v>
      </c>
      <c r="C471" s="2" t="s">
        <v>4835</v>
      </c>
      <c r="D471" s="2" t="s">
        <v>34</v>
      </c>
      <c r="E471" s="2" t="s">
        <v>34</v>
      </c>
    </row>
    <row r="472" spans="1:5" x14ac:dyDescent="0.2">
      <c r="A472" s="2" t="s">
        <v>2743</v>
      </c>
      <c r="B472" s="2" t="s">
        <v>4875</v>
      </c>
      <c r="C472" s="2" t="s">
        <v>4833</v>
      </c>
      <c r="D472" s="2" t="s">
        <v>2738</v>
      </c>
      <c r="E472" s="2" t="s">
        <v>34</v>
      </c>
    </row>
    <row r="473" spans="1:5" x14ac:dyDescent="0.2">
      <c r="A473" s="2" t="s">
        <v>4794</v>
      </c>
      <c r="B473" s="2" t="s">
        <v>4875</v>
      </c>
      <c r="C473" s="2" t="s">
        <v>4833</v>
      </c>
      <c r="D473" s="2" t="s">
        <v>4790</v>
      </c>
      <c r="E473" s="2" t="s">
        <v>34</v>
      </c>
    </row>
    <row r="474" spans="1:5" x14ac:dyDescent="0.2">
      <c r="A474" s="2" t="s">
        <v>4908</v>
      </c>
      <c r="B474" s="2" t="s">
        <v>4875</v>
      </c>
      <c r="C474" s="2" t="s">
        <v>4835</v>
      </c>
      <c r="D474" s="2" t="s">
        <v>34</v>
      </c>
      <c r="E474" s="2" t="s">
        <v>34</v>
      </c>
    </row>
    <row r="475" spans="1:5" x14ac:dyDescent="0.2">
      <c r="A475" s="2" t="s">
        <v>2126</v>
      </c>
      <c r="B475" s="2" t="s">
        <v>4875</v>
      </c>
      <c r="C475" s="2" t="s">
        <v>4833</v>
      </c>
      <c r="D475" s="2" t="s">
        <v>2123</v>
      </c>
      <c r="E475" s="2" t="s">
        <v>34</v>
      </c>
    </row>
    <row r="476" spans="1:5" x14ac:dyDescent="0.2">
      <c r="A476" s="2" t="s">
        <v>1630</v>
      </c>
      <c r="B476" s="2" t="s">
        <v>4875</v>
      </c>
      <c r="C476" s="2" t="s">
        <v>4833</v>
      </c>
      <c r="D476" s="2" t="s">
        <v>1626</v>
      </c>
      <c r="E476" s="2" t="s">
        <v>34</v>
      </c>
    </row>
    <row r="477" spans="1:5" x14ac:dyDescent="0.2">
      <c r="A477" s="2" t="s">
        <v>3478</v>
      </c>
      <c r="B477" s="2" t="s">
        <v>4875</v>
      </c>
      <c r="C477" s="2" t="s">
        <v>4833</v>
      </c>
      <c r="D477" s="2" t="s">
        <v>3473</v>
      </c>
      <c r="E477" s="2" t="s">
        <v>34</v>
      </c>
    </row>
    <row r="478" spans="1:5" x14ac:dyDescent="0.2">
      <c r="A478" s="2" t="s">
        <v>4909</v>
      </c>
      <c r="B478" s="2" t="s">
        <v>4875</v>
      </c>
      <c r="C478" s="2" t="s">
        <v>4835</v>
      </c>
      <c r="D478" s="2" t="s">
        <v>34</v>
      </c>
      <c r="E478" s="2" t="s">
        <v>34</v>
      </c>
    </row>
    <row r="479" spans="1:5" x14ac:dyDescent="0.2">
      <c r="A479" s="2" t="s">
        <v>3228</v>
      </c>
      <c r="B479" s="2" t="s">
        <v>4875</v>
      </c>
      <c r="C479" s="2" t="s">
        <v>4833</v>
      </c>
      <c r="D479" s="2" t="s">
        <v>3223</v>
      </c>
      <c r="E479" s="2" t="s">
        <v>34</v>
      </c>
    </row>
    <row r="480" spans="1:5" x14ac:dyDescent="0.2">
      <c r="A480" s="2" t="s">
        <v>3096</v>
      </c>
      <c r="B480" s="2" t="s">
        <v>4875</v>
      </c>
      <c r="C480" s="2" t="s">
        <v>4833</v>
      </c>
      <c r="D480" s="2" t="s">
        <v>3092</v>
      </c>
      <c r="E480" s="2" t="s">
        <v>34</v>
      </c>
    </row>
    <row r="481" spans="1:5" x14ac:dyDescent="0.2">
      <c r="A481" s="2" t="s">
        <v>1372</v>
      </c>
      <c r="B481" s="2" t="s">
        <v>4875</v>
      </c>
      <c r="C481" s="2" t="s">
        <v>4833</v>
      </c>
      <c r="D481" s="2" t="s">
        <v>1368</v>
      </c>
      <c r="E481" s="2" t="s">
        <v>34</v>
      </c>
    </row>
    <row r="482" spans="1:5" x14ac:dyDescent="0.2">
      <c r="A482" s="2" t="s">
        <v>2346</v>
      </c>
      <c r="B482" s="2" t="s">
        <v>4875</v>
      </c>
      <c r="C482" s="2" t="s">
        <v>4833</v>
      </c>
      <c r="D482" s="2" t="s">
        <v>2341</v>
      </c>
      <c r="E482" s="2" t="s">
        <v>34</v>
      </c>
    </row>
    <row r="483" spans="1:5" x14ac:dyDescent="0.2">
      <c r="A483" s="2" t="s">
        <v>4479</v>
      </c>
      <c r="B483" s="2" t="s">
        <v>4875</v>
      </c>
      <c r="C483" s="2" t="s">
        <v>4833</v>
      </c>
      <c r="D483" s="2" t="s">
        <v>4476</v>
      </c>
      <c r="E483" s="2" t="s">
        <v>34</v>
      </c>
    </row>
    <row r="484" spans="1:5" x14ac:dyDescent="0.2">
      <c r="A484" s="2" t="s">
        <v>878</v>
      </c>
      <c r="B484" s="2" t="s">
        <v>4875</v>
      </c>
      <c r="C484" s="2" t="s">
        <v>4833</v>
      </c>
      <c r="D484" s="2" t="s">
        <v>874</v>
      </c>
      <c r="E484" s="2" t="s">
        <v>34</v>
      </c>
    </row>
    <row r="485" spans="1:5" x14ac:dyDescent="0.2">
      <c r="A485" s="2" t="s">
        <v>1556</v>
      </c>
      <c r="B485" s="2" t="s">
        <v>4875</v>
      </c>
      <c r="C485" s="2" t="s">
        <v>4833</v>
      </c>
      <c r="D485" s="2" t="s">
        <v>1552</v>
      </c>
      <c r="E485" s="2" t="s">
        <v>34</v>
      </c>
    </row>
    <row r="486" spans="1:5" x14ac:dyDescent="0.2">
      <c r="A486" s="2" t="s">
        <v>4615</v>
      </c>
      <c r="B486" s="2" t="s">
        <v>4875</v>
      </c>
      <c r="C486" s="2" t="s">
        <v>4833</v>
      </c>
      <c r="D486" s="2" t="s">
        <v>4611</v>
      </c>
      <c r="E486" s="2" t="s">
        <v>34</v>
      </c>
    </row>
    <row r="487" spans="1:5" x14ac:dyDescent="0.2">
      <c r="A487" s="2" t="s">
        <v>1373</v>
      </c>
      <c r="B487" s="2" t="s">
        <v>4875</v>
      </c>
      <c r="C487" s="2" t="s">
        <v>4833</v>
      </c>
      <c r="D487" s="2" t="s">
        <v>1368</v>
      </c>
      <c r="E487" s="2" t="s">
        <v>34</v>
      </c>
    </row>
    <row r="488" spans="1:5" x14ac:dyDescent="0.2">
      <c r="A488" s="2" t="s">
        <v>3595</v>
      </c>
      <c r="B488" s="2" t="s">
        <v>4875</v>
      </c>
      <c r="C488" s="2" t="s">
        <v>4833</v>
      </c>
      <c r="D488" s="2" t="s">
        <v>3592</v>
      </c>
      <c r="E488" s="2" t="s">
        <v>34</v>
      </c>
    </row>
    <row r="489" spans="1:5" x14ac:dyDescent="0.2">
      <c r="A489" s="2" t="s">
        <v>4762</v>
      </c>
      <c r="B489" s="2" t="s">
        <v>4875</v>
      </c>
      <c r="C489" s="2" t="s">
        <v>4833</v>
      </c>
      <c r="D489" s="2" t="s">
        <v>4758</v>
      </c>
      <c r="E489" s="2" t="s">
        <v>34</v>
      </c>
    </row>
    <row r="490" spans="1:5" x14ac:dyDescent="0.2">
      <c r="A490" s="2" t="s">
        <v>4445</v>
      </c>
      <c r="B490" s="2" t="s">
        <v>4875</v>
      </c>
      <c r="C490" s="2" t="s">
        <v>4833</v>
      </c>
      <c r="D490" s="2" t="s">
        <v>4441</v>
      </c>
      <c r="E490" s="2" t="s">
        <v>34</v>
      </c>
    </row>
    <row r="491" spans="1:5" x14ac:dyDescent="0.2">
      <c r="A491" s="2" t="s">
        <v>2323</v>
      </c>
      <c r="B491" s="2" t="s">
        <v>4875</v>
      </c>
      <c r="C491" s="2" t="s">
        <v>4833</v>
      </c>
      <c r="D491" s="2" t="s">
        <v>2318</v>
      </c>
      <c r="E491" s="2" t="s">
        <v>34</v>
      </c>
    </row>
    <row r="492" spans="1:5" x14ac:dyDescent="0.2">
      <c r="A492" s="2" t="s">
        <v>4910</v>
      </c>
      <c r="B492" s="2" t="s">
        <v>4875</v>
      </c>
      <c r="C492" s="2" t="s">
        <v>4835</v>
      </c>
      <c r="D492" s="2" t="s">
        <v>34</v>
      </c>
      <c r="E492" s="2" t="s">
        <v>34</v>
      </c>
    </row>
    <row r="493" spans="1:5" x14ac:dyDescent="0.2">
      <c r="A493" s="2" t="s">
        <v>1665</v>
      </c>
      <c r="B493" s="2" t="s">
        <v>4875</v>
      </c>
      <c r="C493" s="2" t="s">
        <v>4833</v>
      </c>
      <c r="D493" s="2" t="s">
        <v>1660</v>
      </c>
      <c r="E493" s="2" t="s">
        <v>34</v>
      </c>
    </row>
    <row r="494" spans="1:5" x14ac:dyDescent="0.2">
      <c r="A494" s="2" t="s">
        <v>1336</v>
      </c>
      <c r="B494" s="2" t="s">
        <v>4875</v>
      </c>
      <c r="C494" s="2" t="s">
        <v>4833</v>
      </c>
      <c r="D494" s="2" t="s">
        <v>1331</v>
      </c>
      <c r="E494" s="2" t="s">
        <v>34</v>
      </c>
    </row>
    <row r="495" spans="1:5" x14ac:dyDescent="0.2">
      <c r="A495" s="2" t="s">
        <v>4911</v>
      </c>
      <c r="B495" s="2" t="s">
        <v>4875</v>
      </c>
      <c r="C495" s="2" t="s">
        <v>4835</v>
      </c>
      <c r="D495" s="2" t="s">
        <v>34</v>
      </c>
      <c r="E495" s="2" t="s">
        <v>34</v>
      </c>
    </row>
    <row r="496" spans="1:5" x14ac:dyDescent="0.2">
      <c r="A496" s="2" t="s">
        <v>2047</v>
      </c>
      <c r="B496" s="2" t="s">
        <v>4875</v>
      </c>
      <c r="C496" s="2" t="s">
        <v>4833</v>
      </c>
      <c r="D496" s="2" t="s">
        <v>2044</v>
      </c>
      <c r="E496" s="2" t="s">
        <v>34</v>
      </c>
    </row>
    <row r="497" spans="1:5" x14ac:dyDescent="0.2">
      <c r="A497" s="2" t="s">
        <v>2713</v>
      </c>
      <c r="B497" s="2" t="s">
        <v>4875</v>
      </c>
      <c r="C497" s="2" t="s">
        <v>4833</v>
      </c>
      <c r="D497" s="2" t="s">
        <v>2709</v>
      </c>
      <c r="E497" s="2" t="s">
        <v>34</v>
      </c>
    </row>
    <row r="498" spans="1:5" x14ac:dyDescent="0.2">
      <c r="A498" s="2" t="s">
        <v>3330</v>
      </c>
      <c r="B498" s="2" t="s">
        <v>4875</v>
      </c>
      <c r="C498" s="2" t="s">
        <v>4833</v>
      </c>
      <c r="D498" s="2" t="s">
        <v>3326</v>
      </c>
      <c r="E498" s="2" t="s">
        <v>34</v>
      </c>
    </row>
    <row r="499" spans="1:5" x14ac:dyDescent="0.2">
      <c r="A499" s="2" t="s">
        <v>4727</v>
      </c>
      <c r="B499" s="2" t="s">
        <v>4875</v>
      </c>
      <c r="C499" s="2" t="s">
        <v>4833</v>
      </c>
      <c r="D499" s="2" t="s">
        <v>4723</v>
      </c>
      <c r="E499" s="2" t="s">
        <v>34</v>
      </c>
    </row>
    <row r="500" spans="1:5" x14ac:dyDescent="0.2">
      <c r="A500" s="2" t="s">
        <v>1423</v>
      </c>
      <c r="B500" s="2" t="s">
        <v>4875</v>
      </c>
      <c r="C500" s="2" t="s">
        <v>4833</v>
      </c>
      <c r="D500" s="2" t="s">
        <v>1419</v>
      </c>
      <c r="E500" s="2" t="s">
        <v>34</v>
      </c>
    </row>
    <row r="501" spans="1:5" x14ac:dyDescent="0.2">
      <c r="A501" s="2" t="s">
        <v>3146</v>
      </c>
      <c r="B501" s="2" t="s">
        <v>4875</v>
      </c>
      <c r="C501" s="2" t="s">
        <v>4833</v>
      </c>
      <c r="D501" s="2" t="s">
        <v>3143</v>
      </c>
      <c r="E501" s="2" t="s">
        <v>34</v>
      </c>
    </row>
    <row r="502" spans="1:5" x14ac:dyDescent="0.2">
      <c r="A502" s="2" t="s">
        <v>4386</v>
      </c>
      <c r="B502" s="2" t="s">
        <v>4875</v>
      </c>
      <c r="C502" s="2" t="s">
        <v>4833</v>
      </c>
      <c r="D502" s="2" t="s">
        <v>4383</v>
      </c>
      <c r="E502" s="2" t="s">
        <v>34</v>
      </c>
    </row>
    <row r="503" spans="1:5" x14ac:dyDescent="0.2">
      <c r="A503" s="2" t="s">
        <v>4912</v>
      </c>
      <c r="B503" s="2" t="s">
        <v>4875</v>
      </c>
      <c r="C503" s="2" t="s">
        <v>4835</v>
      </c>
      <c r="D503" s="2" t="s">
        <v>34</v>
      </c>
      <c r="E503" s="2" t="s">
        <v>34</v>
      </c>
    </row>
    <row r="504" spans="1:5" x14ac:dyDescent="0.2">
      <c r="A504" s="2" t="s">
        <v>2562</v>
      </c>
      <c r="B504" s="2" t="s">
        <v>4875</v>
      </c>
      <c r="C504" s="2" t="s">
        <v>4833</v>
      </c>
      <c r="D504" s="2" t="s">
        <v>2559</v>
      </c>
      <c r="E504" s="2" t="s">
        <v>34</v>
      </c>
    </row>
    <row r="505" spans="1:5" x14ac:dyDescent="0.2">
      <c r="A505" s="2" t="s">
        <v>2302</v>
      </c>
      <c r="B505" s="2" t="s">
        <v>4875</v>
      </c>
      <c r="C505" s="2" t="s">
        <v>4833</v>
      </c>
      <c r="D505" s="2" t="s">
        <v>2297</v>
      </c>
      <c r="E505" s="2" t="s">
        <v>34</v>
      </c>
    </row>
    <row r="506" spans="1:5" x14ac:dyDescent="0.2">
      <c r="A506" s="2" t="s">
        <v>4470</v>
      </c>
      <c r="B506" s="2" t="s">
        <v>4875</v>
      </c>
      <c r="C506" s="2" t="s">
        <v>4833</v>
      </c>
      <c r="D506" s="2" t="s">
        <v>4465</v>
      </c>
      <c r="E506" s="2" t="s">
        <v>34</v>
      </c>
    </row>
    <row r="507" spans="1:5" x14ac:dyDescent="0.2">
      <c r="A507" s="2" t="s">
        <v>4913</v>
      </c>
      <c r="B507" s="2" t="s">
        <v>4875</v>
      </c>
      <c r="C507" s="2" t="s">
        <v>4835</v>
      </c>
      <c r="D507" s="2" t="s">
        <v>34</v>
      </c>
      <c r="E507" s="2" t="s">
        <v>34</v>
      </c>
    </row>
    <row r="508" spans="1:5" x14ac:dyDescent="0.2">
      <c r="A508" s="2" t="s">
        <v>3546</v>
      </c>
      <c r="B508" s="2" t="s">
        <v>4875</v>
      </c>
      <c r="C508" s="2" t="s">
        <v>4833</v>
      </c>
      <c r="D508" s="2" t="s">
        <v>3542</v>
      </c>
      <c r="E508" s="2" t="s">
        <v>34</v>
      </c>
    </row>
    <row r="509" spans="1:5" x14ac:dyDescent="0.2">
      <c r="A509" s="2" t="s">
        <v>4914</v>
      </c>
      <c r="B509" s="2" t="s">
        <v>4875</v>
      </c>
      <c r="C509" s="2" t="s">
        <v>4835</v>
      </c>
      <c r="D509" s="2" t="s">
        <v>34</v>
      </c>
      <c r="E509" s="2" t="s">
        <v>34</v>
      </c>
    </row>
    <row r="510" spans="1:5" x14ac:dyDescent="0.2">
      <c r="A510" s="2" t="s">
        <v>4170</v>
      </c>
      <c r="B510" s="2" t="s">
        <v>4875</v>
      </c>
      <c r="C510" s="2" t="s">
        <v>4833</v>
      </c>
      <c r="D510" s="2" t="s">
        <v>4167</v>
      </c>
      <c r="E510" s="2" t="s">
        <v>34</v>
      </c>
    </row>
    <row r="511" spans="1:5" x14ac:dyDescent="0.2">
      <c r="A511" s="2" t="s">
        <v>4676</v>
      </c>
      <c r="B511" s="2" t="s">
        <v>4875</v>
      </c>
      <c r="C511" s="2" t="s">
        <v>4833</v>
      </c>
      <c r="D511" s="2" t="s">
        <v>4672</v>
      </c>
      <c r="E511" s="2" t="s">
        <v>34</v>
      </c>
    </row>
    <row r="512" spans="1:5" x14ac:dyDescent="0.2">
      <c r="A512" s="2" t="s">
        <v>309</v>
      </c>
      <c r="B512" s="2" t="s">
        <v>4875</v>
      </c>
      <c r="C512" s="2" t="s">
        <v>4833</v>
      </c>
      <c r="D512" s="2" t="s">
        <v>304</v>
      </c>
      <c r="E512" s="2" t="s">
        <v>34</v>
      </c>
    </row>
    <row r="513" spans="1:5" x14ac:dyDescent="0.2">
      <c r="A513" s="2" t="s">
        <v>4640</v>
      </c>
      <c r="B513" s="2" t="s">
        <v>4875</v>
      </c>
      <c r="C513" s="2" t="s">
        <v>4833</v>
      </c>
      <c r="D513" s="2" t="s">
        <v>4637</v>
      </c>
      <c r="E513" s="2" t="s">
        <v>34</v>
      </c>
    </row>
    <row r="514" spans="1:5" x14ac:dyDescent="0.2">
      <c r="A514" s="2" t="s">
        <v>97</v>
      </c>
      <c r="B514" s="2" t="s">
        <v>4875</v>
      </c>
      <c r="C514" s="2" t="s">
        <v>4833</v>
      </c>
      <c r="D514" s="2" t="s">
        <v>92</v>
      </c>
      <c r="E514" s="2" t="s">
        <v>34</v>
      </c>
    </row>
    <row r="515" spans="1:5" x14ac:dyDescent="0.2">
      <c r="A515" s="2" t="s">
        <v>383</v>
      </c>
      <c r="B515" s="2" t="s">
        <v>4875</v>
      </c>
      <c r="C515" s="2" t="s">
        <v>4833</v>
      </c>
      <c r="D515" s="2" t="s">
        <v>379</v>
      </c>
      <c r="E515" s="2" t="s">
        <v>34</v>
      </c>
    </row>
    <row r="516" spans="1:5" x14ac:dyDescent="0.2">
      <c r="A516" s="2" t="s">
        <v>4915</v>
      </c>
      <c r="B516" s="2" t="s">
        <v>4875</v>
      </c>
      <c r="C516" s="2" t="s">
        <v>4835</v>
      </c>
      <c r="D516" s="2" t="s">
        <v>34</v>
      </c>
      <c r="E516" s="2" t="s">
        <v>34</v>
      </c>
    </row>
    <row r="517" spans="1:5" x14ac:dyDescent="0.2">
      <c r="A517" s="2" t="s">
        <v>740</v>
      </c>
      <c r="B517" s="2" t="s">
        <v>4875</v>
      </c>
      <c r="C517" s="2" t="s">
        <v>4833</v>
      </c>
      <c r="D517" s="2" t="s">
        <v>735</v>
      </c>
      <c r="E517" s="2" t="s">
        <v>34</v>
      </c>
    </row>
    <row r="518" spans="1:5" x14ac:dyDescent="0.2">
      <c r="A518" s="2" t="s">
        <v>3407</v>
      </c>
      <c r="B518" s="2" t="s">
        <v>4875</v>
      </c>
      <c r="C518" s="2" t="s">
        <v>4833</v>
      </c>
      <c r="D518" s="2" t="s">
        <v>3402</v>
      </c>
      <c r="E518" s="2" t="s">
        <v>34</v>
      </c>
    </row>
    <row r="519" spans="1:5" x14ac:dyDescent="0.2">
      <c r="A519" s="2" t="s">
        <v>148</v>
      </c>
      <c r="B519" s="2" t="s">
        <v>4875</v>
      </c>
      <c r="C519" s="2" t="s">
        <v>4833</v>
      </c>
      <c r="D519" s="2" t="s">
        <v>143</v>
      </c>
      <c r="E519" s="2" t="s">
        <v>34</v>
      </c>
    </row>
    <row r="520" spans="1:5" x14ac:dyDescent="0.2">
      <c r="A520" s="2" t="s">
        <v>2781</v>
      </c>
      <c r="B520" s="2" t="s">
        <v>4875</v>
      </c>
      <c r="C520" s="2" t="s">
        <v>4833</v>
      </c>
      <c r="D520" s="2" t="s">
        <v>2777</v>
      </c>
      <c r="E520" s="2" t="s">
        <v>34</v>
      </c>
    </row>
    <row r="521" spans="1:5" x14ac:dyDescent="0.2">
      <c r="A521" s="2" t="s">
        <v>3846</v>
      </c>
      <c r="B521" s="2" t="s">
        <v>4875</v>
      </c>
      <c r="C521" s="2" t="s">
        <v>4833</v>
      </c>
      <c r="D521" s="2" t="s">
        <v>3842</v>
      </c>
      <c r="E521" s="2" t="s">
        <v>34</v>
      </c>
    </row>
    <row r="522" spans="1:5" x14ac:dyDescent="0.2">
      <c r="A522" s="2" t="s">
        <v>1063</v>
      </c>
      <c r="B522" s="2" t="s">
        <v>4875</v>
      </c>
      <c r="C522" s="2" t="s">
        <v>4833</v>
      </c>
      <c r="D522" s="2" t="s">
        <v>1058</v>
      </c>
      <c r="E522" s="2" t="s">
        <v>34</v>
      </c>
    </row>
    <row r="523" spans="1:5" x14ac:dyDescent="0.2">
      <c r="A523" s="2" t="s">
        <v>4051</v>
      </c>
      <c r="B523" s="2" t="s">
        <v>4875</v>
      </c>
      <c r="C523" s="2" t="s">
        <v>4833</v>
      </c>
      <c r="D523" s="2" t="s">
        <v>4048</v>
      </c>
      <c r="E523" s="2" t="s">
        <v>34</v>
      </c>
    </row>
    <row r="524" spans="1:5" x14ac:dyDescent="0.2">
      <c r="A524" s="2" t="s">
        <v>1030</v>
      </c>
      <c r="B524" s="2" t="s">
        <v>4875</v>
      </c>
      <c r="C524" s="2" t="s">
        <v>4833</v>
      </c>
      <c r="D524" s="2" t="s">
        <v>1026</v>
      </c>
      <c r="E524" s="2" t="s">
        <v>34</v>
      </c>
    </row>
    <row r="525" spans="1:5" x14ac:dyDescent="0.2">
      <c r="A525" s="2" t="s">
        <v>3970</v>
      </c>
      <c r="B525" s="2" t="s">
        <v>4875</v>
      </c>
      <c r="C525" s="2" t="s">
        <v>4833</v>
      </c>
      <c r="D525" s="2" t="s">
        <v>3965</v>
      </c>
      <c r="E525" s="2" t="s">
        <v>34</v>
      </c>
    </row>
    <row r="526" spans="1:5" x14ac:dyDescent="0.2">
      <c r="A526" s="2" t="s">
        <v>552</v>
      </c>
      <c r="B526" s="2" t="s">
        <v>4875</v>
      </c>
      <c r="C526" s="2" t="s">
        <v>4833</v>
      </c>
      <c r="D526" s="2" t="s">
        <v>548</v>
      </c>
      <c r="E526" s="2" t="s">
        <v>34</v>
      </c>
    </row>
    <row r="527" spans="1:5" x14ac:dyDescent="0.2">
      <c r="A527" s="2" t="s">
        <v>1961</v>
      </c>
      <c r="B527" s="2" t="s">
        <v>4875</v>
      </c>
      <c r="C527" s="2" t="s">
        <v>4833</v>
      </c>
      <c r="D527" s="2" t="s">
        <v>1957</v>
      </c>
      <c r="E527" s="2" t="s">
        <v>34</v>
      </c>
    </row>
    <row r="528" spans="1:5" x14ac:dyDescent="0.2">
      <c r="A528" s="2" t="s">
        <v>1738</v>
      </c>
      <c r="B528" s="2" t="s">
        <v>4875</v>
      </c>
      <c r="C528" s="2" t="s">
        <v>4833</v>
      </c>
      <c r="D528" s="2" t="s">
        <v>1733</v>
      </c>
      <c r="E528" s="2" t="s">
        <v>34</v>
      </c>
    </row>
    <row r="529" spans="1:5" x14ac:dyDescent="0.2">
      <c r="A529" s="2" t="s">
        <v>3661</v>
      </c>
      <c r="B529" s="2" t="s">
        <v>4875</v>
      </c>
      <c r="C529" s="2" t="s">
        <v>4833</v>
      </c>
      <c r="D529" s="2" t="s">
        <v>3658</v>
      </c>
      <c r="E529" s="2" t="s">
        <v>34</v>
      </c>
    </row>
    <row r="530" spans="1:5" x14ac:dyDescent="0.2">
      <c r="A530" s="2" t="s">
        <v>205</v>
      </c>
      <c r="B530" s="2" t="s">
        <v>4875</v>
      </c>
      <c r="C530" s="2" t="s">
        <v>4833</v>
      </c>
      <c r="D530" s="2" t="s">
        <v>199</v>
      </c>
      <c r="E530" s="2" t="s">
        <v>34</v>
      </c>
    </row>
    <row r="531" spans="1:5" x14ac:dyDescent="0.2">
      <c r="A531" s="2" t="s">
        <v>2601</v>
      </c>
      <c r="B531" s="2" t="s">
        <v>4875</v>
      </c>
      <c r="C531" s="2" t="s">
        <v>4833</v>
      </c>
      <c r="D531" s="2" t="s">
        <v>2598</v>
      </c>
      <c r="E531" s="2" t="s">
        <v>34</v>
      </c>
    </row>
    <row r="532" spans="1:5" x14ac:dyDescent="0.2">
      <c r="A532" s="2" t="s">
        <v>3484</v>
      </c>
      <c r="B532" s="2" t="s">
        <v>4875</v>
      </c>
      <c r="C532" s="2" t="s">
        <v>4833</v>
      </c>
      <c r="D532" s="2" t="s">
        <v>3480</v>
      </c>
      <c r="E532" s="2" t="s">
        <v>34</v>
      </c>
    </row>
    <row r="533" spans="1:5" x14ac:dyDescent="0.2">
      <c r="A533" s="2" t="s">
        <v>372</v>
      </c>
      <c r="B533" s="2" t="s">
        <v>4875</v>
      </c>
      <c r="C533" s="2" t="s">
        <v>4833</v>
      </c>
      <c r="D533" s="2" t="s">
        <v>368</v>
      </c>
      <c r="E533" s="2" t="s">
        <v>34</v>
      </c>
    </row>
    <row r="534" spans="1:5" x14ac:dyDescent="0.2">
      <c r="A534" s="2" t="s">
        <v>3929</v>
      </c>
      <c r="B534" s="2" t="s">
        <v>4875</v>
      </c>
      <c r="C534" s="2" t="s">
        <v>4833</v>
      </c>
      <c r="D534" s="2" t="s">
        <v>3924</v>
      </c>
      <c r="E534" s="2" t="s">
        <v>34</v>
      </c>
    </row>
    <row r="535" spans="1:5" x14ac:dyDescent="0.2">
      <c r="A535" s="2" t="s">
        <v>3336</v>
      </c>
      <c r="B535" s="2" t="s">
        <v>4875</v>
      </c>
      <c r="C535" s="2" t="s">
        <v>4833</v>
      </c>
      <c r="D535" s="2" t="s">
        <v>3331</v>
      </c>
      <c r="E535" s="2" t="s">
        <v>34</v>
      </c>
    </row>
    <row r="536" spans="1:5" x14ac:dyDescent="0.2">
      <c r="A536" s="2" t="s">
        <v>4454</v>
      </c>
      <c r="B536" s="2" t="s">
        <v>4875</v>
      </c>
      <c r="C536" s="2" t="s">
        <v>4833</v>
      </c>
      <c r="D536" s="2" t="s">
        <v>4451</v>
      </c>
      <c r="E536" s="2" t="s">
        <v>34</v>
      </c>
    </row>
    <row r="537" spans="1:5" x14ac:dyDescent="0.2">
      <c r="A537" s="2" t="s">
        <v>315</v>
      </c>
      <c r="B537" s="2" t="s">
        <v>4875</v>
      </c>
      <c r="C537" s="2" t="s">
        <v>4833</v>
      </c>
      <c r="D537" s="2" t="s">
        <v>311</v>
      </c>
      <c r="E537" s="2" t="s">
        <v>34</v>
      </c>
    </row>
    <row r="538" spans="1:5" x14ac:dyDescent="0.2">
      <c r="A538" s="2" t="s">
        <v>4280</v>
      </c>
      <c r="B538" s="2" t="s">
        <v>4875</v>
      </c>
      <c r="C538" s="2" t="s">
        <v>4833</v>
      </c>
      <c r="D538" s="2" t="s">
        <v>4276</v>
      </c>
      <c r="E538" s="2" t="s">
        <v>34</v>
      </c>
    </row>
    <row r="539" spans="1:5" x14ac:dyDescent="0.2">
      <c r="A539" s="2" t="s">
        <v>2438</v>
      </c>
      <c r="B539" s="2" t="s">
        <v>4875</v>
      </c>
      <c r="C539" s="2" t="s">
        <v>4833</v>
      </c>
      <c r="D539" s="2" t="s">
        <v>2434</v>
      </c>
      <c r="E539" s="2" t="s">
        <v>34</v>
      </c>
    </row>
    <row r="540" spans="1:5" x14ac:dyDescent="0.2">
      <c r="A540" s="2" t="s">
        <v>4916</v>
      </c>
      <c r="B540" s="2" t="s">
        <v>4875</v>
      </c>
      <c r="C540" s="2" t="s">
        <v>4835</v>
      </c>
      <c r="D540" s="2" t="s">
        <v>34</v>
      </c>
      <c r="E540" s="2" t="s">
        <v>34</v>
      </c>
    </row>
    <row r="541" spans="1:5" x14ac:dyDescent="0.2">
      <c r="A541" s="2" t="s">
        <v>4917</v>
      </c>
      <c r="B541" s="2" t="s">
        <v>4875</v>
      </c>
      <c r="C541" s="2" t="s">
        <v>4835</v>
      </c>
      <c r="D541" s="2" t="s">
        <v>34</v>
      </c>
      <c r="E541" s="2" t="s">
        <v>34</v>
      </c>
    </row>
    <row r="542" spans="1:5" x14ac:dyDescent="0.2">
      <c r="A542" s="2" t="s">
        <v>4319</v>
      </c>
      <c r="B542" s="2" t="s">
        <v>4875</v>
      </c>
      <c r="C542" s="2" t="s">
        <v>4833</v>
      </c>
      <c r="D542" s="2" t="s">
        <v>4316</v>
      </c>
      <c r="E542" s="2" t="s">
        <v>34</v>
      </c>
    </row>
    <row r="543" spans="1:5" x14ac:dyDescent="0.2">
      <c r="A543" s="2" t="s">
        <v>4918</v>
      </c>
      <c r="B543" s="2" t="s">
        <v>4875</v>
      </c>
      <c r="C543" s="2" t="s">
        <v>4835</v>
      </c>
      <c r="D543" s="2" t="s">
        <v>34</v>
      </c>
      <c r="E543" s="2" t="s">
        <v>34</v>
      </c>
    </row>
    <row r="544" spans="1:5" x14ac:dyDescent="0.2">
      <c r="A544" s="2" t="s">
        <v>4919</v>
      </c>
      <c r="B544" s="2" t="s">
        <v>4875</v>
      </c>
      <c r="C544" s="2" t="s">
        <v>4837</v>
      </c>
      <c r="D544" s="2" t="s">
        <v>34</v>
      </c>
      <c r="E544" s="2" t="s">
        <v>34</v>
      </c>
    </row>
    <row r="545" spans="1:5" x14ac:dyDescent="0.2">
      <c r="A545" s="2" t="s">
        <v>4566</v>
      </c>
      <c r="B545" s="2" t="s">
        <v>4875</v>
      </c>
      <c r="C545" s="2" t="s">
        <v>4833</v>
      </c>
      <c r="D545" s="2" t="s">
        <v>4563</v>
      </c>
      <c r="E545" s="2" t="s">
        <v>34</v>
      </c>
    </row>
    <row r="546" spans="1:5" x14ac:dyDescent="0.2">
      <c r="A546" s="2" t="s">
        <v>597</v>
      </c>
      <c r="B546" s="2" t="s">
        <v>4875</v>
      </c>
      <c r="C546" s="2" t="s">
        <v>4833</v>
      </c>
      <c r="D546" s="2" t="s">
        <v>593</v>
      </c>
      <c r="E546" s="2" t="s">
        <v>34</v>
      </c>
    </row>
    <row r="547" spans="1:5" x14ac:dyDescent="0.2">
      <c r="A547" s="2" t="s">
        <v>2792</v>
      </c>
      <c r="B547" s="2" t="s">
        <v>4875</v>
      </c>
      <c r="C547" s="2" t="s">
        <v>4833</v>
      </c>
      <c r="D547" s="2" t="s">
        <v>2789</v>
      </c>
      <c r="E547" s="2" t="s">
        <v>34</v>
      </c>
    </row>
    <row r="548" spans="1:5" x14ac:dyDescent="0.2">
      <c r="A548" s="2" t="s">
        <v>4920</v>
      </c>
      <c r="B548" s="2" t="s">
        <v>4875</v>
      </c>
      <c r="C548" s="2" t="s">
        <v>4835</v>
      </c>
      <c r="D548" s="2" t="s">
        <v>34</v>
      </c>
      <c r="E548" s="2" t="s">
        <v>34</v>
      </c>
    </row>
    <row r="549" spans="1:5" x14ac:dyDescent="0.2">
      <c r="A549" s="2" t="s">
        <v>1247</v>
      </c>
      <c r="B549" s="2" t="s">
        <v>4875</v>
      </c>
      <c r="C549" s="2" t="s">
        <v>4833</v>
      </c>
      <c r="D549" s="2" t="s">
        <v>1242</v>
      </c>
      <c r="E549" s="2" t="s">
        <v>34</v>
      </c>
    </row>
    <row r="550" spans="1:5" x14ac:dyDescent="0.2">
      <c r="A550" s="2" t="s">
        <v>4921</v>
      </c>
      <c r="B550" s="2" t="s">
        <v>4875</v>
      </c>
      <c r="C550" s="2" t="s">
        <v>4837</v>
      </c>
      <c r="D550" s="2" t="s">
        <v>34</v>
      </c>
      <c r="E550" s="2" t="s">
        <v>34</v>
      </c>
    </row>
    <row r="551" spans="1:5" x14ac:dyDescent="0.2">
      <c r="A551" s="2" t="s">
        <v>4040</v>
      </c>
      <c r="B551" s="2" t="s">
        <v>4875</v>
      </c>
      <c r="C551" s="2" t="s">
        <v>4833</v>
      </c>
      <c r="D551" s="2" t="s">
        <v>4037</v>
      </c>
      <c r="E551" s="2" t="s">
        <v>34</v>
      </c>
    </row>
    <row r="552" spans="1:5" x14ac:dyDescent="0.2">
      <c r="A552" s="2" t="s">
        <v>859</v>
      </c>
      <c r="B552" s="2" t="s">
        <v>4875</v>
      </c>
      <c r="C552" s="2" t="s">
        <v>4833</v>
      </c>
      <c r="D552" s="2" t="s">
        <v>855</v>
      </c>
      <c r="E552" s="2" t="s">
        <v>34</v>
      </c>
    </row>
    <row r="553" spans="1:5" x14ac:dyDescent="0.2">
      <c r="A553" s="2" t="s">
        <v>3916</v>
      </c>
      <c r="B553" s="2" t="s">
        <v>4875</v>
      </c>
      <c r="C553" s="2" t="s">
        <v>4833</v>
      </c>
      <c r="D553" s="2" t="s">
        <v>3912</v>
      </c>
      <c r="E553" s="2" t="s">
        <v>34</v>
      </c>
    </row>
    <row r="554" spans="1:5" x14ac:dyDescent="0.2">
      <c r="A554" s="2" t="s">
        <v>4922</v>
      </c>
      <c r="B554" s="2" t="s">
        <v>4875</v>
      </c>
      <c r="C554" s="2" t="s">
        <v>4835</v>
      </c>
      <c r="D554" s="2" t="s">
        <v>34</v>
      </c>
      <c r="E554" s="2" t="s">
        <v>34</v>
      </c>
    </row>
    <row r="555" spans="1:5" x14ac:dyDescent="0.2">
      <c r="A555" s="2" t="s">
        <v>3287</v>
      </c>
      <c r="B555" s="2" t="s">
        <v>4875</v>
      </c>
      <c r="C555" s="2" t="s">
        <v>4833</v>
      </c>
      <c r="D555" s="2" t="s">
        <v>3282</v>
      </c>
      <c r="E555" s="2" t="s">
        <v>34</v>
      </c>
    </row>
    <row r="556" spans="1:5" x14ac:dyDescent="0.2">
      <c r="A556" s="2" t="s">
        <v>1823</v>
      </c>
      <c r="B556" s="2" t="s">
        <v>4875</v>
      </c>
      <c r="C556" s="2" t="s">
        <v>4833</v>
      </c>
      <c r="D556" s="2" t="s">
        <v>1819</v>
      </c>
      <c r="E556" s="2" t="s">
        <v>34</v>
      </c>
    </row>
    <row r="557" spans="1:5" x14ac:dyDescent="0.2">
      <c r="A557" s="2" t="s">
        <v>3232</v>
      </c>
      <c r="B557" s="2" t="s">
        <v>4875</v>
      </c>
      <c r="C557" s="2" t="s">
        <v>4833</v>
      </c>
      <c r="D557" s="2" t="s">
        <v>3229</v>
      </c>
      <c r="E557" s="2" t="s">
        <v>34</v>
      </c>
    </row>
    <row r="558" spans="1:5" x14ac:dyDescent="0.2">
      <c r="A558" s="2" t="s">
        <v>1920</v>
      </c>
      <c r="B558" s="2" t="s">
        <v>4875</v>
      </c>
      <c r="C558" s="2" t="s">
        <v>4833</v>
      </c>
      <c r="D558" s="2" t="s">
        <v>1915</v>
      </c>
      <c r="E558" s="2" t="s">
        <v>34</v>
      </c>
    </row>
    <row r="559" spans="1:5" x14ac:dyDescent="0.2">
      <c r="A559" s="2" t="s">
        <v>4333</v>
      </c>
      <c r="B559" s="2" t="s">
        <v>4875</v>
      </c>
      <c r="C559" s="2" t="s">
        <v>4833</v>
      </c>
      <c r="D559" s="2" t="s">
        <v>4330</v>
      </c>
      <c r="E559" s="2" t="s">
        <v>34</v>
      </c>
    </row>
    <row r="560" spans="1:5" x14ac:dyDescent="0.2">
      <c r="A560" s="2" t="s">
        <v>2369</v>
      </c>
      <c r="B560" s="2" t="s">
        <v>4875</v>
      </c>
      <c r="C560" s="2" t="s">
        <v>4833</v>
      </c>
      <c r="D560" s="2" t="s">
        <v>2365</v>
      </c>
      <c r="E560" s="2" t="s">
        <v>34</v>
      </c>
    </row>
    <row r="561" spans="1:5" x14ac:dyDescent="0.2">
      <c r="A561" s="2" t="s">
        <v>3163</v>
      </c>
      <c r="B561" s="2" t="s">
        <v>4875</v>
      </c>
      <c r="C561" s="2" t="s">
        <v>4833</v>
      </c>
      <c r="D561" s="2" t="s">
        <v>3159</v>
      </c>
      <c r="E561" s="2" t="s">
        <v>34</v>
      </c>
    </row>
    <row r="562" spans="1:5" x14ac:dyDescent="0.2">
      <c r="A562" s="2" t="s">
        <v>1591</v>
      </c>
      <c r="B562" s="2" t="s">
        <v>4875</v>
      </c>
      <c r="C562" s="2" t="s">
        <v>4833</v>
      </c>
      <c r="D562" s="2" t="s">
        <v>1588</v>
      </c>
      <c r="E562" s="2" t="s">
        <v>34</v>
      </c>
    </row>
    <row r="563" spans="1:5" x14ac:dyDescent="0.2">
      <c r="A563" s="2" t="s">
        <v>3762</v>
      </c>
      <c r="B563" s="2" t="s">
        <v>4875</v>
      </c>
      <c r="C563" s="2" t="s">
        <v>4833</v>
      </c>
      <c r="D563" s="2" t="s">
        <v>3758</v>
      </c>
      <c r="E563" s="2" t="s">
        <v>34</v>
      </c>
    </row>
    <row r="564" spans="1:5" x14ac:dyDescent="0.2">
      <c r="A564" s="2" t="s">
        <v>76</v>
      </c>
      <c r="B564" s="2" t="s">
        <v>4875</v>
      </c>
      <c r="C564" s="2" t="s">
        <v>4833</v>
      </c>
      <c r="D564" s="2" t="s">
        <v>70</v>
      </c>
      <c r="E564" s="2" t="s">
        <v>34</v>
      </c>
    </row>
    <row r="565" spans="1:5" x14ac:dyDescent="0.2">
      <c r="A565" s="2" t="s">
        <v>4923</v>
      </c>
      <c r="B565" s="2" t="s">
        <v>4875</v>
      </c>
      <c r="C565" s="2" t="s">
        <v>4835</v>
      </c>
      <c r="D565" s="2" t="s">
        <v>34</v>
      </c>
      <c r="E565" s="2" t="s">
        <v>34</v>
      </c>
    </row>
    <row r="566" spans="1:5" x14ac:dyDescent="0.2">
      <c r="A566" s="2" t="s">
        <v>2139</v>
      </c>
      <c r="B566" s="2" t="s">
        <v>4875</v>
      </c>
      <c r="C566" s="2" t="s">
        <v>4833</v>
      </c>
      <c r="D566" s="2" t="s">
        <v>2135</v>
      </c>
      <c r="E566" s="2" t="s">
        <v>34</v>
      </c>
    </row>
    <row r="567" spans="1:5" x14ac:dyDescent="0.2">
      <c r="A567" s="2" t="s">
        <v>488</v>
      </c>
      <c r="B567" s="2" t="s">
        <v>4875</v>
      </c>
      <c r="C567" s="2" t="s">
        <v>4833</v>
      </c>
      <c r="D567" s="2" t="s">
        <v>484</v>
      </c>
      <c r="E567" s="2" t="s">
        <v>34</v>
      </c>
    </row>
    <row r="568" spans="1:5" x14ac:dyDescent="0.2">
      <c r="A568" s="2" t="s">
        <v>4299</v>
      </c>
      <c r="B568" s="2" t="s">
        <v>4875</v>
      </c>
      <c r="C568" s="2" t="s">
        <v>4833</v>
      </c>
      <c r="D568" s="2" t="s">
        <v>4295</v>
      </c>
      <c r="E568" s="2" t="s">
        <v>34</v>
      </c>
    </row>
    <row r="569" spans="1:5" x14ac:dyDescent="0.2">
      <c r="A569" s="2" t="s">
        <v>3815</v>
      </c>
      <c r="B569" s="2" t="s">
        <v>4875</v>
      </c>
      <c r="C569" s="2" t="s">
        <v>4833</v>
      </c>
      <c r="D569" s="2" t="s">
        <v>3811</v>
      </c>
      <c r="E569" s="2" t="s">
        <v>34</v>
      </c>
    </row>
    <row r="570" spans="1:5" x14ac:dyDescent="0.2">
      <c r="A570" s="2" t="s">
        <v>2580</v>
      </c>
      <c r="B570" s="2" t="s">
        <v>4924</v>
      </c>
      <c r="C570" s="2" t="s">
        <v>4833</v>
      </c>
      <c r="D570" s="2" t="s">
        <v>2577</v>
      </c>
      <c r="E570" s="2" t="s">
        <v>34</v>
      </c>
    </row>
    <row r="571" spans="1:5" x14ac:dyDescent="0.2">
      <c r="A571" s="2" t="s">
        <v>4925</v>
      </c>
      <c r="B571" s="2" t="s">
        <v>4924</v>
      </c>
      <c r="C571" s="2" t="s">
        <v>4835</v>
      </c>
      <c r="D571" s="2" t="s">
        <v>34</v>
      </c>
      <c r="E571" s="2" t="s">
        <v>34</v>
      </c>
    </row>
    <row r="572" spans="1:5" x14ac:dyDescent="0.2">
      <c r="A572" s="2" t="s">
        <v>4761</v>
      </c>
      <c r="B572" s="2" t="s">
        <v>4924</v>
      </c>
      <c r="C572" s="2" t="s">
        <v>4833</v>
      </c>
      <c r="D572" s="2" t="s">
        <v>4758</v>
      </c>
      <c r="E572" s="2" t="s">
        <v>34</v>
      </c>
    </row>
    <row r="573" spans="1:5" x14ac:dyDescent="0.2">
      <c r="A573" s="2" t="s">
        <v>1730</v>
      </c>
      <c r="B573" s="2" t="s">
        <v>4924</v>
      </c>
      <c r="C573" s="2" t="s">
        <v>4833</v>
      </c>
      <c r="D573" s="2" t="s">
        <v>1727</v>
      </c>
      <c r="E573" s="2" t="s">
        <v>34</v>
      </c>
    </row>
    <row r="574" spans="1:5" x14ac:dyDescent="0.2">
      <c r="A574" s="2" t="s">
        <v>3429</v>
      </c>
      <c r="B574" s="2" t="s">
        <v>4924</v>
      </c>
      <c r="C574" s="2" t="s">
        <v>4833</v>
      </c>
      <c r="D574" s="2" t="s">
        <v>3425</v>
      </c>
      <c r="E574" s="2" t="s">
        <v>34</v>
      </c>
    </row>
    <row r="575" spans="1:5" x14ac:dyDescent="0.2">
      <c r="A575" s="2" t="s">
        <v>1483</v>
      </c>
      <c r="B575" s="2" t="s">
        <v>4924</v>
      </c>
      <c r="C575" s="2" t="s">
        <v>4833</v>
      </c>
      <c r="D575" s="2" t="s">
        <v>1479</v>
      </c>
      <c r="E575" s="2" t="s">
        <v>34</v>
      </c>
    </row>
    <row r="576" spans="1:5" x14ac:dyDescent="0.2">
      <c r="A576" s="2" t="s">
        <v>50</v>
      </c>
      <c r="B576" s="2" t="s">
        <v>4924</v>
      </c>
      <c r="C576" s="2" t="s">
        <v>4833</v>
      </c>
      <c r="D576" s="2" t="s">
        <v>45</v>
      </c>
      <c r="E576" s="2" t="s">
        <v>34</v>
      </c>
    </row>
    <row r="577" spans="1:5" x14ac:dyDescent="0.2">
      <c r="A577" s="2" t="s">
        <v>1550</v>
      </c>
      <c r="B577" s="2" t="s">
        <v>4924</v>
      </c>
      <c r="C577" s="2" t="s">
        <v>4833</v>
      </c>
      <c r="D577" s="2" t="s">
        <v>1545</v>
      </c>
      <c r="E577" s="2" t="s">
        <v>34</v>
      </c>
    </row>
    <row r="578" spans="1:5" x14ac:dyDescent="0.2">
      <c r="A578" s="2" t="s">
        <v>4926</v>
      </c>
      <c r="B578" s="2" t="s">
        <v>4924</v>
      </c>
      <c r="C578" s="2" t="s">
        <v>4835</v>
      </c>
      <c r="D578" s="2" t="s">
        <v>34</v>
      </c>
      <c r="E578" s="2" t="s">
        <v>34</v>
      </c>
    </row>
    <row r="579" spans="1:5" x14ac:dyDescent="0.2">
      <c r="A579" s="2" t="s">
        <v>4329</v>
      </c>
      <c r="B579" s="2" t="s">
        <v>4924</v>
      </c>
      <c r="C579" s="2" t="s">
        <v>4833</v>
      </c>
      <c r="D579" s="2" t="s">
        <v>4326</v>
      </c>
      <c r="E579" s="2" t="s">
        <v>34</v>
      </c>
    </row>
    <row r="580" spans="1:5" x14ac:dyDescent="0.2">
      <c r="A580" s="2" t="s">
        <v>1310</v>
      </c>
      <c r="B580" s="2" t="s">
        <v>4924</v>
      </c>
      <c r="C580" s="2" t="s">
        <v>4833</v>
      </c>
      <c r="D580" s="2" t="s">
        <v>1306</v>
      </c>
      <c r="E580" s="2" t="s">
        <v>34</v>
      </c>
    </row>
    <row r="581" spans="1:5" x14ac:dyDescent="0.2">
      <c r="A581" s="2" t="s">
        <v>2798</v>
      </c>
      <c r="B581" s="2" t="s">
        <v>4924</v>
      </c>
      <c r="C581" s="2" t="s">
        <v>4833</v>
      </c>
      <c r="D581" s="2" t="s">
        <v>2794</v>
      </c>
      <c r="E581" s="2" t="s">
        <v>34</v>
      </c>
    </row>
    <row r="582" spans="1:5" x14ac:dyDescent="0.2">
      <c r="A582" s="2" t="s">
        <v>1682</v>
      </c>
      <c r="B582" s="2" t="s">
        <v>4924</v>
      </c>
      <c r="C582" s="2" t="s">
        <v>4833</v>
      </c>
      <c r="D582" s="2" t="s">
        <v>1678</v>
      </c>
      <c r="E582" s="2" t="s">
        <v>34</v>
      </c>
    </row>
    <row r="583" spans="1:5" x14ac:dyDescent="0.2">
      <c r="A583" s="2" t="s">
        <v>1287</v>
      </c>
      <c r="B583" s="2" t="s">
        <v>4924</v>
      </c>
      <c r="C583" s="2" t="s">
        <v>4833</v>
      </c>
      <c r="D583" s="2" t="s">
        <v>1283</v>
      </c>
      <c r="E583" s="2" t="s">
        <v>34</v>
      </c>
    </row>
    <row r="584" spans="1:5" x14ac:dyDescent="0.2">
      <c r="A584" s="2" t="s">
        <v>3771</v>
      </c>
      <c r="B584" s="2" t="s">
        <v>4924</v>
      </c>
      <c r="C584" s="2" t="s">
        <v>4833</v>
      </c>
      <c r="D584" s="2" t="s">
        <v>3768</v>
      </c>
      <c r="E584" s="2" t="s">
        <v>34</v>
      </c>
    </row>
    <row r="585" spans="1:5" x14ac:dyDescent="0.2">
      <c r="A585" s="2" t="s">
        <v>4381</v>
      </c>
      <c r="B585" s="2" t="s">
        <v>4924</v>
      </c>
      <c r="C585" s="2" t="s">
        <v>4833</v>
      </c>
      <c r="D585" s="2" t="s">
        <v>4377</v>
      </c>
      <c r="E585" s="2" t="s">
        <v>34</v>
      </c>
    </row>
    <row r="586" spans="1:5" x14ac:dyDescent="0.2">
      <c r="A586" s="2" t="s">
        <v>4561</v>
      </c>
      <c r="B586" s="2" t="s">
        <v>4924</v>
      </c>
      <c r="C586" s="2" t="s">
        <v>4833</v>
      </c>
      <c r="D586" s="2" t="s">
        <v>4557</v>
      </c>
      <c r="E586" s="2" t="s">
        <v>34</v>
      </c>
    </row>
    <row r="587" spans="1:5" x14ac:dyDescent="0.2">
      <c r="A587" s="2" t="s">
        <v>540</v>
      </c>
      <c r="B587" s="2" t="s">
        <v>4924</v>
      </c>
      <c r="C587" s="2" t="s">
        <v>4833</v>
      </c>
      <c r="D587" s="2" t="s">
        <v>536</v>
      </c>
      <c r="E587" s="2" t="s">
        <v>34</v>
      </c>
    </row>
    <row r="588" spans="1:5" x14ac:dyDescent="0.2">
      <c r="A588" s="2" t="s">
        <v>2103</v>
      </c>
      <c r="B588" s="2" t="s">
        <v>4924</v>
      </c>
      <c r="C588" s="2" t="s">
        <v>4833</v>
      </c>
      <c r="D588" s="2" t="s">
        <v>2099</v>
      </c>
      <c r="E588" s="2" t="s">
        <v>34</v>
      </c>
    </row>
    <row r="589" spans="1:5" x14ac:dyDescent="0.2">
      <c r="A589" s="2" t="s">
        <v>1192</v>
      </c>
      <c r="B589" s="2" t="s">
        <v>4924</v>
      </c>
      <c r="C589" s="2" t="s">
        <v>4833</v>
      </c>
      <c r="D589" s="2" t="s">
        <v>1188</v>
      </c>
      <c r="E589" s="2" t="s">
        <v>34</v>
      </c>
    </row>
    <row r="590" spans="1:5" x14ac:dyDescent="0.2">
      <c r="A590" s="2" t="s">
        <v>1414</v>
      </c>
      <c r="B590" s="2" t="s">
        <v>4924</v>
      </c>
      <c r="C590" s="2" t="s">
        <v>4833</v>
      </c>
      <c r="D590" s="2" t="s">
        <v>1410</v>
      </c>
      <c r="E590" s="2" t="s">
        <v>34</v>
      </c>
    </row>
    <row r="591" spans="1:5" x14ac:dyDescent="0.2">
      <c r="A591" s="2" t="s">
        <v>3570</v>
      </c>
      <c r="B591" s="2" t="s">
        <v>4924</v>
      </c>
      <c r="C591" s="2" t="s">
        <v>4833</v>
      </c>
      <c r="D591" s="2" t="s">
        <v>3566</v>
      </c>
      <c r="E591" s="2" t="s">
        <v>34</v>
      </c>
    </row>
    <row r="592" spans="1:5" x14ac:dyDescent="0.2">
      <c r="A592" s="2" t="s">
        <v>3953</v>
      </c>
      <c r="B592" s="2" t="s">
        <v>4924</v>
      </c>
      <c r="C592" s="2" t="s">
        <v>4833</v>
      </c>
      <c r="D592" s="2" t="s">
        <v>3949</v>
      </c>
      <c r="E592" s="2" t="s">
        <v>34</v>
      </c>
    </row>
    <row r="593" spans="1:5" x14ac:dyDescent="0.2">
      <c r="A593" s="2" t="s">
        <v>177</v>
      </c>
      <c r="B593" s="2" t="s">
        <v>4924</v>
      </c>
      <c r="C593" s="2" t="s">
        <v>4833</v>
      </c>
      <c r="D593" s="2" t="s">
        <v>173</v>
      </c>
      <c r="E593" s="2" t="s">
        <v>34</v>
      </c>
    </row>
    <row r="594" spans="1:5" x14ac:dyDescent="0.2">
      <c r="A594" s="2" t="s">
        <v>4927</v>
      </c>
      <c r="B594" s="2" t="s">
        <v>4924</v>
      </c>
      <c r="C594" s="2" t="s">
        <v>4835</v>
      </c>
      <c r="D594" s="2" t="s">
        <v>34</v>
      </c>
      <c r="E594" s="2" t="s">
        <v>34</v>
      </c>
    </row>
    <row r="595" spans="1:5" x14ac:dyDescent="0.2">
      <c r="A595" s="2" t="s">
        <v>3730</v>
      </c>
      <c r="B595" s="2" t="s">
        <v>4924</v>
      </c>
      <c r="C595" s="2" t="s">
        <v>4833</v>
      </c>
      <c r="D595" s="2" t="s">
        <v>3727</v>
      </c>
      <c r="E595" s="2" t="s">
        <v>34</v>
      </c>
    </row>
    <row r="596" spans="1:5" x14ac:dyDescent="0.2">
      <c r="A596" s="2" t="s">
        <v>4015</v>
      </c>
      <c r="B596" s="2" t="s">
        <v>4924</v>
      </c>
      <c r="C596" s="2" t="s">
        <v>4833</v>
      </c>
      <c r="D596" s="2" t="s">
        <v>4012</v>
      </c>
      <c r="E596" s="2" t="s">
        <v>34</v>
      </c>
    </row>
    <row r="597" spans="1:5" x14ac:dyDescent="0.2">
      <c r="A597" s="2" t="s">
        <v>1212</v>
      </c>
      <c r="B597" s="2" t="s">
        <v>4924</v>
      </c>
      <c r="C597" s="2" t="s">
        <v>4833</v>
      </c>
      <c r="D597" s="2" t="s">
        <v>1208</v>
      </c>
      <c r="E597" s="2" t="s">
        <v>34</v>
      </c>
    </row>
    <row r="598" spans="1:5" x14ac:dyDescent="0.2">
      <c r="A598" s="2" t="s">
        <v>1187</v>
      </c>
      <c r="B598" s="2" t="s">
        <v>4924</v>
      </c>
      <c r="C598" s="2" t="s">
        <v>4833</v>
      </c>
      <c r="D598" s="2" t="s">
        <v>1182</v>
      </c>
      <c r="E598" s="2" t="s">
        <v>34</v>
      </c>
    </row>
    <row r="599" spans="1:5" x14ac:dyDescent="0.2">
      <c r="A599" s="2" t="s">
        <v>1837</v>
      </c>
      <c r="B599" s="2" t="s">
        <v>4924</v>
      </c>
      <c r="C599" s="2" t="s">
        <v>4833</v>
      </c>
      <c r="D599" s="2" t="s">
        <v>1833</v>
      </c>
      <c r="E599" s="2" t="s">
        <v>34</v>
      </c>
    </row>
    <row r="600" spans="1:5" x14ac:dyDescent="0.2">
      <c r="A600" s="2" t="s">
        <v>3210</v>
      </c>
      <c r="B600" s="2" t="s">
        <v>4924</v>
      </c>
      <c r="C600" s="2" t="s">
        <v>4833</v>
      </c>
      <c r="D600" s="2" t="s">
        <v>3206</v>
      </c>
      <c r="E600" s="2" t="s">
        <v>34</v>
      </c>
    </row>
    <row r="601" spans="1:5" x14ac:dyDescent="0.2">
      <c r="A601" s="2" t="s">
        <v>1131</v>
      </c>
      <c r="B601" s="2" t="s">
        <v>4924</v>
      </c>
      <c r="C601" s="2" t="s">
        <v>4833</v>
      </c>
      <c r="D601" s="2" t="s">
        <v>1126</v>
      </c>
      <c r="E601" s="2" t="s">
        <v>34</v>
      </c>
    </row>
    <row r="602" spans="1:5" x14ac:dyDescent="0.2">
      <c r="A602" s="2" t="s">
        <v>4928</v>
      </c>
      <c r="B602" s="2" t="s">
        <v>4924</v>
      </c>
      <c r="C602" s="2" t="s">
        <v>4835</v>
      </c>
      <c r="D602" s="2" t="s">
        <v>34</v>
      </c>
      <c r="E602" s="2" t="s">
        <v>34</v>
      </c>
    </row>
    <row r="603" spans="1:5" x14ac:dyDescent="0.2">
      <c r="A603" s="2" t="s">
        <v>4929</v>
      </c>
      <c r="B603" s="2" t="s">
        <v>4924</v>
      </c>
      <c r="C603" s="2" t="s">
        <v>4837</v>
      </c>
      <c r="D603" s="2" t="s">
        <v>34</v>
      </c>
      <c r="E603" s="2" t="s">
        <v>34</v>
      </c>
    </row>
    <row r="604" spans="1:5" x14ac:dyDescent="0.2">
      <c r="A604" s="2" t="s">
        <v>2363</v>
      </c>
      <c r="B604" s="2" t="s">
        <v>4924</v>
      </c>
      <c r="C604" s="2" t="s">
        <v>4833</v>
      </c>
      <c r="D604" s="2" t="s">
        <v>2359</v>
      </c>
      <c r="E604" s="2" t="s">
        <v>34</v>
      </c>
    </row>
    <row r="605" spans="1:5" x14ac:dyDescent="0.2">
      <c r="A605" s="2" t="s">
        <v>1647</v>
      </c>
      <c r="B605" s="2" t="s">
        <v>4924</v>
      </c>
      <c r="C605" s="2" t="s">
        <v>4833</v>
      </c>
      <c r="D605" s="2" t="s">
        <v>1643</v>
      </c>
      <c r="E605" s="2" t="s">
        <v>34</v>
      </c>
    </row>
    <row r="606" spans="1:5" x14ac:dyDescent="0.2">
      <c r="A606" s="2" t="s">
        <v>1064</v>
      </c>
      <c r="B606" s="2" t="s">
        <v>4924</v>
      </c>
      <c r="C606" s="2" t="s">
        <v>4833</v>
      </c>
      <c r="D606" s="2" t="s">
        <v>1058</v>
      </c>
      <c r="E606" s="2" t="s">
        <v>34</v>
      </c>
    </row>
    <row r="607" spans="1:5" x14ac:dyDescent="0.2">
      <c r="A607" s="2" t="s">
        <v>1174</v>
      </c>
      <c r="B607" s="2" t="s">
        <v>4924</v>
      </c>
      <c r="C607" s="2" t="s">
        <v>4833</v>
      </c>
      <c r="D607" s="2" t="s">
        <v>1170</v>
      </c>
      <c r="E607" s="2" t="s">
        <v>34</v>
      </c>
    </row>
    <row r="608" spans="1:5" x14ac:dyDescent="0.2">
      <c r="A608" s="2" t="s">
        <v>3072</v>
      </c>
      <c r="B608" s="2" t="s">
        <v>4924</v>
      </c>
      <c r="C608" s="2" t="s">
        <v>4833</v>
      </c>
      <c r="D608" s="2" t="s">
        <v>3068</v>
      </c>
      <c r="E608" s="2" t="s">
        <v>34</v>
      </c>
    </row>
    <row r="609" spans="1:5" x14ac:dyDescent="0.2">
      <c r="A609" s="2" t="s">
        <v>4543</v>
      </c>
      <c r="B609" s="2" t="s">
        <v>4924</v>
      </c>
      <c r="C609" s="2" t="s">
        <v>4833</v>
      </c>
      <c r="D609" s="2" t="s">
        <v>4540</v>
      </c>
      <c r="E609" s="2" t="s">
        <v>34</v>
      </c>
    </row>
    <row r="610" spans="1:5" x14ac:dyDescent="0.2">
      <c r="A610" s="2" t="s">
        <v>1510</v>
      </c>
      <c r="B610" s="2" t="s">
        <v>4924</v>
      </c>
      <c r="C610" s="2" t="s">
        <v>4833</v>
      </c>
      <c r="D610" s="2" t="s">
        <v>1507</v>
      </c>
      <c r="E610" s="2" t="s">
        <v>34</v>
      </c>
    </row>
    <row r="611" spans="1:5" x14ac:dyDescent="0.2">
      <c r="A611" s="2" t="s">
        <v>3424</v>
      </c>
      <c r="B611" s="2" t="s">
        <v>4924</v>
      </c>
      <c r="C611" s="2" t="s">
        <v>4833</v>
      </c>
      <c r="D611" s="2" t="s">
        <v>3418</v>
      </c>
      <c r="E611" s="2" t="s">
        <v>34</v>
      </c>
    </row>
    <row r="612" spans="1:5" x14ac:dyDescent="0.2">
      <c r="A612" s="2" t="s">
        <v>3998</v>
      </c>
      <c r="B612" s="2" t="s">
        <v>4924</v>
      </c>
      <c r="C612" s="2" t="s">
        <v>4833</v>
      </c>
      <c r="D612" s="2" t="s">
        <v>3994</v>
      </c>
      <c r="E612" s="2" t="s">
        <v>34</v>
      </c>
    </row>
    <row r="613" spans="1:5" x14ac:dyDescent="0.2">
      <c r="A613" s="2" t="s">
        <v>4930</v>
      </c>
      <c r="B613" s="2" t="s">
        <v>4924</v>
      </c>
      <c r="C613" s="2" t="s">
        <v>4835</v>
      </c>
      <c r="D613" s="2" t="s">
        <v>34</v>
      </c>
      <c r="E613" s="2" t="s">
        <v>34</v>
      </c>
    </row>
    <row r="614" spans="1:5" x14ac:dyDescent="0.2">
      <c r="A614" s="2" t="s">
        <v>1897</v>
      </c>
      <c r="B614" s="2" t="s">
        <v>4924</v>
      </c>
      <c r="C614" s="2" t="s">
        <v>4833</v>
      </c>
      <c r="D614" s="2" t="s">
        <v>1893</v>
      </c>
      <c r="E614" s="2" t="s">
        <v>34</v>
      </c>
    </row>
    <row r="615" spans="1:5" x14ac:dyDescent="0.2">
      <c r="A615" s="2" t="s">
        <v>4361</v>
      </c>
      <c r="B615" s="2" t="s">
        <v>4924</v>
      </c>
      <c r="C615" s="2" t="s">
        <v>4833</v>
      </c>
      <c r="D615" s="2" t="s">
        <v>4358</v>
      </c>
      <c r="E615" s="2" t="s">
        <v>34</v>
      </c>
    </row>
    <row r="616" spans="1:5" x14ac:dyDescent="0.2">
      <c r="A616" s="2" t="s">
        <v>4435</v>
      </c>
      <c r="B616" s="2" t="s">
        <v>4924</v>
      </c>
      <c r="C616" s="2" t="s">
        <v>4833</v>
      </c>
      <c r="D616" s="2" t="s">
        <v>4432</v>
      </c>
      <c r="E616" s="2" t="s">
        <v>34</v>
      </c>
    </row>
    <row r="617" spans="1:5" x14ac:dyDescent="0.2">
      <c r="A617" s="2" t="s">
        <v>1316</v>
      </c>
      <c r="B617" s="2" t="s">
        <v>4924</v>
      </c>
      <c r="C617" s="2" t="s">
        <v>4833</v>
      </c>
      <c r="D617" s="2" t="s">
        <v>1312</v>
      </c>
      <c r="E617" s="2" t="s">
        <v>34</v>
      </c>
    </row>
    <row r="618" spans="1:5" x14ac:dyDescent="0.2">
      <c r="A618" s="2" t="s">
        <v>336</v>
      </c>
      <c r="B618" s="2" t="s">
        <v>4924</v>
      </c>
      <c r="C618" s="2" t="s">
        <v>4833</v>
      </c>
      <c r="D618" s="2" t="s">
        <v>330</v>
      </c>
      <c r="E618" s="2" t="s">
        <v>34</v>
      </c>
    </row>
    <row r="619" spans="1:5" x14ac:dyDescent="0.2">
      <c r="A619" s="2" t="s">
        <v>3157</v>
      </c>
      <c r="B619" s="2" t="s">
        <v>4924</v>
      </c>
      <c r="C619" s="2" t="s">
        <v>4833</v>
      </c>
      <c r="D619" s="2" t="s">
        <v>3153</v>
      </c>
      <c r="E619" s="2" t="s">
        <v>34</v>
      </c>
    </row>
    <row r="620" spans="1:5" x14ac:dyDescent="0.2">
      <c r="A620" s="2" t="s">
        <v>939</v>
      </c>
      <c r="B620" s="2" t="s">
        <v>4924</v>
      </c>
      <c r="C620" s="2" t="s">
        <v>4833</v>
      </c>
      <c r="D620" s="2" t="s">
        <v>934</v>
      </c>
      <c r="E620" s="2" t="s">
        <v>34</v>
      </c>
    </row>
    <row r="621" spans="1:5" x14ac:dyDescent="0.2">
      <c r="A621" s="2" t="s">
        <v>4371</v>
      </c>
      <c r="B621" s="2" t="s">
        <v>4924</v>
      </c>
      <c r="C621" s="2" t="s">
        <v>4833</v>
      </c>
      <c r="D621" s="2" t="s">
        <v>4368</v>
      </c>
      <c r="E621" s="2" t="s">
        <v>34</v>
      </c>
    </row>
    <row r="622" spans="1:5" x14ac:dyDescent="0.2">
      <c r="A622" s="2" t="s">
        <v>3971</v>
      </c>
      <c r="B622" s="2" t="s">
        <v>4924</v>
      </c>
      <c r="C622" s="2" t="s">
        <v>4833</v>
      </c>
      <c r="D622" s="2" t="s">
        <v>3965</v>
      </c>
      <c r="E622" s="2" t="s">
        <v>34</v>
      </c>
    </row>
    <row r="623" spans="1:5" x14ac:dyDescent="0.2">
      <c r="A623" s="2" t="s">
        <v>3725</v>
      </c>
      <c r="B623" s="2" t="s">
        <v>4924</v>
      </c>
      <c r="C623" s="2" t="s">
        <v>4833</v>
      </c>
      <c r="D623" s="2" t="s">
        <v>3722</v>
      </c>
      <c r="E623" s="2" t="s">
        <v>34</v>
      </c>
    </row>
    <row r="624" spans="1:5" x14ac:dyDescent="0.2">
      <c r="A624" s="2" t="s">
        <v>471</v>
      </c>
      <c r="B624" s="2" t="s">
        <v>4924</v>
      </c>
      <c r="C624" s="2" t="s">
        <v>4833</v>
      </c>
      <c r="D624" s="2" t="s">
        <v>468</v>
      </c>
      <c r="E624" s="2" t="s">
        <v>34</v>
      </c>
    </row>
    <row r="625" spans="1:5" x14ac:dyDescent="0.2">
      <c r="A625" s="2" t="s">
        <v>702</v>
      </c>
      <c r="B625" s="2" t="s">
        <v>4924</v>
      </c>
      <c r="C625" s="2" t="s">
        <v>4833</v>
      </c>
      <c r="D625" s="2" t="s">
        <v>698</v>
      </c>
      <c r="E625" s="2" t="s">
        <v>34</v>
      </c>
    </row>
    <row r="626" spans="1:5" x14ac:dyDescent="0.2">
      <c r="A626" s="2" t="s">
        <v>2654</v>
      </c>
      <c r="B626" s="2" t="s">
        <v>4924</v>
      </c>
      <c r="C626" s="2" t="s">
        <v>4833</v>
      </c>
      <c r="D626" s="2" t="s">
        <v>2651</v>
      </c>
      <c r="E626" s="2" t="s">
        <v>34</v>
      </c>
    </row>
    <row r="627" spans="1:5" x14ac:dyDescent="0.2">
      <c r="A627" s="2" t="s">
        <v>3590</v>
      </c>
      <c r="B627" s="2" t="s">
        <v>4924</v>
      </c>
      <c r="C627" s="2" t="s">
        <v>4833</v>
      </c>
      <c r="D627" s="2" t="s">
        <v>3586</v>
      </c>
      <c r="E627" s="2" t="s">
        <v>34</v>
      </c>
    </row>
    <row r="628" spans="1:5" x14ac:dyDescent="0.2">
      <c r="A628" s="2" t="s">
        <v>1886</v>
      </c>
      <c r="B628" s="2" t="s">
        <v>4924</v>
      </c>
      <c r="C628" s="2" t="s">
        <v>4833</v>
      </c>
      <c r="D628" s="2" t="s">
        <v>1882</v>
      </c>
      <c r="E628" s="2" t="s">
        <v>34</v>
      </c>
    </row>
    <row r="629" spans="1:5" x14ac:dyDescent="0.2">
      <c r="A629" s="2" t="s">
        <v>3415</v>
      </c>
      <c r="B629" s="2" t="s">
        <v>4924</v>
      </c>
      <c r="C629" s="2" t="s">
        <v>4833</v>
      </c>
      <c r="D629" s="2" t="s">
        <v>3412</v>
      </c>
      <c r="E629" s="2" t="s">
        <v>34</v>
      </c>
    </row>
    <row r="630" spans="1:5" x14ac:dyDescent="0.2">
      <c r="A630" s="2" t="s">
        <v>1996</v>
      </c>
      <c r="B630" s="2" t="s">
        <v>4924</v>
      </c>
      <c r="C630" s="2" t="s">
        <v>4833</v>
      </c>
      <c r="D630" s="2" t="s">
        <v>1991</v>
      </c>
      <c r="E630" s="2" t="s">
        <v>34</v>
      </c>
    </row>
    <row r="631" spans="1:5" x14ac:dyDescent="0.2">
      <c r="A631" s="2" t="s">
        <v>4931</v>
      </c>
      <c r="B631" s="2" t="s">
        <v>4924</v>
      </c>
      <c r="C631" s="2" t="s">
        <v>4837</v>
      </c>
      <c r="D631" s="2" t="s">
        <v>34</v>
      </c>
      <c r="E631" s="2" t="s">
        <v>34</v>
      </c>
    </row>
    <row r="632" spans="1:5" x14ac:dyDescent="0.2">
      <c r="A632" s="2" t="s">
        <v>3772</v>
      </c>
      <c r="B632" s="2" t="s">
        <v>4924</v>
      </c>
      <c r="C632" s="2" t="s">
        <v>4833</v>
      </c>
      <c r="D632" s="2" t="s">
        <v>3768</v>
      </c>
      <c r="E632" s="2" t="s">
        <v>34</v>
      </c>
    </row>
    <row r="633" spans="1:5" x14ac:dyDescent="0.2">
      <c r="A633" s="2" t="s">
        <v>4233</v>
      </c>
      <c r="B633" s="2" t="s">
        <v>4924</v>
      </c>
      <c r="C633" s="2" t="s">
        <v>4833</v>
      </c>
      <c r="D633" s="2" t="s">
        <v>4230</v>
      </c>
      <c r="E633" s="2" t="s">
        <v>34</v>
      </c>
    </row>
    <row r="634" spans="1:5" x14ac:dyDescent="0.2">
      <c r="A634" s="2" t="s">
        <v>2254</v>
      </c>
      <c r="B634" s="2" t="s">
        <v>4924</v>
      </c>
      <c r="C634" s="2" t="s">
        <v>4833</v>
      </c>
      <c r="D634" s="2" t="s">
        <v>2249</v>
      </c>
      <c r="E634" s="2" t="s">
        <v>34</v>
      </c>
    </row>
    <row r="635" spans="1:5" x14ac:dyDescent="0.2">
      <c r="A635" s="2" t="s">
        <v>1003</v>
      </c>
      <c r="B635" s="2" t="s">
        <v>4924</v>
      </c>
      <c r="C635" s="2" t="s">
        <v>4833</v>
      </c>
      <c r="D635" s="2" t="s">
        <v>999</v>
      </c>
      <c r="E635" s="2" t="s">
        <v>34</v>
      </c>
    </row>
    <row r="636" spans="1:5" x14ac:dyDescent="0.2">
      <c r="A636" s="2" t="s">
        <v>3650</v>
      </c>
      <c r="B636" s="2" t="s">
        <v>4924</v>
      </c>
      <c r="C636" s="2" t="s">
        <v>4833</v>
      </c>
      <c r="D636" s="2" t="s">
        <v>3646</v>
      </c>
      <c r="E636" s="2" t="s">
        <v>34</v>
      </c>
    </row>
    <row r="637" spans="1:5" x14ac:dyDescent="0.2">
      <c r="A637" s="2" t="s">
        <v>1804</v>
      </c>
      <c r="B637" s="2" t="s">
        <v>4924</v>
      </c>
      <c r="C637" s="2" t="s">
        <v>4833</v>
      </c>
      <c r="D637" s="2" t="s">
        <v>1800</v>
      </c>
      <c r="E637" s="2" t="s">
        <v>34</v>
      </c>
    </row>
    <row r="638" spans="1:5" x14ac:dyDescent="0.2">
      <c r="A638" s="2" t="s">
        <v>2929</v>
      </c>
      <c r="B638" s="2" t="s">
        <v>4924</v>
      </c>
      <c r="C638" s="2" t="s">
        <v>4833</v>
      </c>
      <c r="D638" s="2" t="s">
        <v>2925</v>
      </c>
      <c r="E638" s="2" t="s">
        <v>34</v>
      </c>
    </row>
    <row r="639" spans="1:5" x14ac:dyDescent="0.2">
      <c r="A639" s="2" t="s">
        <v>3089</v>
      </c>
      <c r="B639" s="2" t="s">
        <v>4924</v>
      </c>
      <c r="C639" s="2" t="s">
        <v>4833</v>
      </c>
      <c r="D639" s="2" t="s">
        <v>3085</v>
      </c>
      <c r="E639" s="2" t="s">
        <v>34</v>
      </c>
    </row>
    <row r="640" spans="1:5" x14ac:dyDescent="0.2">
      <c r="A640" s="2" t="s">
        <v>4932</v>
      </c>
      <c r="B640" s="2" t="s">
        <v>4924</v>
      </c>
      <c r="C640" s="2" t="s">
        <v>4835</v>
      </c>
      <c r="D640" s="2" t="s">
        <v>34</v>
      </c>
      <c r="E640" s="2" t="s">
        <v>34</v>
      </c>
    </row>
    <row r="641" spans="1:5" x14ac:dyDescent="0.2">
      <c r="A641" s="2" t="s">
        <v>674</v>
      </c>
      <c r="B641" s="2" t="s">
        <v>4924</v>
      </c>
      <c r="C641" s="2" t="s">
        <v>4833</v>
      </c>
      <c r="D641" s="2" t="s">
        <v>670</v>
      </c>
      <c r="E641" s="2" t="s">
        <v>34</v>
      </c>
    </row>
    <row r="642" spans="1:5" x14ac:dyDescent="0.2">
      <c r="A642" s="2" t="s">
        <v>1397</v>
      </c>
      <c r="B642" s="2" t="s">
        <v>4924</v>
      </c>
      <c r="C642" s="2" t="s">
        <v>4833</v>
      </c>
      <c r="D642" s="2" t="s">
        <v>1393</v>
      </c>
      <c r="E642" s="2" t="s">
        <v>34</v>
      </c>
    </row>
    <row r="643" spans="1:5" x14ac:dyDescent="0.2">
      <c r="A643" s="2" t="s">
        <v>3324</v>
      </c>
      <c r="B643" s="2" t="s">
        <v>4924</v>
      </c>
      <c r="C643" s="2" t="s">
        <v>4833</v>
      </c>
      <c r="D643" s="2" t="s">
        <v>3319</v>
      </c>
      <c r="E643" s="2" t="s">
        <v>34</v>
      </c>
    </row>
    <row r="644" spans="1:5" x14ac:dyDescent="0.2">
      <c r="A644" s="2" t="s">
        <v>4526</v>
      </c>
      <c r="B644" s="2" t="s">
        <v>4924</v>
      </c>
      <c r="C644" s="2" t="s">
        <v>4833</v>
      </c>
      <c r="D644" s="2" t="s">
        <v>4523</v>
      </c>
      <c r="E644" s="2" t="s">
        <v>34</v>
      </c>
    </row>
    <row r="645" spans="1:5" x14ac:dyDescent="0.2">
      <c r="A645" s="2" t="s">
        <v>4449</v>
      </c>
      <c r="B645" s="2" t="s">
        <v>4924</v>
      </c>
      <c r="C645" s="2" t="s">
        <v>4833</v>
      </c>
      <c r="D645" s="2" t="s">
        <v>4446</v>
      </c>
      <c r="E645" s="2" t="s">
        <v>34</v>
      </c>
    </row>
    <row r="646" spans="1:5" x14ac:dyDescent="0.2">
      <c r="A646" s="2" t="s">
        <v>4933</v>
      </c>
      <c r="B646" s="2" t="s">
        <v>4924</v>
      </c>
      <c r="C646" s="2" t="s">
        <v>4837</v>
      </c>
      <c r="D646" s="2" t="s">
        <v>34</v>
      </c>
      <c r="E646" s="2" t="s">
        <v>34</v>
      </c>
    </row>
    <row r="647" spans="1:5" x14ac:dyDescent="0.2">
      <c r="A647" s="2" t="s">
        <v>1990</v>
      </c>
      <c r="B647" s="2" t="s">
        <v>4924</v>
      </c>
      <c r="C647" s="2" t="s">
        <v>4833</v>
      </c>
      <c r="D647" s="2" t="s">
        <v>1986</v>
      </c>
      <c r="E647" s="2" t="s">
        <v>34</v>
      </c>
    </row>
    <row r="648" spans="1:5" x14ac:dyDescent="0.2">
      <c r="A648" s="2" t="s">
        <v>4934</v>
      </c>
      <c r="B648" s="2" t="s">
        <v>4924</v>
      </c>
      <c r="C648" s="2" t="s">
        <v>4835</v>
      </c>
      <c r="D648" s="2" t="s">
        <v>34</v>
      </c>
      <c r="E648" s="2" t="s">
        <v>34</v>
      </c>
    </row>
    <row r="649" spans="1:5" x14ac:dyDescent="0.2">
      <c r="A649" s="2" t="s">
        <v>4455</v>
      </c>
      <c r="B649" s="2" t="s">
        <v>4924</v>
      </c>
      <c r="C649" s="2" t="s">
        <v>4833</v>
      </c>
      <c r="D649" s="2" t="s">
        <v>4451</v>
      </c>
      <c r="E649" s="2" t="s">
        <v>34</v>
      </c>
    </row>
    <row r="650" spans="1:5" x14ac:dyDescent="0.2">
      <c r="A650" s="2" t="s">
        <v>3654</v>
      </c>
      <c r="B650" s="2" t="s">
        <v>4924</v>
      </c>
      <c r="C650" s="2" t="s">
        <v>4833</v>
      </c>
      <c r="D650" s="2" t="s">
        <v>3651</v>
      </c>
      <c r="E650" s="2" t="s">
        <v>34</v>
      </c>
    </row>
    <row r="651" spans="1:5" x14ac:dyDescent="0.2">
      <c r="A651" s="2" t="s">
        <v>466</v>
      </c>
      <c r="B651" s="2" t="s">
        <v>4924</v>
      </c>
      <c r="C651" s="2" t="s">
        <v>4833</v>
      </c>
      <c r="D651" s="2" t="s">
        <v>461</v>
      </c>
      <c r="E651" s="2" t="s">
        <v>34</v>
      </c>
    </row>
    <row r="652" spans="1:5" x14ac:dyDescent="0.2">
      <c r="A652" s="2" t="s">
        <v>634</v>
      </c>
      <c r="B652" s="2" t="s">
        <v>4924</v>
      </c>
      <c r="C652" s="2" t="s">
        <v>4833</v>
      </c>
      <c r="D652" s="2" t="s">
        <v>630</v>
      </c>
      <c r="E652" s="2" t="s">
        <v>34</v>
      </c>
    </row>
    <row r="653" spans="1:5" x14ac:dyDescent="0.2">
      <c r="A653" s="2" t="s">
        <v>546</v>
      </c>
      <c r="B653" s="2" t="s">
        <v>4924</v>
      </c>
      <c r="C653" s="2" t="s">
        <v>4833</v>
      </c>
      <c r="D653" s="2" t="s">
        <v>542</v>
      </c>
      <c r="E653" s="2" t="s">
        <v>34</v>
      </c>
    </row>
    <row r="654" spans="1:5" x14ac:dyDescent="0.2">
      <c r="A654" s="2" t="s">
        <v>3359</v>
      </c>
      <c r="B654" s="2" t="s">
        <v>4924</v>
      </c>
      <c r="C654" s="2" t="s">
        <v>4833</v>
      </c>
      <c r="D654" s="2" t="s">
        <v>3355</v>
      </c>
      <c r="E654" s="2" t="s">
        <v>34</v>
      </c>
    </row>
    <row r="655" spans="1:5" x14ac:dyDescent="0.2">
      <c r="A655" s="2" t="s">
        <v>1042</v>
      </c>
      <c r="B655" s="2" t="s">
        <v>4924</v>
      </c>
      <c r="C655" s="2" t="s">
        <v>4833</v>
      </c>
      <c r="D655" s="2" t="s">
        <v>1038</v>
      </c>
      <c r="E655" s="2" t="s">
        <v>34</v>
      </c>
    </row>
    <row r="656" spans="1:5" x14ac:dyDescent="0.2">
      <c r="A656" s="2" t="s">
        <v>132</v>
      </c>
      <c r="B656" s="2" t="s">
        <v>4924</v>
      </c>
      <c r="C656" s="2" t="s">
        <v>4833</v>
      </c>
      <c r="D656" s="2" t="s">
        <v>127</v>
      </c>
      <c r="E656" s="2" t="s">
        <v>34</v>
      </c>
    </row>
    <row r="657" spans="1:5" x14ac:dyDescent="0.2">
      <c r="A657" s="2" t="s">
        <v>2356</v>
      </c>
      <c r="B657" s="2" t="s">
        <v>4924</v>
      </c>
      <c r="C657" s="2" t="s">
        <v>4833</v>
      </c>
      <c r="D657" s="2" t="s">
        <v>2353</v>
      </c>
      <c r="E657" s="2" t="s">
        <v>34</v>
      </c>
    </row>
    <row r="658" spans="1:5" x14ac:dyDescent="0.2">
      <c r="A658" s="2" t="s">
        <v>4052</v>
      </c>
      <c r="B658" s="2" t="s">
        <v>4924</v>
      </c>
      <c r="C658" s="2" t="s">
        <v>4833</v>
      </c>
      <c r="D658" s="2" t="s">
        <v>4048</v>
      </c>
      <c r="E658" s="2" t="s">
        <v>34</v>
      </c>
    </row>
    <row r="659" spans="1:5" x14ac:dyDescent="0.2">
      <c r="A659" s="2" t="s">
        <v>1514</v>
      </c>
      <c r="B659" s="2" t="s">
        <v>4924</v>
      </c>
      <c r="C659" s="2" t="s">
        <v>4833</v>
      </c>
      <c r="D659" s="2" t="s">
        <v>1511</v>
      </c>
      <c r="E659" s="2" t="s">
        <v>34</v>
      </c>
    </row>
    <row r="660" spans="1:5" x14ac:dyDescent="0.2">
      <c r="A660" s="2" t="s">
        <v>3043</v>
      </c>
      <c r="B660" s="2" t="s">
        <v>4924</v>
      </c>
      <c r="C660" s="2" t="s">
        <v>4833</v>
      </c>
      <c r="D660" s="2" t="s">
        <v>3039</v>
      </c>
      <c r="E660" s="2" t="s">
        <v>34</v>
      </c>
    </row>
    <row r="661" spans="1:5" x14ac:dyDescent="0.2">
      <c r="A661" s="2" t="s">
        <v>835</v>
      </c>
      <c r="B661" s="2" t="s">
        <v>4924</v>
      </c>
      <c r="C661" s="2" t="s">
        <v>4833</v>
      </c>
      <c r="D661" s="2" t="s">
        <v>832</v>
      </c>
      <c r="E661" s="2" t="s">
        <v>34</v>
      </c>
    </row>
    <row r="662" spans="1:5" x14ac:dyDescent="0.2">
      <c r="A662" s="2" t="s">
        <v>1471</v>
      </c>
      <c r="B662" s="2" t="s">
        <v>4924</v>
      </c>
      <c r="C662" s="2" t="s">
        <v>4833</v>
      </c>
      <c r="D662" s="2" t="s">
        <v>1467</v>
      </c>
      <c r="E662" s="2" t="s">
        <v>34</v>
      </c>
    </row>
    <row r="663" spans="1:5" x14ac:dyDescent="0.2">
      <c r="A663" s="2" t="s">
        <v>553</v>
      </c>
      <c r="B663" s="2" t="s">
        <v>4924</v>
      </c>
      <c r="C663" s="2" t="s">
        <v>4833</v>
      </c>
      <c r="D663" s="2" t="s">
        <v>548</v>
      </c>
      <c r="E663" s="2" t="s">
        <v>34</v>
      </c>
    </row>
    <row r="664" spans="1:5" x14ac:dyDescent="0.2">
      <c r="A664" s="2" t="s">
        <v>1757</v>
      </c>
      <c r="B664" s="2" t="s">
        <v>4924</v>
      </c>
      <c r="C664" s="2" t="s">
        <v>4833</v>
      </c>
      <c r="D664" s="2" t="s">
        <v>1753</v>
      </c>
      <c r="E664" s="2" t="s">
        <v>34</v>
      </c>
    </row>
    <row r="665" spans="1:5" x14ac:dyDescent="0.2">
      <c r="A665" s="2" t="s">
        <v>4935</v>
      </c>
      <c r="B665" s="2" t="s">
        <v>4924</v>
      </c>
      <c r="C665" s="2" t="s">
        <v>4835</v>
      </c>
      <c r="D665" s="2" t="s">
        <v>34</v>
      </c>
      <c r="E665" s="2" t="s">
        <v>34</v>
      </c>
    </row>
    <row r="666" spans="1:5" x14ac:dyDescent="0.2">
      <c r="A666" s="2" t="s">
        <v>4936</v>
      </c>
      <c r="B666" s="2" t="s">
        <v>4924</v>
      </c>
      <c r="C666" s="2" t="s">
        <v>4835</v>
      </c>
      <c r="D666" s="2" t="s">
        <v>34</v>
      </c>
      <c r="E666" s="2" t="s">
        <v>34</v>
      </c>
    </row>
    <row r="667" spans="1:5" x14ac:dyDescent="0.2">
      <c r="A667" s="2" t="s">
        <v>2961</v>
      </c>
      <c r="B667" s="2" t="s">
        <v>4924</v>
      </c>
      <c r="C667" s="2" t="s">
        <v>4833</v>
      </c>
      <c r="D667" s="2" t="s">
        <v>2958</v>
      </c>
      <c r="E667" s="2" t="s">
        <v>34</v>
      </c>
    </row>
    <row r="668" spans="1:5" x14ac:dyDescent="0.2">
      <c r="A668" s="2" t="s">
        <v>1569</v>
      </c>
      <c r="B668" s="2" t="s">
        <v>4924</v>
      </c>
      <c r="C668" s="2" t="s">
        <v>4833</v>
      </c>
      <c r="D668" s="2" t="s">
        <v>1564</v>
      </c>
      <c r="E668" s="2" t="s">
        <v>34</v>
      </c>
    </row>
    <row r="669" spans="1:5" x14ac:dyDescent="0.2">
      <c r="A669" s="2" t="s">
        <v>2951</v>
      </c>
      <c r="B669" s="2" t="s">
        <v>4924</v>
      </c>
      <c r="C669" s="2" t="s">
        <v>4833</v>
      </c>
      <c r="D669" s="2" t="s">
        <v>2947</v>
      </c>
      <c r="E669" s="2" t="s">
        <v>34</v>
      </c>
    </row>
    <row r="670" spans="1:5" x14ac:dyDescent="0.2">
      <c r="A670" s="2" t="s">
        <v>1635</v>
      </c>
      <c r="B670" s="2" t="s">
        <v>4924</v>
      </c>
      <c r="C670" s="2" t="s">
        <v>4833</v>
      </c>
      <c r="D670" s="2" t="s">
        <v>1631</v>
      </c>
      <c r="E670" s="2" t="s">
        <v>34</v>
      </c>
    </row>
    <row r="671" spans="1:5" x14ac:dyDescent="0.2">
      <c r="A671" s="2" t="s">
        <v>1601</v>
      </c>
      <c r="B671" s="2" t="s">
        <v>4924</v>
      </c>
      <c r="C671" s="2" t="s">
        <v>4833</v>
      </c>
      <c r="D671" s="2" t="s">
        <v>1598</v>
      </c>
      <c r="E671" s="2" t="s">
        <v>34</v>
      </c>
    </row>
    <row r="672" spans="1:5" x14ac:dyDescent="0.2">
      <c r="A672" s="2" t="s">
        <v>3720</v>
      </c>
      <c r="B672" s="2" t="s">
        <v>4924</v>
      </c>
      <c r="C672" s="2" t="s">
        <v>4833</v>
      </c>
      <c r="D672" s="2" t="s">
        <v>3717</v>
      </c>
      <c r="E672" s="2" t="s">
        <v>34</v>
      </c>
    </row>
    <row r="673" spans="1:5" x14ac:dyDescent="0.2">
      <c r="A673" s="2" t="s">
        <v>3528</v>
      </c>
      <c r="B673" s="2" t="s">
        <v>4924</v>
      </c>
      <c r="C673" s="2" t="s">
        <v>4833</v>
      </c>
      <c r="D673" s="2" t="s">
        <v>3524</v>
      </c>
      <c r="E673" s="2" t="s">
        <v>34</v>
      </c>
    </row>
    <row r="674" spans="1:5" x14ac:dyDescent="0.2">
      <c r="A674" s="2" t="s">
        <v>1305</v>
      </c>
      <c r="B674" s="2" t="s">
        <v>4924</v>
      </c>
      <c r="C674" s="2" t="s">
        <v>4833</v>
      </c>
      <c r="D674" s="2" t="s">
        <v>1300</v>
      </c>
      <c r="E674" s="2" t="s">
        <v>34</v>
      </c>
    </row>
    <row r="675" spans="1:5" x14ac:dyDescent="0.2">
      <c r="A675" s="2" t="s">
        <v>1240</v>
      </c>
      <c r="B675" s="2" t="s">
        <v>4924</v>
      </c>
      <c r="C675" s="2" t="s">
        <v>4833</v>
      </c>
      <c r="D675" s="2" t="s">
        <v>1236</v>
      </c>
      <c r="E675" s="2" t="s">
        <v>34</v>
      </c>
    </row>
    <row r="676" spans="1:5" x14ac:dyDescent="0.2">
      <c r="A676" s="2" t="s">
        <v>3668</v>
      </c>
      <c r="B676" s="2" t="s">
        <v>4924</v>
      </c>
      <c r="C676" s="2" t="s">
        <v>4833</v>
      </c>
      <c r="D676" s="2" t="s">
        <v>3664</v>
      </c>
      <c r="E676" s="2" t="s">
        <v>34</v>
      </c>
    </row>
    <row r="677" spans="1:5" x14ac:dyDescent="0.2">
      <c r="A677" s="2" t="s">
        <v>4095</v>
      </c>
      <c r="B677" s="2" t="s">
        <v>4924</v>
      </c>
      <c r="C677" s="2" t="s">
        <v>4833</v>
      </c>
      <c r="D677" s="2" t="s">
        <v>4092</v>
      </c>
      <c r="E677" s="2" t="s">
        <v>34</v>
      </c>
    </row>
    <row r="678" spans="1:5" x14ac:dyDescent="0.2">
      <c r="A678" s="2" t="s">
        <v>4772</v>
      </c>
      <c r="B678" s="2" t="s">
        <v>4924</v>
      </c>
      <c r="C678" s="2" t="s">
        <v>4833</v>
      </c>
      <c r="D678" s="2" t="s">
        <v>4769</v>
      </c>
      <c r="E678" s="2" t="s">
        <v>34</v>
      </c>
    </row>
    <row r="679" spans="1:5" x14ac:dyDescent="0.2">
      <c r="A679" s="2" t="s">
        <v>969</v>
      </c>
      <c r="B679" s="2" t="s">
        <v>4924</v>
      </c>
      <c r="C679" s="2" t="s">
        <v>4833</v>
      </c>
      <c r="D679" s="2" t="s">
        <v>965</v>
      </c>
      <c r="E679" s="2" t="s">
        <v>34</v>
      </c>
    </row>
    <row r="680" spans="1:5" x14ac:dyDescent="0.2">
      <c r="A680" s="2" t="s">
        <v>3062</v>
      </c>
      <c r="B680" s="2" t="s">
        <v>4924</v>
      </c>
      <c r="C680" s="2" t="s">
        <v>4833</v>
      </c>
      <c r="D680" s="2" t="s">
        <v>3058</v>
      </c>
      <c r="E680" s="2" t="s">
        <v>34</v>
      </c>
    </row>
    <row r="681" spans="1:5" x14ac:dyDescent="0.2">
      <c r="A681" s="2" t="s">
        <v>3863</v>
      </c>
      <c r="B681" s="2" t="s">
        <v>4924</v>
      </c>
      <c r="C681" s="2" t="s">
        <v>4833</v>
      </c>
      <c r="D681" s="2" t="s">
        <v>3859</v>
      </c>
      <c r="E681" s="2" t="s">
        <v>34</v>
      </c>
    </row>
    <row r="682" spans="1:5" x14ac:dyDescent="0.2">
      <c r="A682" s="2" t="s">
        <v>4180</v>
      </c>
      <c r="B682" s="2" t="s">
        <v>4924</v>
      </c>
      <c r="C682" s="2" t="s">
        <v>4833</v>
      </c>
      <c r="D682" s="2" t="s">
        <v>4176</v>
      </c>
      <c r="E682" s="2" t="s">
        <v>34</v>
      </c>
    </row>
    <row r="683" spans="1:5" x14ac:dyDescent="0.2">
      <c r="A683" s="2" t="s">
        <v>1659</v>
      </c>
      <c r="B683" s="2" t="s">
        <v>4924</v>
      </c>
      <c r="C683" s="2" t="s">
        <v>4833</v>
      </c>
      <c r="D683" s="2" t="s">
        <v>1655</v>
      </c>
      <c r="E683" s="2" t="s">
        <v>34</v>
      </c>
    </row>
    <row r="684" spans="1:5" x14ac:dyDescent="0.2">
      <c r="A684" s="2" t="s">
        <v>3841</v>
      </c>
      <c r="B684" s="2" t="s">
        <v>4924</v>
      </c>
      <c r="C684" s="2" t="s">
        <v>4833</v>
      </c>
      <c r="D684" s="2" t="s">
        <v>3837</v>
      </c>
      <c r="E684" s="2" t="s">
        <v>34</v>
      </c>
    </row>
    <row r="685" spans="1:5" x14ac:dyDescent="0.2">
      <c r="A685" s="2" t="s">
        <v>4289</v>
      </c>
      <c r="B685" s="2" t="s">
        <v>4924</v>
      </c>
      <c r="C685" s="2" t="s">
        <v>4833</v>
      </c>
      <c r="D685" s="2" t="s">
        <v>4286</v>
      </c>
      <c r="E685" s="2" t="s">
        <v>34</v>
      </c>
    </row>
    <row r="686" spans="1:5" x14ac:dyDescent="0.2">
      <c r="A686" s="2" t="s">
        <v>3118</v>
      </c>
      <c r="B686" s="2" t="s">
        <v>4924</v>
      </c>
      <c r="C686" s="2" t="s">
        <v>4833</v>
      </c>
      <c r="D686" s="2" t="s">
        <v>3115</v>
      </c>
      <c r="E686" s="2" t="s">
        <v>34</v>
      </c>
    </row>
    <row r="687" spans="1:5" x14ac:dyDescent="0.2">
      <c r="A687" s="2" t="s">
        <v>2910</v>
      </c>
      <c r="B687" s="2" t="s">
        <v>4924</v>
      </c>
      <c r="C687" s="2" t="s">
        <v>4833</v>
      </c>
      <c r="D687" s="2" t="s">
        <v>2904</v>
      </c>
      <c r="E687" s="2" t="s">
        <v>34</v>
      </c>
    </row>
    <row r="688" spans="1:5" x14ac:dyDescent="0.2">
      <c r="A688" s="2" t="s">
        <v>3897</v>
      </c>
      <c r="B688" s="2" t="s">
        <v>4924</v>
      </c>
      <c r="C688" s="2" t="s">
        <v>4833</v>
      </c>
      <c r="D688" s="2" t="s">
        <v>3893</v>
      </c>
      <c r="E688" s="2" t="s">
        <v>34</v>
      </c>
    </row>
    <row r="689" spans="1:5" x14ac:dyDescent="0.2">
      <c r="A689" s="2" t="s">
        <v>2529</v>
      </c>
      <c r="B689" s="2" t="s">
        <v>4924</v>
      </c>
      <c r="C689" s="2" t="s">
        <v>4833</v>
      </c>
      <c r="D689" s="2" t="s">
        <v>2524</v>
      </c>
      <c r="E689" s="2" t="s">
        <v>34</v>
      </c>
    </row>
    <row r="690" spans="1:5" x14ac:dyDescent="0.2">
      <c r="A690" s="2" t="s">
        <v>3622</v>
      </c>
      <c r="B690" s="2" t="s">
        <v>4924</v>
      </c>
      <c r="C690" s="2" t="s">
        <v>4833</v>
      </c>
      <c r="D690" s="2" t="s">
        <v>3619</v>
      </c>
      <c r="E690" s="2" t="s">
        <v>34</v>
      </c>
    </row>
    <row r="691" spans="1:5" x14ac:dyDescent="0.2">
      <c r="A691" s="2" t="s">
        <v>4937</v>
      </c>
      <c r="B691" s="2" t="s">
        <v>4924</v>
      </c>
      <c r="C691" s="2" t="s">
        <v>4835</v>
      </c>
      <c r="D691" s="2" t="s">
        <v>34</v>
      </c>
      <c r="E691" s="2" t="s">
        <v>34</v>
      </c>
    </row>
    <row r="692" spans="1:5" x14ac:dyDescent="0.2">
      <c r="A692" s="2" t="s">
        <v>1817</v>
      </c>
      <c r="B692" s="2" t="s">
        <v>4924</v>
      </c>
      <c r="C692" s="2" t="s">
        <v>4833</v>
      </c>
      <c r="D692" s="2" t="s">
        <v>1813</v>
      </c>
      <c r="E692" s="2" t="s">
        <v>34</v>
      </c>
    </row>
    <row r="693" spans="1:5" x14ac:dyDescent="0.2">
      <c r="A693" s="2" t="s">
        <v>3701</v>
      </c>
      <c r="B693" s="2" t="s">
        <v>4924</v>
      </c>
      <c r="C693" s="2" t="s">
        <v>4833</v>
      </c>
      <c r="D693" s="2" t="s">
        <v>3698</v>
      </c>
      <c r="E693" s="2" t="s">
        <v>34</v>
      </c>
    </row>
    <row r="694" spans="1:5" x14ac:dyDescent="0.2">
      <c r="A694" s="2" t="s">
        <v>4805</v>
      </c>
      <c r="B694" s="2" t="s">
        <v>4924</v>
      </c>
      <c r="C694" s="2" t="s">
        <v>4833</v>
      </c>
      <c r="D694" s="2" t="s">
        <v>4801</v>
      </c>
      <c r="E694" s="2" t="s">
        <v>34</v>
      </c>
    </row>
    <row r="695" spans="1:5" x14ac:dyDescent="0.2">
      <c r="A695" s="2" t="s">
        <v>3790</v>
      </c>
      <c r="B695" s="2" t="s">
        <v>4924</v>
      </c>
      <c r="C695" s="2" t="s">
        <v>4833</v>
      </c>
      <c r="D695" s="2" t="s">
        <v>3786</v>
      </c>
      <c r="E695" s="2" t="s">
        <v>34</v>
      </c>
    </row>
    <row r="696" spans="1:5" x14ac:dyDescent="0.2">
      <c r="A696" s="2" t="s">
        <v>4681</v>
      </c>
      <c r="B696" s="2" t="s">
        <v>4924</v>
      </c>
      <c r="C696" s="2" t="s">
        <v>4833</v>
      </c>
      <c r="D696" s="2" t="s">
        <v>4677</v>
      </c>
      <c r="E696" s="2" t="s">
        <v>34</v>
      </c>
    </row>
    <row r="697" spans="1:5" x14ac:dyDescent="0.2">
      <c r="A697" s="2" t="s">
        <v>4045</v>
      </c>
      <c r="B697" s="2" t="s">
        <v>4924</v>
      </c>
      <c r="C697" s="2" t="s">
        <v>4833</v>
      </c>
      <c r="D697" s="2" t="s">
        <v>4042</v>
      </c>
      <c r="E697" s="2" t="s">
        <v>34</v>
      </c>
    </row>
    <row r="698" spans="1:5" x14ac:dyDescent="0.2">
      <c r="A698" s="2" t="s">
        <v>4938</v>
      </c>
      <c r="B698" s="2" t="s">
        <v>4924</v>
      </c>
      <c r="C698" s="2" t="s">
        <v>4837</v>
      </c>
      <c r="D698" s="2" t="s">
        <v>34</v>
      </c>
      <c r="E698" s="2" t="s">
        <v>34</v>
      </c>
    </row>
    <row r="699" spans="1:5" x14ac:dyDescent="0.2">
      <c r="A699" s="2" t="s">
        <v>2736</v>
      </c>
      <c r="B699" s="2" t="s">
        <v>4924</v>
      </c>
      <c r="C699" s="2" t="s">
        <v>4833</v>
      </c>
      <c r="D699" s="2" t="s">
        <v>2730</v>
      </c>
      <c r="E699" s="2" t="s">
        <v>34</v>
      </c>
    </row>
    <row r="700" spans="1:5" x14ac:dyDescent="0.2">
      <c r="A700" s="2" t="s">
        <v>427</v>
      </c>
      <c r="B700" s="2" t="s">
        <v>4924</v>
      </c>
      <c r="C700" s="2" t="s">
        <v>4833</v>
      </c>
      <c r="D700" s="2" t="s">
        <v>423</v>
      </c>
      <c r="E700" s="2" t="s">
        <v>34</v>
      </c>
    </row>
    <row r="701" spans="1:5" x14ac:dyDescent="0.2">
      <c r="A701" s="2" t="s">
        <v>1950</v>
      </c>
      <c r="B701" s="2" t="s">
        <v>4924</v>
      </c>
      <c r="C701" s="2" t="s">
        <v>4833</v>
      </c>
      <c r="D701" s="2" t="s">
        <v>1945</v>
      </c>
      <c r="E701" s="2" t="s">
        <v>34</v>
      </c>
    </row>
    <row r="702" spans="1:5" x14ac:dyDescent="0.2">
      <c r="A702" s="2" t="s">
        <v>416</v>
      </c>
      <c r="B702" s="2" t="s">
        <v>4924</v>
      </c>
      <c r="C702" s="2" t="s">
        <v>4833</v>
      </c>
      <c r="D702" s="2" t="s">
        <v>411</v>
      </c>
      <c r="E702" s="2" t="s">
        <v>34</v>
      </c>
    </row>
    <row r="703" spans="1:5" x14ac:dyDescent="0.2">
      <c r="A703" s="2" t="s">
        <v>1751</v>
      </c>
      <c r="B703" s="2" t="s">
        <v>4924</v>
      </c>
      <c r="C703" s="2" t="s">
        <v>4833</v>
      </c>
      <c r="D703" s="2" t="s">
        <v>1746</v>
      </c>
      <c r="E703" s="2" t="s">
        <v>34</v>
      </c>
    </row>
    <row r="704" spans="1:5" x14ac:dyDescent="0.2">
      <c r="A704" s="2" t="s">
        <v>4320</v>
      </c>
      <c r="B704" s="2" t="s">
        <v>4924</v>
      </c>
      <c r="C704" s="2" t="s">
        <v>4833</v>
      </c>
      <c r="D704" s="2" t="s">
        <v>4316</v>
      </c>
      <c r="E704" s="2" t="s">
        <v>34</v>
      </c>
    </row>
    <row r="705" spans="1:5" x14ac:dyDescent="0.2">
      <c r="A705" s="2" t="s">
        <v>3915</v>
      </c>
      <c r="B705" s="2" t="s">
        <v>4924</v>
      </c>
      <c r="C705" s="2" t="s">
        <v>4833</v>
      </c>
      <c r="D705" s="2" t="s">
        <v>3912</v>
      </c>
      <c r="E705" s="2" t="s">
        <v>34</v>
      </c>
    </row>
    <row r="706" spans="1:5" x14ac:dyDescent="0.2">
      <c r="A706" s="2" t="s">
        <v>4939</v>
      </c>
      <c r="B706" s="2" t="s">
        <v>4924</v>
      </c>
      <c r="C706" s="2" t="s">
        <v>4835</v>
      </c>
      <c r="D706" s="2" t="s">
        <v>34</v>
      </c>
      <c r="E706" s="2" t="s">
        <v>34</v>
      </c>
    </row>
    <row r="707" spans="1:5" x14ac:dyDescent="0.2">
      <c r="A707" s="2" t="s">
        <v>2782</v>
      </c>
      <c r="B707" s="2" t="s">
        <v>4924</v>
      </c>
      <c r="C707" s="2" t="s">
        <v>4833</v>
      </c>
      <c r="D707" s="2" t="s">
        <v>2777</v>
      </c>
      <c r="E707" s="2" t="s">
        <v>34</v>
      </c>
    </row>
    <row r="708" spans="1:5" x14ac:dyDescent="0.2">
      <c r="A708" s="2" t="s">
        <v>2481</v>
      </c>
      <c r="B708" s="2" t="s">
        <v>4924</v>
      </c>
      <c r="C708" s="2" t="s">
        <v>4833</v>
      </c>
      <c r="D708" s="2" t="s">
        <v>2478</v>
      </c>
      <c r="E708" s="2" t="s">
        <v>34</v>
      </c>
    </row>
    <row r="709" spans="1:5" x14ac:dyDescent="0.2">
      <c r="A709" s="2" t="s">
        <v>292</v>
      </c>
      <c r="B709" s="2" t="s">
        <v>4924</v>
      </c>
      <c r="C709" s="2" t="s">
        <v>4833</v>
      </c>
      <c r="D709" s="2" t="s">
        <v>288</v>
      </c>
      <c r="E709" s="2" t="s">
        <v>34</v>
      </c>
    </row>
    <row r="710" spans="1:5" x14ac:dyDescent="0.2">
      <c r="A710" s="2" t="s">
        <v>1984</v>
      </c>
      <c r="B710" s="2" t="s">
        <v>4924</v>
      </c>
      <c r="C710" s="2" t="s">
        <v>4833</v>
      </c>
      <c r="D710" s="2" t="s">
        <v>1980</v>
      </c>
      <c r="E710" s="2" t="s">
        <v>34</v>
      </c>
    </row>
    <row r="711" spans="1:5" x14ac:dyDescent="0.2">
      <c r="A711" s="2" t="s">
        <v>1771</v>
      </c>
      <c r="B711" s="2" t="s">
        <v>4924</v>
      </c>
      <c r="C711" s="2" t="s">
        <v>4833</v>
      </c>
      <c r="D711" s="2" t="s">
        <v>1766</v>
      </c>
      <c r="E711" s="2" t="s">
        <v>34</v>
      </c>
    </row>
    <row r="712" spans="1:5" x14ac:dyDescent="0.2">
      <c r="A712" s="2" t="s">
        <v>3269</v>
      </c>
      <c r="B712" s="2" t="s">
        <v>4924</v>
      </c>
      <c r="C712" s="2" t="s">
        <v>4833</v>
      </c>
      <c r="D712" s="2" t="s">
        <v>3265</v>
      </c>
      <c r="E712" s="2" t="s">
        <v>34</v>
      </c>
    </row>
    <row r="713" spans="1:5" x14ac:dyDescent="0.2">
      <c r="A713" s="2" t="s">
        <v>669</v>
      </c>
      <c r="B713" s="2" t="s">
        <v>4924</v>
      </c>
      <c r="C713" s="2" t="s">
        <v>4833</v>
      </c>
      <c r="D713" s="2" t="s">
        <v>665</v>
      </c>
      <c r="E713" s="2" t="s">
        <v>34</v>
      </c>
    </row>
    <row r="714" spans="1:5" x14ac:dyDescent="0.2">
      <c r="A714" s="2" t="s">
        <v>3490</v>
      </c>
      <c r="B714" s="2" t="s">
        <v>4924</v>
      </c>
      <c r="C714" s="2" t="s">
        <v>4833</v>
      </c>
      <c r="D714" s="2" t="s">
        <v>3487</v>
      </c>
      <c r="E714" s="2" t="s">
        <v>34</v>
      </c>
    </row>
    <row r="715" spans="1:5" x14ac:dyDescent="0.2">
      <c r="A715" s="2" t="s">
        <v>3823</v>
      </c>
      <c r="B715" s="2" t="s">
        <v>4924</v>
      </c>
      <c r="C715" s="2" t="s">
        <v>4833</v>
      </c>
      <c r="D715" s="2" t="s">
        <v>3820</v>
      </c>
      <c r="E715" s="2" t="s">
        <v>34</v>
      </c>
    </row>
    <row r="716" spans="1:5" x14ac:dyDescent="0.2">
      <c r="A716" s="2" t="s">
        <v>4391</v>
      </c>
      <c r="B716" s="2" t="s">
        <v>4924</v>
      </c>
      <c r="C716" s="2" t="s">
        <v>4833</v>
      </c>
      <c r="D716" s="2" t="s">
        <v>4387</v>
      </c>
      <c r="E716" s="2" t="s">
        <v>34</v>
      </c>
    </row>
    <row r="717" spans="1:5" x14ac:dyDescent="0.2">
      <c r="A717" s="2" t="s">
        <v>83</v>
      </c>
      <c r="B717" s="2" t="s">
        <v>4924</v>
      </c>
      <c r="C717" s="2" t="s">
        <v>4833</v>
      </c>
      <c r="D717" s="2" t="s">
        <v>79</v>
      </c>
      <c r="E717" s="2" t="s">
        <v>34</v>
      </c>
    </row>
    <row r="718" spans="1:5" x14ac:dyDescent="0.2">
      <c r="A718" s="2" t="s">
        <v>515</v>
      </c>
      <c r="B718" s="2" t="s">
        <v>4924</v>
      </c>
      <c r="C718" s="2" t="s">
        <v>4833</v>
      </c>
      <c r="D718" s="2" t="s">
        <v>510</v>
      </c>
      <c r="E718" s="2" t="s">
        <v>34</v>
      </c>
    </row>
    <row r="719" spans="1:5" x14ac:dyDescent="0.2">
      <c r="A719" s="2" t="s">
        <v>2648</v>
      </c>
      <c r="B719" s="2" t="s">
        <v>4924</v>
      </c>
      <c r="C719" s="2" t="s">
        <v>4833</v>
      </c>
      <c r="D719" s="2" t="s">
        <v>2643</v>
      </c>
      <c r="E719" s="2" t="s">
        <v>34</v>
      </c>
    </row>
    <row r="720" spans="1:5" x14ac:dyDescent="0.2">
      <c r="A720" s="2" t="s">
        <v>4152</v>
      </c>
      <c r="B720" s="2" t="s">
        <v>4924</v>
      </c>
      <c r="C720" s="2" t="s">
        <v>4833</v>
      </c>
      <c r="D720" s="2" t="s">
        <v>4148</v>
      </c>
      <c r="E720" s="2" t="s">
        <v>34</v>
      </c>
    </row>
    <row r="721" spans="1:5" x14ac:dyDescent="0.2">
      <c r="A721" s="2" t="s">
        <v>650</v>
      </c>
      <c r="B721" s="2" t="s">
        <v>4924</v>
      </c>
      <c r="C721" s="2" t="s">
        <v>4833</v>
      </c>
      <c r="D721" s="2" t="s">
        <v>646</v>
      </c>
      <c r="E721" s="2" t="s">
        <v>34</v>
      </c>
    </row>
    <row r="722" spans="1:5" x14ac:dyDescent="0.2">
      <c r="A722" s="2" t="s">
        <v>2058</v>
      </c>
      <c r="B722" s="2" t="s">
        <v>4924</v>
      </c>
      <c r="C722" s="2" t="s">
        <v>4833</v>
      </c>
      <c r="D722" s="2" t="s">
        <v>2054</v>
      </c>
      <c r="E722" s="2" t="s">
        <v>34</v>
      </c>
    </row>
    <row r="723" spans="1:5" x14ac:dyDescent="0.2">
      <c r="A723" s="2" t="s">
        <v>2220</v>
      </c>
      <c r="B723" s="2" t="s">
        <v>4924</v>
      </c>
      <c r="C723" s="2" t="s">
        <v>4833</v>
      </c>
      <c r="D723" s="2" t="s">
        <v>2217</v>
      </c>
      <c r="E723" s="2" t="s">
        <v>34</v>
      </c>
    </row>
    <row r="724" spans="1:5" x14ac:dyDescent="0.2">
      <c r="A724" s="2" t="s">
        <v>1071</v>
      </c>
      <c r="B724" s="2" t="s">
        <v>4924</v>
      </c>
      <c r="C724" s="2" t="s">
        <v>4833</v>
      </c>
      <c r="D724" s="2" t="s">
        <v>1066</v>
      </c>
      <c r="E724" s="2" t="s">
        <v>34</v>
      </c>
    </row>
    <row r="725" spans="1:5" x14ac:dyDescent="0.2">
      <c r="A725" s="2" t="s">
        <v>3261</v>
      </c>
      <c r="B725" s="2" t="s">
        <v>4924</v>
      </c>
      <c r="C725" s="2" t="s">
        <v>4833</v>
      </c>
      <c r="D725" s="2" t="s">
        <v>3258</v>
      </c>
      <c r="E725" s="2" t="s">
        <v>34</v>
      </c>
    </row>
    <row r="726" spans="1:5" x14ac:dyDescent="0.2">
      <c r="A726" s="2" t="s">
        <v>4209</v>
      </c>
      <c r="B726" s="2" t="s">
        <v>4924</v>
      </c>
      <c r="C726" s="2" t="s">
        <v>4833</v>
      </c>
      <c r="D726" s="2" t="s">
        <v>4204</v>
      </c>
      <c r="E726" s="2" t="s">
        <v>34</v>
      </c>
    </row>
    <row r="727" spans="1:5" x14ac:dyDescent="0.2">
      <c r="A727" s="2" t="s">
        <v>4705</v>
      </c>
      <c r="B727" s="2" t="s">
        <v>4924</v>
      </c>
      <c r="C727" s="2" t="s">
        <v>4833</v>
      </c>
      <c r="D727" s="2" t="s">
        <v>4700</v>
      </c>
      <c r="E727" s="2" t="s">
        <v>34</v>
      </c>
    </row>
    <row r="728" spans="1:5" x14ac:dyDescent="0.2">
      <c r="A728" s="2" t="s">
        <v>2635</v>
      </c>
      <c r="B728" s="2" t="s">
        <v>4924</v>
      </c>
      <c r="C728" s="2" t="s">
        <v>4833</v>
      </c>
      <c r="D728" s="2" t="s">
        <v>2631</v>
      </c>
      <c r="E728" s="2" t="s">
        <v>34</v>
      </c>
    </row>
    <row r="729" spans="1:5" x14ac:dyDescent="0.2">
      <c r="A729" s="2" t="s">
        <v>4940</v>
      </c>
      <c r="B729" s="2" t="s">
        <v>4924</v>
      </c>
      <c r="C729" s="2" t="s">
        <v>4835</v>
      </c>
      <c r="D729" s="2" t="s">
        <v>34</v>
      </c>
      <c r="E729" s="2" t="s">
        <v>34</v>
      </c>
    </row>
    <row r="730" spans="1:5" x14ac:dyDescent="0.2">
      <c r="A730" s="2" t="s">
        <v>721</v>
      </c>
      <c r="B730" s="2" t="s">
        <v>4924</v>
      </c>
      <c r="C730" s="2" t="s">
        <v>4833</v>
      </c>
      <c r="D730" s="2" t="s">
        <v>717</v>
      </c>
      <c r="E730" s="2" t="s">
        <v>34</v>
      </c>
    </row>
    <row r="731" spans="1:5" x14ac:dyDescent="0.2">
      <c r="A731" s="2" t="s">
        <v>2788</v>
      </c>
      <c r="B731" s="2" t="s">
        <v>4924</v>
      </c>
      <c r="C731" s="2" t="s">
        <v>4833</v>
      </c>
      <c r="D731" s="2" t="s">
        <v>2784</v>
      </c>
      <c r="E731" s="2" t="s">
        <v>34</v>
      </c>
    </row>
    <row r="732" spans="1:5" x14ac:dyDescent="0.2">
      <c r="A732" s="2" t="s">
        <v>3306</v>
      </c>
      <c r="B732" s="2" t="s">
        <v>4924</v>
      </c>
      <c r="C732" s="2" t="s">
        <v>4833</v>
      </c>
      <c r="D732" s="2" t="s">
        <v>3301</v>
      </c>
      <c r="E732" s="2" t="s">
        <v>34</v>
      </c>
    </row>
    <row r="733" spans="1:5" x14ac:dyDescent="0.2">
      <c r="A733" s="2" t="s">
        <v>1163</v>
      </c>
      <c r="B733" s="2" t="s">
        <v>4924</v>
      </c>
      <c r="C733" s="2" t="s">
        <v>4833</v>
      </c>
      <c r="D733" s="2" t="s">
        <v>1158</v>
      </c>
      <c r="E733" s="2" t="s">
        <v>34</v>
      </c>
    </row>
    <row r="734" spans="1:5" x14ac:dyDescent="0.2">
      <c r="A734" s="2" t="s">
        <v>4222</v>
      </c>
      <c r="B734" s="2" t="s">
        <v>4924</v>
      </c>
      <c r="C734" s="2" t="s">
        <v>4833</v>
      </c>
      <c r="D734" s="2" t="s">
        <v>4218</v>
      </c>
      <c r="E734" s="2" t="s">
        <v>34</v>
      </c>
    </row>
    <row r="735" spans="1:5" x14ac:dyDescent="0.2">
      <c r="A735" s="2" t="s">
        <v>1642</v>
      </c>
      <c r="B735" s="2" t="s">
        <v>4924</v>
      </c>
      <c r="C735" s="2" t="s">
        <v>4833</v>
      </c>
      <c r="D735" s="2" t="s">
        <v>1638</v>
      </c>
      <c r="E735" s="2" t="s">
        <v>34</v>
      </c>
    </row>
    <row r="736" spans="1:5" x14ac:dyDescent="0.2">
      <c r="A736" s="2" t="s">
        <v>2903</v>
      </c>
      <c r="B736" s="2" t="s">
        <v>4924</v>
      </c>
      <c r="C736" s="2" t="s">
        <v>4833</v>
      </c>
      <c r="D736" s="2" t="s">
        <v>2899</v>
      </c>
      <c r="E736" s="2" t="s">
        <v>34</v>
      </c>
    </row>
    <row r="737" spans="1:5" x14ac:dyDescent="0.2">
      <c r="A737" s="2" t="s">
        <v>4941</v>
      </c>
      <c r="B737" s="2" t="s">
        <v>4924</v>
      </c>
      <c r="C737" s="2" t="s">
        <v>4835</v>
      </c>
      <c r="D737" s="2" t="s">
        <v>34</v>
      </c>
      <c r="E737" s="2" t="s">
        <v>34</v>
      </c>
    </row>
    <row r="738" spans="1:5" x14ac:dyDescent="0.2">
      <c r="A738" s="2" t="s">
        <v>3911</v>
      </c>
      <c r="B738" s="2" t="s">
        <v>4924</v>
      </c>
      <c r="C738" s="2" t="s">
        <v>4833</v>
      </c>
      <c r="D738" s="2" t="s">
        <v>3908</v>
      </c>
      <c r="E738" s="2" t="s">
        <v>34</v>
      </c>
    </row>
    <row r="739" spans="1:5" x14ac:dyDescent="0.2">
      <c r="A739" s="2" t="s">
        <v>3856</v>
      </c>
      <c r="B739" s="2" t="s">
        <v>4924</v>
      </c>
      <c r="C739" s="2" t="s">
        <v>4833</v>
      </c>
      <c r="D739" s="2" t="s">
        <v>3852</v>
      </c>
      <c r="E739" s="2" t="s">
        <v>34</v>
      </c>
    </row>
    <row r="740" spans="1:5" x14ac:dyDescent="0.2">
      <c r="A740" s="2" t="s">
        <v>2396</v>
      </c>
      <c r="B740" s="2" t="s">
        <v>4924</v>
      </c>
      <c r="C740" s="2" t="s">
        <v>4833</v>
      </c>
      <c r="D740" s="2" t="s">
        <v>2392</v>
      </c>
      <c r="E740" s="2" t="s">
        <v>34</v>
      </c>
    </row>
    <row r="741" spans="1:5" x14ac:dyDescent="0.2">
      <c r="A741" s="2" t="s">
        <v>746</v>
      </c>
      <c r="B741" s="2" t="s">
        <v>4924</v>
      </c>
      <c r="C741" s="2" t="s">
        <v>4833</v>
      </c>
      <c r="D741" s="2" t="s">
        <v>742</v>
      </c>
      <c r="E741" s="2" t="s">
        <v>34</v>
      </c>
    </row>
    <row r="742" spans="1:5" x14ac:dyDescent="0.2">
      <c r="A742" s="2" t="s">
        <v>4942</v>
      </c>
      <c r="B742" s="2" t="s">
        <v>4924</v>
      </c>
      <c r="C742" s="2" t="s">
        <v>4835</v>
      </c>
      <c r="D742" s="2" t="s">
        <v>34</v>
      </c>
      <c r="E742" s="2" t="s">
        <v>34</v>
      </c>
    </row>
    <row r="743" spans="1:5" x14ac:dyDescent="0.2">
      <c r="A743" s="2" t="s">
        <v>4943</v>
      </c>
      <c r="B743" s="2" t="s">
        <v>4924</v>
      </c>
      <c r="C743" s="2" t="s">
        <v>4835</v>
      </c>
      <c r="D743" s="2" t="s">
        <v>34</v>
      </c>
      <c r="E743" s="2" t="s">
        <v>34</v>
      </c>
    </row>
    <row r="744" spans="1:5" x14ac:dyDescent="0.2">
      <c r="A744" s="2" t="s">
        <v>1281</v>
      </c>
      <c r="B744" s="2" t="s">
        <v>4924</v>
      </c>
      <c r="C744" s="2" t="s">
        <v>4833</v>
      </c>
      <c r="D744" s="2" t="s">
        <v>1278</v>
      </c>
      <c r="E744" s="2" t="s">
        <v>34</v>
      </c>
    </row>
    <row r="745" spans="1:5" x14ac:dyDescent="0.2">
      <c r="A745" s="2" t="s">
        <v>4944</v>
      </c>
      <c r="B745" s="2" t="s">
        <v>4924</v>
      </c>
      <c r="C745" s="2" t="s">
        <v>4835</v>
      </c>
      <c r="D745" s="2" t="s">
        <v>34</v>
      </c>
      <c r="E745" s="2" t="s">
        <v>34</v>
      </c>
    </row>
    <row r="746" spans="1:5" x14ac:dyDescent="0.2">
      <c r="A746" s="2" t="s">
        <v>2539</v>
      </c>
      <c r="B746" s="2" t="s">
        <v>4924</v>
      </c>
      <c r="C746" s="2" t="s">
        <v>4833</v>
      </c>
      <c r="D746" s="2" t="s">
        <v>2535</v>
      </c>
      <c r="E746" s="2" t="s">
        <v>34</v>
      </c>
    </row>
    <row r="747" spans="1:5" x14ac:dyDescent="0.2">
      <c r="A747" s="2" t="s">
        <v>2395</v>
      </c>
      <c r="B747" s="2" t="s">
        <v>4924</v>
      </c>
      <c r="C747" s="2" t="s">
        <v>4833</v>
      </c>
      <c r="D747" s="2" t="s">
        <v>2392</v>
      </c>
      <c r="E747" s="2" t="s">
        <v>34</v>
      </c>
    </row>
    <row r="748" spans="1:5" x14ac:dyDescent="0.2">
      <c r="A748" s="2" t="s">
        <v>4229</v>
      </c>
      <c r="B748" s="2" t="s">
        <v>4924</v>
      </c>
      <c r="C748" s="2" t="s">
        <v>4833</v>
      </c>
      <c r="D748" s="2" t="s">
        <v>4224</v>
      </c>
      <c r="E748" s="2" t="s">
        <v>34</v>
      </c>
    </row>
    <row r="749" spans="1:5" x14ac:dyDescent="0.2">
      <c r="A749" s="2" t="s">
        <v>4945</v>
      </c>
      <c r="B749" s="2" t="s">
        <v>4924</v>
      </c>
      <c r="C749" s="2" t="s">
        <v>4835</v>
      </c>
      <c r="D749" s="2" t="s">
        <v>34</v>
      </c>
      <c r="E749" s="2" t="s">
        <v>34</v>
      </c>
    </row>
    <row r="750" spans="1:5" x14ac:dyDescent="0.2">
      <c r="A750" s="2" t="s">
        <v>354</v>
      </c>
      <c r="B750" s="2" t="s">
        <v>4924</v>
      </c>
      <c r="C750" s="2" t="s">
        <v>4833</v>
      </c>
      <c r="D750" s="2" t="s">
        <v>350</v>
      </c>
      <c r="E750" s="2" t="s">
        <v>34</v>
      </c>
    </row>
    <row r="751" spans="1:5" x14ac:dyDescent="0.2">
      <c r="A751" s="2" t="s">
        <v>2647</v>
      </c>
      <c r="B751" s="2" t="s">
        <v>4924</v>
      </c>
      <c r="C751" s="2" t="s">
        <v>4833</v>
      </c>
      <c r="D751" s="2" t="s">
        <v>2643</v>
      </c>
      <c r="E751" s="2" t="s">
        <v>34</v>
      </c>
    </row>
    <row r="752" spans="1:5" x14ac:dyDescent="0.2">
      <c r="A752" s="2" t="s">
        <v>681</v>
      </c>
      <c r="B752" s="2" t="s">
        <v>4924</v>
      </c>
      <c r="C752" s="2" t="s">
        <v>4833</v>
      </c>
      <c r="D752" s="2" t="s">
        <v>677</v>
      </c>
      <c r="E752" s="2" t="s">
        <v>34</v>
      </c>
    </row>
    <row r="753" spans="1:5" x14ac:dyDescent="0.2">
      <c r="A753" s="2" t="s">
        <v>2707</v>
      </c>
      <c r="B753" s="2" t="s">
        <v>4924</v>
      </c>
      <c r="C753" s="2" t="s">
        <v>4833</v>
      </c>
      <c r="D753" s="2" t="s">
        <v>2702</v>
      </c>
      <c r="E753" s="2" t="s">
        <v>34</v>
      </c>
    </row>
    <row r="754" spans="1:5" x14ac:dyDescent="0.2">
      <c r="A754" s="2" t="s">
        <v>3169</v>
      </c>
      <c r="B754" s="2" t="s">
        <v>4924</v>
      </c>
      <c r="C754" s="2" t="s">
        <v>4833</v>
      </c>
      <c r="D754" s="2" t="s">
        <v>3165</v>
      </c>
      <c r="E754" s="2" t="s">
        <v>34</v>
      </c>
    </row>
    <row r="755" spans="1:5" x14ac:dyDescent="0.2">
      <c r="A755" s="2" t="s">
        <v>3679</v>
      </c>
      <c r="B755" s="2" t="s">
        <v>4924</v>
      </c>
      <c r="C755" s="2" t="s">
        <v>4833</v>
      </c>
      <c r="D755" s="2" t="s">
        <v>3675</v>
      </c>
      <c r="E755" s="2" t="s">
        <v>34</v>
      </c>
    </row>
    <row r="756" spans="1:5" x14ac:dyDescent="0.2">
      <c r="A756" s="2" t="s">
        <v>3902</v>
      </c>
      <c r="B756" s="2" t="s">
        <v>4924</v>
      </c>
      <c r="C756" s="2" t="s">
        <v>4833</v>
      </c>
      <c r="D756" s="2" t="s">
        <v>3899</v>
      </c>
      <c r="E756" s="2" t="s">
        <v>34</v>
      </c>
    </row>
    <row r="757" spans="1:5" x14ac:dyDescent="0.2">
      <c r="A757" s="2" t="s">
        <v>1276</v>
      </c>
      <c r="B757" s="2" t="s">
        <v>4924</v>
      </c>
      <c r="C757" s="2" t="s">
        <v>4833</v>
      </c>
      <c r="D757" s="2" t="s">
        <v>1272</v>
      </c>
      <c r="E757" s="2" t="s">
        <v>34</v>
      </c>
    </row>
    <row r="758" spans="1:5" x14ac:dyDescent="0.2">
      <c r="A758" s="2" t="s">
        <v>4382</v>
      </c>
      <c r="B758" s="2" t="s">
        <v>4924</v>
      </c>
      <c r="C758" s="2" t="s">
        <v>4833</v>
      </c>
      <c r="D758" s="2" t="s">
        <v>4377</v>
      </c>
      <c r="E758" s="2" t="s">
        <v>34</v>
      </c>
    </row>
    <row r="759" spans="1:5" x14ac:dyDescent="0.2">
      <c r="A759" s="2" t="s">
        <v>91</v>
      </c>
      <c r="B759" s="2" t="s">
        <v>4924</v>
      </c>
      <c r="C759" s="2" t="s">
        <v>4833</v>
      </c>
      <c r="D759" s="2" t="s">
        <v>86</v>
      </c>
      <c r="E759" s="2" t="s">
        <v>34</v>
      </c>
    </row>
    <row r="760" spans="1:5" x14ac:dyDescent="0.2">
      <c r="A760" s="2" t="s">
        <v>4946</v>
      </c>
      <c r="B760" s="2" t="s">
        <v>4924</v>
      </c>
      <c r="C760" s="2" t="s">
        <v>4835</v>
      </c>
      <c r="D760" s="2" t="s">
        <v>34</v>
      </c>
      <c r="E760" s="2" t="s">
        <v>34</v>
      </c>
    </row>
    <row r="761" spans="1:5" x14ac:dyDescent="0.2">
      <c r="A761" s="2" t="s">
        <v>3906</v>
      </c>
      <c r="B761" s="2" t="s">
        <v>4924</v>
      </c>
      <c r="C761" s="2" t="s">
        <v>4833</v>
      </c>
      <c r="D761" s="2" t="s">
        <v>3903</v>
      </c>
      <c r="E761" s="2" t="s">
        <v>34</v>
      </c>
    </row>
    <row r="762" spans="1:5" x14ac:dyDescent="0.2">
      <c r="A762" s="2" t="s">
        <v>1207</v>
      </c>
      <c r="B762" s="2" t="s">
        <v>4924</v>
      </c>
      <c r="C762" s="2" t="s">
        <v>4833</v>
      </c>
      <c r="D762" s="2" t="s">
        <v>1203</v>
      </c>
      <c r="E762" s="2" t="s">
        <v>34</v>
      </c>
    </row>
    <row r="763" spans="1:5" x14ac:dyDescent="0.2">
      <c r="A763" s="2" t="s">
        <v>3383</v>
      </c>
      <c r="B763" s="2" t="s">
        <v>4924</v>
      </c>
      <c r="C763" s="2" t="s">
        <v>4833</v>
      </c>
      <c r="D763" s="2" t="s">
        <v>3379</v>
      </c>
      <c r="E763" s="2" t="s">
        <v>34</v>
      </c>
    </row>
    <row r="764" spans="1:5" x14ac:dyDescent="0.2">
      <c r="A764" s="2" t="s">
        <v>891</v>
      </c>
      <c r="B764" s="2" t="s">
        <v>4924</v>
      </c>
      <c r="C764" s="2" t="s">
        <v>4833</v>
      </c>
      <c r="D764" s="2" t="s">
        <v>887</v>
      </c>
      <c r="E764" s="2" t="s">
        <v>34</v>
      </c>
    </row>
    <row r="765" spans="1:5" x14ac:dyDescent="0.2">
      <c r="A765" s="2" t="s">
        <v>2502</v>
      </c>
      <c r="B765" s="2" t="s">
        <v>4924</v>
      </c>
      <c r="C765" s="2" t="s">
        <v>4833</v>
      </c>
      <c r="D765" s="2" t="s">
        <v>2498</v>
      </c>
      <c r="E765" s="2" t="s">
        <v>34</v>
      </c>
    </row>
    <row r="766" spans="1:5" x14ac:dyDescent="0.2">
      <c r="A766" s="2" t="s">
        <v>4947</v>
      </c>
      <c r="B766" s="2" t="s">
        <v>4924</v>
      </c>
      <c r="C766" s="2" t="s">
        <v>4835</v>
      </c>
      <c r="D766" s="2" t="s">
        <v>34</v>
      </c>
      <c r="E766" s="2" t="s">
        <v>34</v>
      </c>
    </row>
    <row r="767" spans="1:5" x14ac:dyDescent="0.2">
      <c r="A767" s="2" t="s">
        <v>4948</v>
      </c>
      <c r="B767" s="2" t="s">
        <v>4924</v>
      </c>
      <c r="C767" s="2" t="s">
        <v>4837</v>
      </c>
      <c r="D767" s="2" t="s">
        <v>34</v>
      </c>
      <c r="E767" s="2" t="s">
        <v>34</v>
      </c>
    </row>
    <row r="768" spans="1:5" x14ac:dyDescent="0.2">
      <c r="A768" s="2" t="s">
        <v>3785</v>
      </c>
      <c r="B768" s="2" t="s">
        <v>4924</v>
      </c>
      <c r="C768" s="2" t="s">
        <v>4833</v>
      </c>
      <c r="D768" s="2" t="s">
        <v>3781</v>
      </c>
      <c r="E768" s="2" t="s">
        <v>34</v>
      </c>
    </row>
    <row r="769" spans="1:5" x14ac:dyDescent="0.2">
      <c r="A769" s="2" t="s">
        <v>2843</v>
      </c>
      <c r="B769" s="2" t="s">
        <v>4924</v>
      </c>
      <c r="C769" s="2" t="s">
        <v>4833</v>
      </c>
      <c r="D769" s="2" t="s">
        <v>2839</v>
      </c>
      <c r="E769" s="2" t="s">
        <v>34</v>
      </c>
    </row>
    <row r="770" spans="1:5" x14ac:dyDescent="0.2">
      <c r="A770" s="2" t="s">
        <v>3518</v>
      </c>
      <c r="B770" s="2" t="s">
        <v>4924</v>
      </c>
      <c r="C770" s="2" t="s">
        <v>4833</v>
      </c>
      <c r="D770" s="2" t="s">
        <v>3514</v>
      </c>
      <c r="E770" s="2" t="s">
        <v>34</v>
      </c>
    </row>
    <row r="771" spans="1:5" x14ac:dyDescent="0.2">
      <c r="A771" s="2" t="s">
        <v>3632</v>
      </c>
      <c r="B771" s="2" t="s">
        <v>4924</v>
      </c>
      <c r="C771" s="2" t="s">
        <v>4833</v>
      </c>
      <c r="D771" s="2" t="s">
        <v>3629</v>
      </c>
      <c r="E771" s="2" t="s">
        <v>34</v>
      </c>
    </row>
    <row r="772" spans="1:5" x14ac:dyDescent="0.2">
      <c r="A772" s="2" t="s">
        <v>2104</v>
      </c>
      <c r="B772" s="2" t="s">
        <v>4924</v>
      </c>
      <c r="C772" s="2" t="s">
        <v>4833</v>
      </c>
      <c r="D772" s="2" t="s">
        <v>2099</v>
      </c>
      <c r="E772" s="2" t="s">
        <v>34</v>
      </c>
    </row>
    <row r="773" spans="1:5" x14ac:dyDescent="0.2">
      <c r="A773" s="2" t="s">
        <v>3124</v>
      </c>
      <c r="B773" s="2" t="s">
        <v>4924</v>
      </c>
      <c r="C773" s="2" t="s">
        <v>4833</v>
      </c>
      <c r="D773" s="2" t="s">
        <v>3120</v>
      </c>
      <c r="E773" s="2" t="s">
        <v>34</v>
      </c>
    </row>
    <row r="774" spans="1:5" x14ac:dyDescent="0.2">
      <c r="A774" s="2" t="s">
        <v>2764</v>
      </c>
      <c r="B774" s="2" t="s">
        <v>4924</v>
      </c>
      <c r="C774" s="2" t="s">
        <v>4833</v>
      </c>
      <c r="D774" s="2" t="s">
        <v>2761</v>
      </c>
      <c r="E774" s="2" t="s">
        <v>34</v>
      </c>
    </row>
    <row r="775" spans="1:5" x14ac:dyDescent="0.2">
      <c r="A775" s="2" t="s">
        <v>3423</v>
      </c>
      <c r="B775" s="2" t="s">
        <v>4924</v>
      </c>
      <c r="C775" s="2" t="s">
        <v>4833</v>
      </c>
      <c r="D775" s="2" t="s">
        <v>3418</v>
      </c>
      <c r="E775" s="2" t="s">
        <v>34</v>
      </c>
    </row>
    <row r="776" spans="1:5" x14ac:dyDescent="0.2">
      <c r="A776" s="2" t="s">
        <v>2005</v>
      </c>
      <c r="B776" s="2" t="s">
        <v>4924</v>
      </c>
      <c r="C776" s="2" t="s">
        <v>4833</v>
      </c>
      <c r="D776" s="2" t="s">
        <v>2002</v>
      </c>
      <c r="E776" s="2" t="s">
        <v>34</v>
      </c>
    </row>
    <row r="777" spans="1:5" x14ac:dyDescent="0.2">
      <c r="A777" s="2" t="s">
        <v>4949</v>
      </c>
      <c r="B777" s="2" t="s">
        <v>4924</v>
      </c>
      <c r="C777" s="2" t="s">
        <v>4835</v>
      </c>
      <c r="D777" s="2" t="s">
        <v>34</v>
      </c>
      <c r="E777" s="2" t="s">
        <v>34</v>
      </c>
    </row>
    <row r="778" spans="1:5" x14ac:dyDescent="0.2">
      <c r="A778" s="2" t="s">
        <v>4580</v>
      </c>
      <c r="B778" s="2" t="s">
        <v>4924</v>
      </c>
      <c r="C778" s="2" t="s">
        <v>4833</v>
      </c>
      <c r="D778" s="2" t="s">
        <v>4576</v>
      </c>
      <c r="E778" s="2" t="s">
        <v>34</v>
      </c>
    </row>
    <row r="779" spans="1:5" x14ac:dyDescent="0.2">
      <c r="A779" s="2" t="s">
        <v>4950</v>
      </c>
      <c r="B779" s="2" t="s">
        <v>4924</v>
      </c>
      <c r="C779" s="2" t="s">
        <v>4837</v>
      </c>
      <c r="D779" s="2" t="s">
        <v>34</v>
      </c>
      <c r="E779" s="2" t="s">
        <v>34</v>
      </c>
    </row>
    <row r="780" spans="1:5" x14ac:dyDescent="0.2">
      <c r="A780" s="2" t="s">
        <v>4951</v>
      </c>
      <c r="B780" s="2" t="s">
        <v>4924</v>
      </c>
      <c r="C780" s="2" t="s">
        <v>4837</v>
      </c>
      <c r="D780" s="2" t="s">
        <v>34</v>
      </c>
      <c r="E780" s="2" t="s">
        <v>34</v>
      </c>
    </row>
    <row r="781" spans="1:5" x14ac:dyDescent="0.2">
      <c r="A781" s="2" t="s">
        <v>870</v>
      </c>
      <c r="B781" s="2" t="s">
        <v>4924</v>
      </c>
      <c r="C781" s="2" t="s">
        <v>4833</v>
      </c>
      <c r="D781" s="2" t="s">
        <v>866</v>
      </c>
      <c r="E781" s="2" t="s">
        <v>34</v>
      </c>
    </row>
    <row r="782" spans="1:5" x14ac:dyDescent="0.2">
      <c r="A782" s="2" t="s">
        <v>1794</v>
      </c>
      <c r="B782" s="2" t="s">
        <v>4924</v>
      </c>
      <c r="C782" s="2" t="s">
        <v>4833</v>
      </c>
      <c r="D782" s="2" t="s">
        <v>1791</v>
      </c>
      <c r="E782" s="2" t="s">
        <v>34</v>
      </c>
    </row>
    <row r="783" spans="1:5" x14ac:dyDescent="0.2">
      <c r="A783" s="2" t="s">
        <v>4952</v>
      </c>
      <c r="B783" s="2" t="s">
        <v>4924</v>
      </c>
      <c r="C783" s="2" t="s">
        <v>4835</v>
      </c>
      <c r="D783" s="2" t="s">
        <v>34</v>
      </c>
      <c r="E783" s="2" t="s">
        <v>34</v>
      </c>
    </row>
    <row r="784" spans="1:5" x14ac:dyDescent="0.2">
      <c r="A784" s="2" t="s">
        <v>806</v>
      </c>
      <c r="B784" s="2" t="s">
        <v>4924</v>
      </c>
      <c r="C784" s="2" t="s">
        <v>4833</v>
      </c>
      <c r="D784" s="2" t="s">
        <v>802</v>
      </c>
      <c r="E784" s="2" t="s">
        <v>34</v>
      </c>
    </row>
    <row r="785" spans="1:5" x14ac:dyDescent="0.2">
      <c r="A785" s="2" t="s">
        <v>3000</v>
      </c>
      <c r="B785" s="2" t="s">
        <v>4924</v>
      </c>
      <c r="C785" s="2" t="s">
        <v>4833</v>
      </c>
      <c r="D785" s="2" t="s">
        <v>2996</v>
      </c>
      <c r="E785" s="2" t="s">
        <v>34</v>
      </c>
    </row>
    <row r="786" spans="1:5" x14ac:dyDescent="0.2">
      <c r="A786" s="2" t="s">
        <v>3346</v>
      </c>
      <c r="B786" s="2" t="s">
        <v>4924</v>
      </c>
      <c r="C786" s="2" t="s">
        <v>4833</v>
      </c>
      <c r="D786" s="2" t="s">
        <v>3342</v>
      </c>
      <c r="E786" s="2" t="s">
        <v>34</v>
      </c>
    </row>
    <row r="787" spans="1:5" x14ac:dyDescent="0.2">
      <c r="A787" s="2" t="s">
        <v>191</v>
      </c>
      <c r="B787" s="2" t="s">
        <v>4924</v>
      </c>
      <c r="C787" s="2" t="s">
        <v>4833</v>
      </c>
      <c r="D787" s="2" t="s">
        <v>185</v>
      </c>
      <c r="E787" s="2" t="s">
        <v>34</v>
      </c>
    </row>
    <row r="788" spans="1:5" x14ac:dyDescent="0.2">
      <c r="A788" s="2" t="s">
        <v>3589</v>
      </c>
      <c r="B788" s="2" t="s">
        <v>4924</v>
      </c>
      <c r="C788" s="2" t="s">
        <v>4833</v>
      </c>
      <c r="D788" s="2" t="s">
        <v>3586</v>
      </c>
      <c r="E788" s="2" t="s">
        <v>34</v>
      </c>
    </row>
    <row r="789" spans="1:5" x14ac:dyDescent="0.2">
      <c r="A789" s="2" t="s">
        <v>2487</v>
      </c>
      <c r="B789" s="2" t="s">
        <v>4924</v>
      </c>
      <c r="C789" s="2" t="s">
        <v>4833</v>
      </c>
      <c r="D789" s="2" t="s">
        <v>2483</v>
      </c>
      <c r="E789" s="2" t="s">
        <v>34</v>
      </c>
    </row>
    <row r="790" spans="1:5" x14ac:dyDescent="0.2">
      <c r="A790" s="2" t="s">
        <v>4953</v>
      </c>
      <c r="B790" s="2" t="s">
        <v>4924</v>
      </c>
      <c r="C790" s="2" t="s">
        <v>4837</v>
      </c>
      <c r="D790" s="2" t="s">
        <v>34</v>
      </c>
      <c r="E790" s="2" t="s">
        <v>34</v>
      </c>
    </row>
    <row r="791" spans="1:5" x14ac:dyDescent="0.2">
      <c r="A791" s="2" t="s">
        <v>1456</v>
      </c>
      <c r="B791" s="2" t="s">
        <v>4924</v>
      </c>
      <c r="C791" s="2" t="s">
        <v>4833</v>
      </c>
      <c r="D791" s="2" t="s">
        <v>1451</v>
      </c>
      <c r="E791" s="2" t="s">
        <v>34</v>
      </c>
    </row>
    <row r="792" spans="1:5" x14ac:dyDescent="0.2">
      <c r="A792" s="2" t="s">
        <v>1765</v>
      </c>
      <c r="B792" s="2" t="s">
        <v>4924</v>
      </c>
      <c r="C792" s="2" t="s">
        <v>4833</v>
      </c>
      <c r="D792" s="2" t="s">
        <v>1759</v>
      </c>
      <c r="E792" s="2" t="s">
        <v>34</v>
      </c>
    </row>
    <row r="793" spans="1:5" x14ac:dyDescent="0.2">
      <c r="A793" s="2" t="s">
        <v>4064</v>
      </c>
      <c r="B793" s="2" t="s">
        <v>4924</v>
      </c>
      <c r="C793" s="2" t="s">
        <v>4833</v>
      </c>
      <c r="D793" s="2" t="s">
        <v>4059</v>
      </c>
      <c r="E793" s="2" t="s">
        <v>34</v>
      </c>
    </row>
    <row r="794" spans="1:5" x14ac:dyDescent="0.2">
      <c r="A794" s="2" t="s">
        <v>508</v>
      </c>
      <c r="B794" s="2" t="s">
        <v>4924</v>
      </c>
      <c r="C794" s="2" t="s">
        <v>4833</v>
      </c>
      <c r="D794" s="2" t="s">
        <v>503</v>
      </c>
      <c r="E794" s="2" t="s">
        <v>34</v>
      </c>
    </row>
    <row r="795" spans="1:5" x14ac:dyDescent="0.2">
      <c r="A795" s="2" t="s">
        <v>1776</v>
      </c>
      <c r="B795" s="2" t="s">
        <v>4924</v>
      </c>
      <c r="C795" s="2" t="s">
        <v>4833</v>
      </c>
      <c r="D795" s="2" t="s">
        <v>1772</v>
      </c>
      <c r="E795" s="2" t="s">
        <v>34</v>
      </c>
    </row>
    <row r="796" spans="1:5" x14ac:dyDescent="0.2">
      <c r="A796" s="2" t="s">
        <v>2070</v>
      </c>
      <c r="B796" s="2" t="s">
        <v>4924</v>
      </c>
      <c r="C796" s="2" t="s">
        <v>4833</v>
      </c>
      <c r="D796" s="2" t="s">
        <v>2066</v>
      </c>
      <c r="E796" s="2" t="s">
        <v>34</v>
      </c>
    </row>
    <row r="797" spans="1:5" x14ac:dyDescent="0.2">
      <c r="A797" s="2" t="s">
        <v>2168</v>
      </c>
      <c r="B797" s="2" t="s">
        <v>4924</v>
      </c>
      <c r="C797" s="2" t="s">
        <v>4833</v>
      </c>
      <c r="D797" s="2" t="s">
        <v>2164</v>
      </c>
      <c r="E797" s="2" t="s">
        <v>34</v>
      </c>
    </row>
    <row r="798" spans="1:5" x14ac:dyDescent="0.2">
      <c r="A798" s="2" t="s">
        <v>3341</v>
      </c>
      <c r="B798" s="2" t="s">
        <v>4924</v>
      </c>
      <c r="C798" s="2" t="s">
        <v>4833</v>
      </c>
      <c r="D798" s="2" t="s">
        <v>3337</v>
      </c>
      <c r="E798" s="2" t="s">
        <v>34</v>
      </c>
    </row>
    <row r="799" spans="1:5" x14ac:dyDescent="0.2">
      <c r="A799" s="2" t="s">
        <v>3506</v>
      </c>
      <c r="B799" s="2" t="s">
        <v>4924</v>
      </c>
      <c r="C799" s="2" t="s">
        <v>4833</v>
      </c>
      <c r="D799" s="2" t="s">
        <v>3501</v>
      </c>
      <c r="E799" s="2" t="s">
        <v>34</v>
      </c>
    </row>
    <row r="800" spans="1:5" x14ac:dyDescent="0.2">
      <c r="A800" s="2" t="s">
        <v>1255</v>
      </c>
      <c r="B800" s="2" t="s">
        <v>4924</v>
      </c>
      <c r="C800" s="2" t="s">
        <v>4833</v>
      </c>
      <c r="D800" s="2" t="s">
        <v>1250</v>
      </c>
      <c r="E800" s="2" t="s">
        <v>34</v>
      </c>
    </row>
    <row r="801" spans="1:5" x14ac:dyDescent="0.2">
      <c r="A801" s="2" t="s">
        <v>4571</v>
      </c>
      <c r="B801" s="2" t="s">
        <v>4924</v>
      </c>
      <c r="C801" s="2" t="s">
        <v>4833</v>
      </c>
      <c r="D801" s="2" t="s">
        <v>4567</v>
      </c>
      <c r="E801" s="2" t="s">
        <v>34</v>
      </c>
    </row>
    <row r="802" spans="1:5" x14ac:dyDescent="0.2">
      <c r="A802" s="2" t="s">
        <v>1737</v>
      </c>
      <c r="B802" s="2" t="s">
        <v>4924</v>
      </c>
      <c r="C802" s="2" t="s">
        <v>4833</v>
      </c>
      <c r="D802" s="2" t="s">
        <v>1733</v>
      </c>
      <c r="E802" s="2" t="s">
        <v>34</v>
      </c>
    </row>
    <row r="803" spans="1:5" x14ac:dyDescent="0.2">
      <c r="A803" s="2" t="s">
        <v>2923</v>
      </c>
      <c r="B803" s="2" t="s">
        <v>4924</v>
      </c>
      <c r="C803" s="2" t="s">
        <v>4833</v>
      </c>
      <c r="D803" s="2" t="s">
        <v>2919</v>
      </c>
      <c r="E803" s="2" t="s">
        <v>34</v>
      </c>
    </row>
    <row r="804" spans="1:5" x14ac:dyDescent="0.2">
      <c r="A804" s="2" t="s">
        <v>2444</v>
      </c>
      <c r="B804" s="2" t="s">
        <v>4924</v>
      </c>
      <c r="C804" s="2" t="s">
        <v>4833</v>
      </c>
      <c r="D804" s="2" t="s">
        <v>2439</v>
      </c>
      <c r="E804" s="2" t="s">
        <v>34</v>
      </c>
    </row>
    <row r="805" spans="1:5" x14ac:dyDescent="0.2">
      <c r="A805" s="2" t="s">
        <v>1798</v>
      </c>
      <c r="B805" s="2" t="s">
        <v>4924</v>
      </c>
      <c r="C805" s="2" t="s">
        <v>4833</v>
      </c>
      <c r="D805" s="2" t="s">
        <v>1795</v>
      </c>
      <c r="E805" s="2" t="s">
        <v>34</v>
      </c>
    </row>
    <row r="806" spans="1:5" x14ac:dyDescent="0.2">
      <c r="A806" s="2" t="s">
        <v>3735</v>
      </c>
      <c r="B806" s="2" t="s">
        <v>4924</v>
      </c>
      <c r="C806" s="2" t="s">
        <v>4833</v>
      </c>
      <c r="D806" s="2" t="s">
        <v>3731</v>
      </c>
      <c r="E806" s="2" t="s">
        <v>34</v>
      </c>
    </row>
    <row r="807" spans="1:5" x14ac:dyDescent="0.2">
      <c r="A807" s="2" t="s">
        <v>3977</v>
      </c>
      <c r="B807" s="2" t="s">
        <v>4924</v>
      </c>
      <c r="C807" s="2" t="s">
        <v>4833</v>
      </c>
      <c r="D807" s="2" t="s">
        <v>3973</v>
      </c>
      <c r="E807" s="2" t="s">
        <v>34</v>
      </c>
    </row>
    <row r="808" spans="1:5" x14ac:dyDescent="0.2">
      <c r="A808" s="2" t="s">
        <v>4156</v>
      </c>
      <c r="B808" s="2" t="s">
        <v>4924</v>
      </c>
      <c r="C808" s="2" t="s">
        <v>4833</v>
      </c>
      <c r="D808" s="2" t="s">
        <v>4153</v>
      </c>
      <c r="E808" s="2" t="s">
        <v>34</v>
      </c>
    </row>
    <row r="809" spans="1:5" x14ac:dyDescent="0.2">
      <c r="A809" s="2" t="s">
        <v>2443</v>
      </c>
      <c r="B809" s="2" t="s">
        <v>4924</v>
      </c>
      <c r="C809" s="2" t="s">
        <v>4833</v>
      </c>
      <c r="D809" s="2" t="s">
        <v>2439</v>
      </c>
      <c r="E809" s="2" t="s">
        <v>34</v>
      </c>
    </row>
    <row r="810" spans="1:5" x14ac:dyDescent="0.2">
      <c r="A810" s="2" t="s">
        <v>963</v>
      </c>
      <c r="B810" s="2" t="s">
        <v>4924</v>
      </c>
      <c r="C810" s="2" t="s">
        <v>4833</v>
      </c>
      <c r="D810" s="2" t="s">
        <v>959</v>
      </c>
      <c r="E810" s="2" t="s">
        <v>34</v>
      </c>
    </row>
    <row r="811" spans="1:5" x14ac:dyDescent="0.2">
      <c r="A811" s="2" t="s">
        <v>2935</v>
      </c>
      <c r="B811" s="2" t="s">
        <v>4924</v>
      </c>
      <c r="C811" s="2" t="s">
        <v>4833</v>
      </c>
      <c r="D811" s="2" t="s">
        <v>2931</v>
      </c>
      <c r="E811" s="2" t="s">
        <v>34</v>
      </c>
    </row>
    <row r="812" spans="1:5" x14ac:dyDescent="0.2">
      <c r="A812" s="2" t="s">
        <v>4954</v>
      </c>
      <c r="B812" s="2" t="s">
        <v>4924</v>
      </c>
      <c r="C812" s="2" t="s">
        <v>4835</v>
      </c>
      <c r="D812" s="2" t="s">
        <v>34</v>
      </c>
      <c r="E812" s="2" t="s">
        <v>34</v>
      </c>
    </row>
    <row r="813" spans="1:5" x14ac:dyDescent="0.2">
      <c r="A813" s="2" t="s">
        <v>1847</v>
      </c>
      <c r="B813" s="2" t="s">
        <v>4924</v>
      </c>
      <c r="C813" s="2" t="s">
        <v>4833</v>
      </c>
      <c r="D813" s="2" t="s">
        <v>1843</v>
      </c>
      <c r="E813" s="2" t="s">
        <v>34</v>
      </c>
    </row>
    <row r="814" spans="1:5" x14ac:dyDescent="0.2">
      <c r="A814" s="2" t="s">
        <v>3687</v>
      </c>
      <c r="B814" s="2" t="s">
        <v>4924</v>
      </c>
      <c r="C814" s="2" t="s">
        <v>4833</v>
      </c>
      <c r="D814" s="2" t="s">
        <v>3682</v>
      </c>
      <c r="E814" s="2" t="s">
        <v>34</v>
      </c>
    </row>
    <row r="815" spans="1:5" x14ac:dyDescent="0.2">
      <c r="A815" s="2" t="s">
        <v>1218</v>
      </c>
      <c r="B815" s="2" t="s">
        <v>4924</v>
      </c>
      <c r="C815" s="2" t="s">
        <v>4833</v>
      </c>
      <c r="D815" s="2" t="s">
        <v>1214</v>
      </c>
      <c r="E815" s="2" t="s">
        <v>34</v>
      </c>
    </row>
    <row r="816" spans="1:5" x14ac:dyDescent="0.2">
      <c r="A816" s="2" t="s">
        <v>4109</v>
      </c>
      <c r="B816" s="2" t="s">
        <v>4924</v>
      </c>
      <c r="C816" s="2" t="s">
        <v>4833</v>
      </c>
      <c r="D816" s="2" t="s">
        <v>4105</v>
      </c>
      <c r="E816" s="2" t="s">
        <v>34</v>
      </c>
    </row>
    <row r="817" spans="1:5" x14ac:dyDescent="0.2">
      <c r="A817" s="2" t="s">
        <v>3680</v>
      </c>
      <c r="B817" s="2" t="s">
        <v>4924</v>
      </c>
      <c r="C817" s="2" t="s">
        <v>4833</v>
      </c>
      <c r="D817" s="2" t="s">
        <v>3675</v>
      </c>
      <c r="E817" s="2" t="s">
        <v>34</v>
      </c>
    </row>
    <row r="818" spans="1:5" x14ac:dyDescent="0.2">
      <c r="A818" s="2" t="s">
        <v>1563</v>
      </c>
      <c r="B818" s="2" t="s">
        <v>4924</v>
      </c>
      <c r="C818" s="2" t="s">
        <v>4833</v>
      </c>
      <c r="D818" s="2" t="s">
        <v>1559</v>
      </c>
      <c r="E818" s="2" t="s">
        <v>34</v>
      </c>
    </row>
    <row r="819" spans="1:5" x14ac:dyDescent="0.2">
      <c r="A819" s="2" t="s">
        <v>4955</v>
      </c>
      <c r="B819" s="2" t="s">
        <v>4924</v>
      </c>
      <c r="C819" s="2" t="s">
        <v>4835</v>
      </c>
      <c r="D819" s="2" t="s">
        <v>34</v>
      </c>
      <c r="E819" s="2" t="s">
        <v>34</v>
      </c>
    </row>
    <row r="820" spans="1:5" x14ac:dyDescent="0.2">
      <c r="A820" s="2" t="s">
        <v>953</v>
      </c>
      <c r="B820" s="2" t="s">
        <v>4924</v>
      </c>
      <c r="C820" s="2" t="s">
        <v>4833</v>
      </c>
      <c r="D820" s="2" t="s">
        <v>948</v>
      </c>
      <c r="E820" s="2" t="s">
        <v>34</v>
      </c>
    </row>
    <row r="821" spans="1:5" x14ac:dyDescent="0.2">
      <c r="A821" s="2" t="s">
        <v>795</v>
      </c>
      <c r="B821" s="2" t="s">
        <v>4924</v>
      </c>
      <c r="C821" s="2" t="s">
        <v>4833</v>
      </c>
      <c r="D821" s="2" t="s">
        <v>790</v>
      </c>
      <c r="E821" s="2" t="s">
        <v>34</v>
      </c>
    </row>
    <row r="822" spans="1:5" x14ac:dyDescent="0.2">
      <c r="A822" s="2" t="s">
        <v>3452</v>
      </c>
      <c r="B822" s="2" t="s">
        <v>4924</v>
      </c>
      <c r="C822" s="2" t="s">
        <v>4833</v>
      </c>
      <c r="D822" s="2" t="s">
        <v>3448</v>
      </c>
      <c r="E822" s="2" t="s">
        <v>34</v>
      </c>
    </row>
    <row r="823" spans="1:5" x14ac:dyDescent="0.2">
      <c r="A823" s="2" t="s">
        <v>4956</v>
      </c>
      <c r="B823" s="2" t="s">
        <v>4924</v>
      </c>
      <c r="C823" s="2" t="s">
        <v>4835</v>
      </c>
      <c r="D823" s="2" t="s">
        <v>34</v>
      </c>
      <c r="E823" s="2" t="s">
        <v>34</v>
      </c>
    </row>
    <row r="824" spans="1:5" x14ac:dyDescent="0.2">
      <c r="A824" s="2" t="s">
        <v>2248</v>
      </c>
      <c r="B824" s="2" t="s">
        <v>4924</v>
      </c>
      <c r="C824" s="2" t="s">
        <v>4833</v>
      </c>
      <c r="D824" s="2" t="s">
        <v>2243</v>
      </c>
      <c r="E824" s="2" t="s">
        <v>34</v>
      </c>
    </row>
    <row r="825" spans="1:5" x14ac:dyDescent="0.2">
      <c r="A825" s="2" t="s">
        <v>3491</v>
      </c>
      <c r="B825" s="2" t="s">
        <v>4924</v>
      </c>
      <c r="C825" s="2" t="s">
        <v>4833</v>
      </c>
      <c r="D825" s="2" t="s">
        <v>3487</v>
      </c>
      <c r="E825" s="2" t="s">
        <v>34</v>
      </c>
    </row>
    <row r="826" spans="1:5" x14ac:dyDescent="0.2">
      <c r="A826" s="2" t="s">
        <v>4687</v>
      </c>
      <c r="B826" s="2" t="s">
        <v>4924</v>
      </c>
      <c r="C826" s="2" t="s">
        <v>4833</v>
      </c>
      <c r="D826" s="2" t="s">
        <v>4682</v>
      </c>
      <c r="E826" s="2" t="s">
        <v>34</v>
      </c>
    </row>
    <row r="827" spans="1:5" x14ac:dyDescent="0.2">
      <c r="A827" s="2" t="s">
        <v>3922</v>
      </c>
      <c r="B827" s="2" t="s">
        <v>4924</v>
      </c>
      <c r="C827" s="2" t="s">
        <v>4833</v>
      </c>
      <c r="D827" s="2" t="s">
        <v>3918</v>
      </c>
      <c r="E827" s="2" t="s">
        <v>34</v>
      </c>
    </row>
    <row r="828" spans="1:5" x14ac:dyDescent="0.2">
      <c r="A828" s="2" t="s">
        <v>4475</v>
      </c>
      <c r="B828" s="2" t="s">
        <v>4924</v>
      </c>
      <c r="C828" s="2" t="s">
        <v>4833</v>
      </c>
      <c r="D828" s="2" t="s">
        <v>4471</v>
      </c>
      <c r="E828" s="2" t="s">
        <v>34</v>
      </c>
    </row>
    <row r="829" spans="1:5" x14ac:dyDescent="0.2">
      <c r="A829" s="2" t="s">
        <v>2522</v>
      </c>
      <c r="B829" s="2" t="s">
        <v>4924</v>
      </c>
      <c r="C829" s="2" t="s">
        <v>4833</v>
      </c>
      <c r="D829" s="2" t="s">
        <v>2519</v>
      </c>
      <c r="E829" s="2" t="s">
        <v>34</v>
      </c>
    </row>
    <row r="830" spans="1:5" x14ac:dyDescent="0.2">
      <c r="A830" s="2" t="s">
        <v>1919</v>
      </c>
      <c r="B830" s="2" t="s">
        <v>4924</v>
      </c>
      <c r="C830" s="2" t="s">
        <v>4833</v>
      </c>
      <c r="D830" s="2" t="s">
        <v>1915</v>
      </c>
      <c r="E830" s="2" t="s">
        <v>34</v>
      </c>
    </row>
    <row r="831" spans="1:5" x14ac:dyDescent="0.2">
      <c r="A831" s="2" t="s">
        <v>2663</v>
      </c>
      <c r="B831" s="2" t="s">
        <v>4924</v>
      </c>
      <c r="C831" s="2" t="s">
        <v>4833</v>
      </c>
      <c r="D831" s="2" t="s">
        <v>2659</v>
      </c>
      <c r="E831" s="2" t="s">
        <v>34</v>
      </c>
    </row>
    <row r="832" spans="1:5" x14ac:dyDescent="0.2">
      <c r="A832" s="2" t="s">
        <v>2117</v>
      </c>
      <c r="B832" s="2" t="s">
        <v>4924</v>
      </c>
      <c r="C832" s="2" t="s">
        <v>4833</v>
      </c>
      <c r="D832" s="2" t="s">
        <v>2112</v>
      </c>
      <c r="E832" s="2" t="s">
        <v>34</v>
      </c>
    </row>
    <row r="833" spans="1:5" x14ac:dyDescent="0.2">
      <c r="A833" s="2" t="s">
        <v>2053</v>
      </c>
      <c r="B833" s="2" t="s">
        <v>4924</v>
      </c>
      <c r="C833" s="2" t="s">
        <v>4833</v>
      </c>
      <c r="D833" s="2" t="s">
        <v>2049</v>
      </c>
      <c r="E833" s="2" t="s">
        <v>34</v>
      </c>
    </row>
    <row r="834" spans="1:5" x14ac:dyDescent="0.2">
      <c r="A834" s="2" t="s">
        <v>4610</v>
      </c>
      <c r="B834" s="2" t="s">
        <v>4924</v>
      </c>
      <c r="C834" s="2" t="s">
        <v>4833</v>
      </c>
      <c r="D834" s="2" t="s">
        <v>4606</v>
      </c>
      <c r="E834" s="2" t="s">
        <v>34</v>
      </c>
    </row>
    <row r="835" spans="1:5" x14ac:dyDescent="0.2">
      <c r="A835" s="2" t="s">
        <v>4722</v>
      </c>
      <c r="B835" s="2" t="s">
        <v>4924</v>
      </c>
      <c r="C835" s="2" t="s">
        <v>4833</v>
      </c>
      <c r="D835" s="2" t="s">
        <v>4716</v>
      </c>
      <c r="E835" s="2" t="s">
        <v>34</v>
      </c>
    </row>
    <row r="836" spans="1:5" x14ac:dyDescent="0.2">
      <c r="A836" s="2" t="s">
        <v>1653</v>
      </c>
      <c r="B836" s="2" t="s">
        <v>4924</v>
      </c>
      <c r="C836" s="2" t="s">
        <v>4833</v>
      </c>
      <c r="D836" s="2" t="s">
        <v>1649</v>
      </c>
      <c r="E836" s="2" t="s">
        <v>34</v>
      </c>
    </row>
    <row r="837" spans="1:5" x14ac:dyDescent="0.2">
      <c r="A837" s="2" t="s">
        <v>772</v>
      </c>
      <c r="B837" s="2" t="s">
        <v>4924</v>
      </c>
      <c r="C837" s="2" t="s">
        <v>4833</v>
      </c>
      <c r="D837" s="2" t="s">
        <v>766</v>
      </c>
      <c r="E837" s="2" t="s">
        <v>34</v>
      </c>
    </row>
    <row r="838" spans="1:5" x14ac:dyDescent="0.2">
      <c r="A838" s="2" t="s">
        <v>4126</v>
      </c>
      <c r="B838" s="2" t="s">
        <v>4924</v>
      </c>
      <c r="C838" s="2" t="s">
        <v>4833</v>
      </c>
      <c r="D838" s="2" t="s">
        <v>4121</v>
      </c>
      <c r="E838" s="2" t="s">
        <v>34</v>
      </c>
    </row>
    <row r="839" spans="1:5" x14ac:dyDescent="0.2">
      <c r="A839" s="2" t="s">
        <v>3447</v>
      </c>
      <c r="B839" s="2" t="s">
        <v>4924</v>
      </c>
      <c r="C839" s="2" t="s">
        <v>4833</v>
      </c>
      <c r="D839" s="2" t="s">
        <v>3442</v>
      </c>
      <c r="E839" s="2" t="s">
        <v>34</v>
      </c>
    </row>
    <row r="840" spans="1:5" x14ac:dyDescent="0.2">
      <c r="A840" s="2" t="s">
        <v>3637</v>
      </c>
      <c r="B840" s="2" t="s">
        <v>4924</v>
      </c>
      <c r="C840" s="2" t="s">
        <v>4833</v>
      </c>
      <c r="D840" s="2" t="s">
        <v>3634</v>
      </c>
      <c r="E840" s="2" t="s">
        <v>34</v>
      </c>
    </row>
    <row r="841" spans="1:5" x14ac:dyDescent="0.2">
      <c r="A841" s="2" t="s">
        <v>3203</v>
      </c>
      <c r="B841" s="2" t="s">
        <v>4924</v>
      </c>
      <c r="C841" s="2" t="s">
        <v>4833</v>
      </c>
      <c r="D841" s="2" t="s">
        <v>3200</v>
      </c>
      <c r="E841" s="2" t="s">
        <v>34</v>
      </c>
    </row>
    <row r="842" spans="1:5" x14ac:dyDescent="0.2">
      <c r="A842" s="2" t="s">
        <v>4113</v>
      </c>
      <c r="B842" s="2" t="s">
        <v>4924</v>
      </c>
      <c r="C842" s="2" t="s">
        <v>4833</v>
      </c>
      <c r="D842" s="2" t="s">
        <v>4110</v>
      </c>
      <c r="E842" s="2" t="s">
        <v>34</v>
      </c>
    </row>
    <row r="843" spans="1:5" x14ac:dyDescent="0.2">
      <c r="A843" s="2" t="s">
        <v>4699</v>
      </c>
      <c r="B843" s="2" t="s">
        <v>4924</v>
      </c>
      <c r="C843" s="2" t="s">
        <v>4833</v>
      </c>
      <c r="D843" s="2" t="s">
        <v>4695</v>
      </c>
      <c r="E843" s="2" t="s">
        <v>34</v>
      </c>
    </row>
    <row r="844" spans="1:5" x14ac:dyDescent="0.2">
      <c r="A844" s="2" t="s">
        <v>3141</v>
      </c>
      <c r="B844" s="2" t="s">
        <v>4924</v>
      </c>
      <c r="C844" s="2" t="s">
        <v>4833</v>
      </c>
      <c r="D844" s="2" t="s">
        <v>3137</v>
      </c>
      <c r="E844" s="2" t="s">
        <v>34</v>
      </c>
    </row>
    <row r="845" spans="1:5" x14ac:dyDescent="0.2">
      <c r="A845" s="2" t="s">
        <v>4174</v>
      </c>
      <c r="B845" s="2" t="s">
        <v>4924</v>
      </c>
      <c r="C845" s="2" t="s">
        <v>4833</v>
      </c>
      <c r="D845" s="2" t="s">
        <v>4171</v>
      </c>
      <c r="E845" s="2" t="s">
        <v>34</v>
      </c>
    </row>
    <row r="846" spans="1:5" x14ac:dyDescent="0.2">
      <c r="A846" s="2" t="s">
        <v>4191</v>
      </c>
      <c r="B846" s="2" t="s">
        <v>4924</v>
      </c>
      <c r="C846" s="2" t="s">
        <v>4833</v>
      </c>
      <c r="D846" s="2" t="s">
        <v>4187</v>
      </c>
      <c r="E846" s="2" t="s">
        <v>34</v>
      </c>
    </row>
    <row r="847" spans="1:5" x14ac:dyDescent="0.2">
      <c r="A847" s="2" t="s">
        <v>440</v>
      </c>
      <c r="B847" s="2" t="s">
        <v>4924</v>
      </c>
      <c r="C847" s="2" t="s">
        <v>4833</v>
      </c>
      <c r="D847" s="2" t="s">
        <v>436</v>
      </c>
      <c r="E847" s="2" t="s">
        <v>34</v>
      </c>
    </row>
    <row r="848" spans="1:5" x14ac:dyDescent="0.2">
      <c r="A848" s="2" t="s">
        <v>126</v>
      </c>
      <c r="B848" s="2" t="s">
        <v>4924</v>
      </c>
      <c r="C848" s="2" t="s">
        <v>4833</v>
      </c>
      <c r="D848" s="2" t="s">
        <v>121</v>
      </c>
      <c r="E848" s="2" t="s">
        <v>34</v>
      </c>
    </row>
    <row r="849" spans="1:5" x14ac:dyDescent="0.2">
      <c r="A849" s="2" t="s">
        <v>2934</v>
      </c>
      <c r="B849" s="2" t="s">
        <v>4924</v>
      </c>
      <c r="C849" s="2" t="s">
        <v>4833</v>
      </c>
      <c r="D849" s="2" t="s">
        <v>2931</v>
      </c>
      <c r="E849" s="2" t="s">
        <v>34</v>
      </c>
    </row>
    <row r="850" spans="1:5" x14ac:dyDescent="0.2">
      <c r="A850" s="2" t="s">
        <v>886</v>
      </c>
      <c r="B850" s="2" t="s">
        <v>4924</v>
      </c>
      <c r="C850" s="2" t="s">
        <v>4833</v>
      </c>
      <c r="D850" s="2" t="s">
        <v>881</v>
      </c>
      <c r="E850" s="2" t="s">
        <v>34</v>
      </c>
    </row>
    <row r="851" spans="1:5" x14ac:dyDescent="0.2">
      <c r="A851" s="2" t="s">
        <v>231</v>
      </c>
      <c r="B851" s="2" t="s">
        <v>4924</v>
      </c>
      <c r="C851" s="2" t="s">
        <v>4833</v>
      </c>
      <c r="D851" s="2" t="s">
        <v>226</v>
      </c>
      <c r="E851" s="2" t="s">
        <v>34</v>
      </c>
    </row>
    <row r="852" spans="1:5" x14ac:dyDescent="0.2">
      <c r="A852" s="2" t="s">
        <v>2706</v>
      </c>
      <c r="B852" s="2" t="s">
        <v>4924</v>
      </c>
      <c r="C852" s="2" t="s">
        <v>4833</v>
      </c>
      <c r="D852" s="2" t="s">
        <v>2702</v>
      </c>
      <c r="E852" s="2" t="s">
        <v>34</v>
      </c>
    </row>
    <row r="853" spans="1:5" x14ac:dyDescent="0.2">
      <c r="A853" s="2" t="s">
        <v>281</v>
      </c>
      <c r="B853" s="2" t="s">
        <v>4924</v>
      </c>
      <c r="C853" s="2" t="s">
        <v>4833</v>
      </c>
      <c r="D853" s="2" t="s">
        <v>277</v>
      </c>
      <c r="E853" s="2" t="s">
        <v>34</v>
      </c>
    </row>
    <row r="854" spans="1:5" x14ac:dyDescent="0.2">
      <c r="A854" s="2" t="s">
        <v>2669</v>
      </c>
      <c r="B854" s="2" t="s">
        <v>4957</v>
      </c>
      <c r="C854" s="2" t="s">
        <v>4833</v>
      </c>
      <c r="D854" s="2" t="s">
        <v>2664</v>
      </c>
      <c r="E854" s="2" t="s">
        <v>34</v>
      </c>
    </row>
    <row r="855" spans="1:5" x14ac:dyDescent="0.2">
      <c r="A855" s="2" t="s">
        <v>3757</v>
      </c>
      <c r="B855" s="2" t="s">
        <v>4957</v>
      </c>
      <c r="C855" s="2" t="s">
        <v>4833</v>
      </c>
      <c r="D855" s="2" t="s">
        <v>3753</v>
      </c>
      <c r="E855" s="2" t="s">
        <v>34</v>
      </c>
    </row>
    <row r="856" spans="1:5" x14ac:dyDescent="0.2">
      <c r="A856" s="2" t="s">
        <v>2641</v>
      </c>
      <c r="B856" s="2" t="s">
        <v>4957</v>
      </c>
      <c r="C856" s="2" t="s">
        <v>4833</v>
      </c>
      <c r="D856" s="2" t="s">
        <v>2637</v>
      </c>
      <c r="E856" s="2" t="s">
        <v>34</v>
      </c>
    </row>
    <row r="857" spans="1:5" x14ac:dyDescent="0.2">
      <c r="A857" s="2" t="s">
        <v>726</v>
      </c>
      <c r="B857" s="2" t="s">
        <v>4957</v>
      </c>
      <c r="C857" s="2" t="s">
        <v>4833</v>
      </c>
      <c r="D857" s="2" t="s">
        <v>722</v>
      </c>
      <c r="E857" s="2" t="s">
        <v>34</v>
      </c>
    </row>
    <row r="858" spans="1:5" x14ac:dyDescent="0.2">
      <c r="A858" s="2" t="s">
        <v>2210</v>
      </c>
      <c r="B858" s="2" t="s">
        <v>4957</v>
      </c>
      <c r="C858" s="2" t="s">
        <v>4833</v>
      </c>
      <c r="D858" s="2" t="s">
        <v>2206</v>
      </c>
      <c r="E858" s="2" t="s">
        <v>34</v>
      </c>
    </row>
    <row r="859" spans="1:5" x14ac:dyDescent="0.2">
      <c r="A859" s="2" t="s">
        <v>2824</v>
      </c>
      <c r="B859" s="2" t="s">
        <v>4957</v>
      </c>
      <c r="C859" s="2" t="s">
        <v>4833</v>
      </c>
      <c r="D859" s="2" t="s">
        <v>2820</v>
      </c>
      <c r="E859" s="2" t="s">
        <v>34</v>
      </c>
    </row>
    <row r="860" spans="1:5" x14ac:dyDescent="0.2">
      <c r="A860" s="2" t="s">
        <v>4460</v>
      </c>
      <c r="B860" s="2" t="s">
        <v>4957</v>
      </c>
      <c r="C860" s="2" t="s">
        <v>4833</v>
      </c>
      <c r="D860" s="2" t="s">
        <v>4456</v>
      </c>
      <c r="E860" s="2" t="s">
        <v>34</v>
      </c>
    </row>
    <row r="861" spans="1:5" x14ac:dyDescent="0.2">
      <c r="A861" s="2" t="s">
        <v>4958</v>
      </c>
      <c r="B861" s="2" t="s">
        <v>4957</v>
      </c>
      <c r="C861" s="2" t="s">
        <v>4837</v>
      </c>
      <c r="D861" s="2" t="s">
        <v>34</v>
      </c>
      <c r="E861" s="2" t="s">
        <v>34</v>
      </c>
    </row>
    <row r="862" spans="1:5" x14ac:dyDescent="0.2">
      <c r="A862" s="2" t="s">
        <v>4959</v>
      </c>
      <c r="B862" s="2" t="s">
        <v>4957</v>
      </c>
      <c r="C862" s="2" t="s">
        <v>4835</v>
      </c>
      <c r="D862" s="2" t="s">
        <v>34</v>
      </c>
      <c r="E862" s="2" t="s">
        <v>34</v>
      </c>
    </row>
    <row r="863" spans="1:5" x14ac:dyDescent="0.2">
      <c r="A863" s="2" t="s">
        <v>3248</v>
      </c>
      <c r="B863" s="2" t="s">
        <v>4957</v>
      </c>
      <c r="C863" s="2" t="s">
        <v>4833</v>
      </c>
      <c r="D863" s="2" t="s">
        <v>3244</v>
      </c>
      <c r="E863" s="2" t="s">
        <v>34</v>
      </c>
    </row>
    <row r="864" spans="1:5" x14ac:dyDescent="0.2">
      <c r="A864" s="2" t="s">
        <v>1008</v>
      </c>
      <c r="B864" s="2" t="s">
        <v>4957</v>
      </c>
      <c r="C864" s="2" t="s">
        <v>4833</v>
      </c>
      <c r="D864" s="2" t="s">
        <v>1005</v>
      </c>
      <c r="E864" s="2" t="s">
        <v>34</v>
      </c>
    </row>
    <row r="865" spans="1:5" x14ac:dyDescent="0.2">
      <c r="A865" s="2" t="s">
        <v>4041</v>
      </c>
      <c r="B865" s="2" t="s">
        <v>4957</v>
      </c>
      <c r="C865" s="2" t="s">
        <v>4833</v>
      </c>
      <c r="D865" s="2" t="s">
        <v>4037</v>
      </c>
      <c r="E865" s="2" t="s">
        <v>34</v>
      </c>
    </row>
    <row r="866" spans="1:5" x14ac:dyDescent="0.2">
      <c r="A866" s="2" t="s">
        <v>4960</v>
      </c>
      <c r="B866" s="2" t="s">
        <v>4957</v>
      </c>
      <c r="C866" s="2" t="s">
        <v>4835</v>
      </c>
      <c r="D866" s="2" t="s">
        <v>34</v>
      </c>
      <c r="E866" s="2" t="s">
        <v>34</v>
      </c>
    </row>
    <row r="867" spans="1:5" x14ac:dyDescent="0.2">
      <c r="A867" s="2" t="s">
        <v>4961</v>
      </c>
      <c r="B867" s="2" t="s">
        <v>4957</v>
      </c>
      <c r="C867" s="2" t="s">
        <v>4835</v>
      </c>
      <c r="D867" s="2" t="s">
        <v>34</v>
      </c>
      <c r="E867" s="2" t="s">
        <v>34</v>
      </c>
    </row>
    <row r="868" spans="1:5" x14ac:dyDescent="0.2">
      <c r="A868" s="2" t="s">
        <v>4962</v>
      </c>
      <c r="B868" s="2" t="s">
        <v>4957</v>
      </c>
      <c r="C868" s="2" t="s">
        <v>4835</v>
      </c>
      <c r="D868" s="2" t="s">
        <v>34</v>
      </c>
      <c r="E868" s="2" t="s">
        <v>34</v>
      </c>
    </row>
    <row r="869" spans="1:5" x14ac:dyDescent="0.2">
      <c r="A869" s="2" t="s">
        <v>4704</v>
      </c>
      <c r="B869" s="2" t="s">
        <v>4957</v>
      </c>
      <c r="C869" s="2" t="s">
        <v>4833</v>
      </c>
      <c r="D869" s="2" t="s">
        <v>4700</v>
      </c>
      <c r="E869" s="2" t="s">
        <v>34</v>
      </c>
    </row>
    <row r="870" spans="1:5" x14ac:dyDescent="0.2">
      <c r="A870" s="2" t="s">
        <v>3862</v>
      </c>
      <c r="B870" s="2" t="s">
        <v>4957</v>
      </c>
      <c r="C870" s="2" t="s">
        <v>4833</v>
      </c>
      <c r="D870" s="2" t="s">
        <v>3859</v>
      </c>
      <c r="E870" s="2" t="s">
        <v>34</v>
      </c>
    </row>
    <row r="871" spans="1:5" x14ac:dyDescent="0.2">
      <c r="A871" s="2" t="s">
        <v>133</v>
      </c>
      <c r="B871" s="2" t="s">
        <v>4957</v>
      </c>
      <c r="C871" s="2" t="s">
        <v>4833</v>
      </c>
      <c r="D871" s="2" t="s">
        <v>127</v>
      </c>
      <c r="E871" s="2" t="s">
        <v>34</v>
      </c>
    </row>
    <row r="872" spans="1:5" x14ac:dyDescent="0.2">
      <c r="A872" s="2" t="s">
        <v>1143</v>
      </c>
      <c r="B872" s="2" t="s">
        <v>4957</v>
      </c>
      <c r="C872" s="2" t="s">
        <v>4833</v>
      </c>
      <c r="D872" s="2" t="s">
        <v>1139</v>
      </c>
      <c r="E872" s="2" t="s">
        <v>34</v>
      </c>
    </row>
    <row r="873" spans="1:5" x14ac:dyDescent="0.2">
      <c r="A873" s="2" t="s">
        <v>2830</v>
      </c>
      <c r="B873" s="2" t="s">
        <v>4957</v>
      </c>
      <c r="C873" s="2" t="s">
        <v>4833</v>
      </c>
      <c r="D873" s="2" t="s">
        <v>2825</v>
      </c>
      <c r="E873" s="2" t="s">
        <v>34</v>
      </c>
    </row>
    <row r="874" spans="1:5" x14ac:dyDescent="0.2">
      <c r="A874" s="2" t="s">
        <v>2277</v>
      </c>
      <c r="B874" s="2" t="s">
        <v>4957</v>
      </c>
      <c r="C874" s="2" t="s">
        <v>4833</v>
      </c>
      <c r="D874" s="2" t="s">
        <v>2273</v>
      </c>
      <c r="E874" s="2" t="s">
        <v>34</v>
      </c>
    </row>
    <row r="875" spans="1:5" x14ac:dyDescent="0.2">
      <c r="A875" s="2" t="s">
        <v>2183</v>
      </c>
      <c r="B875" s="2" t="s">
        <v>4957</v>
      </c>
      <c r="C875" s="2" t="s">
        <v>4833</v>
      </c>
      <c r="D875" s="2" t="s">
        <v>2179</v>
      </c>
      <c r="E875" s="2" t="s">
        <v>34</v>
      </c>
    </row>
    <row r="876" spans="1:5" x14ac:dyDescent="0.2">
      <c r="A876" s="2" t="s">
        <v>824</v>
      </c>
      <c r="B876" s="2" t="s">
        <v>4957</v>
      </c>
      <c r="C876" s="2" t="s">
        <v>4833</v>
      </c>
      <c r="D876" s="2" t="s">
        <v>820</v>
      </c>
      <c r="E876" s="2" t="s">
        <v>34</v>
      </c>
    </row>
    <row r="877" spans="1:5" x14ac:dyDescent="0.2">
      <c r="A877" s="2" t="s">
        <v>4274</v>
      </c>
      <c r="B877" s="2" t="s">
        <v>4957</v>
      </c>
      <c r="C877" s="2" t="s">
        <v>4833</v>
      </c>
      <c r="D877" s="2" t="s">
        <v>4271</v>
      </c>
      <c r="E877" s="2" t="s">
        <v>34</v>
      </c>
    </row>
    <row r="878" spans="1:5" x14ac:dyDescent="0.2">
      <c r="A878" s="2" t="s">
        <v>3300</v>
      </c>
      <c r="B878" s="2" t="s">
        <v>4957</v>
      </c>
      <c r="C878" s="2" t="s">
        <v>4833</v>
      </c>
      <c r="D878" s="2" t="s">
        <v>3295</v>
      </c>
      <c r="E878" s="2" t="s">
        <v>34</v>
      </c>
    </row>
    <row r="879" spans="1:5" x14ac:dyDescent="0.2">
      <c r="A879" s="2" t="s">
        <v>4963</v>
      </c>
      <c r="B879" s="2" t="s">
        <v>4957</v>
      </c>
      <c r="C879" s="2" t="s">
        <v>4835</v>
      </c>
      <c r="D879" s="2" t="s">
        <v>34</v>
      </c>
      <c r="E879" s="2" t="s">
        <v>34</v>
      </c>
    </row>
    <row r="880" spans="1:5" x14ac:dyDescent="0.2">
      <c r="A880" s="2" t="s">
        <v>914</v>
      </c>
      <c r="B880" s="2" t="s">
        <v>4957</v>
      </c>
      <c r="C880" s="2" t="s">
        <v>4833</v>
      </c>
      <c r="D880" s="2" t="s">
        <v>910</v>
      </c>
      <c r="E880" s="2" t="s">
        <v>34</v>
      </c>
    </row>
    <row r="881" spans="1:5" x14ac:dyDescent="0.2">
      <c r="A881" s="2" t="s">
        <v>4141</v>
      </c>
      <c r="B881" s="2" t="s">
        <v>4957</v>
      </c>
      <c r="C881" s="2" t="s">
        <v>4833</v>
      </c>
      <c r="D881" s="2" t="s">
        <v>4138</v>
      </c>
      <c r="E881" s="2" t="s">
        <v>34</v>
      </c>
    </row>
    <row r="882" spans="1:5" x14ac:dyDescent="0.2">
      <c r="A882" s="2" t="s">
        <v>4239</v>
      </c>
      <c r="B882" s="2" t="s">
        <v>4957</v>
      </c>
      <c r="C882" s="2" t="s">
        <v>4833</v>
      </c>
      <c r="D882" s="2" t="s">
        <v>4234</v>
      </c>
      <c r="E882" s="2" t="s">
        <v>34</v>
      </c>
    </row>
    <row r="883" spans="1:5" x14ac:dyDescent="0.2">
      <c r="A883" s="2" t="s">
        <v>976</v>
      </c>
      <c r="B883" s="2" t="s">
        <v>4957</v>
      </c>
      <c r="C883" s="2" t="s">
        <v>4833</v>
      </c>
      <c r="D883" s="2" t="s">
        <v>972</v>
      </c>
      <c r="E883" s="2" t="s">
        <v>34</v>
      </c>
    </row>
    <row r="884" spans="1:5" x14ac:dyDescent="0.2">
      <c r="A884" s="2" t="s">
        <v>4709</v>
      </c>
      <c r="B884" s="2" t="s">
        <v>4957</v>
      </c>
      <c r="C884" s="2" t="s">
        <v>4833</v>
      </c>
      <c r="D884" s="2" t="s">
        <v>4706</v>
      </c>
      <c r="E884" s="2" t="s">
        <v>34</v>
      </c>
    </row>
    <row r="885" spans="1:5" x14ac:dyDescent="0.2">
      <c r="A885" s="2" t="s">
        <v>1260</v>
      </c>
      <c r="B885" s="2" t="s">
        <v>4957</v>
      </c>
      <c r="C885" s="2" t="s">
        <v>4833</v>
      </c>
      <c r="D885" s="2" t="s">
        <v>1256</v>
      </c>
      <c r="E885" s="2" t="s">
        <v>34</v>
      </c>
    </row>
    <row r="886" spans="1:5" x14ac:dyDescent="0.2">
      <c r="A886" s="2" t="s">
        <v>664</v>
      </c>
      <c r="B886" s="2" t="s">
        <v>4957</v>
      </c>
      <c r="C886" s="2" t="s">
        <v>4833</v>
      </c>
      <c r="D886" s="2" t="s">
        <v>658</v>
      </c>
      <c r="E886" s="2" t="s">
        <v>34</v>
      </c>
    </row>
    <row r="887" spans="1:5" x14ac:dyDescent="0.2">
      <c r="A887" s="2" t="s">
        <v>4074</v>
      </c>
      <c r="B887" s="2" t="s">
        <v>4957</v>
      </c>
      <c r="C887" s="2" t="s">
        <v>4833</v>
      </c>
      <c r="D887" s="2" t="s">
        <v>4071</v>
      </c>
      <c r="E887" s="2" t="s">
        <v>34</v>
      </c>
    </row>
    <row r="888" spans="1:5" x14ac:dyDescent="0.2">
      <c r="A888" s="2" t="s">
        <v>675</v>
      </c>
      <c r="B888" s="2" t="s">
        <v>4957</v>
      </c>
      <c r="C888" s="2" t="s">
        <v>4833</v>
      </c>
      <c r="D888" s="2" t="s">
        <v>670</v>
      </c>
      <c r="E888" s="2" t="s">
        <v>34</v>
      </c>
    </row>
    <row r="889" spans="1:5" x14ac:dyDescent="0.2">
      <c r="A889" s="2" t="s">
        <v>547</v>
      </c>
      <c r="B889" s="2" t="s">
        <v>4957</v>
      </c>
      <c r="C889" s="2" t="s">
        <v>4833</v>
      </c>
      <c r="D889" s="2" t="s">
        <v>542</v>
      </c>
      <c r="E889" s="2" t="s">
        <v>34</v>
      </c>
    </row>
    <row r="890" spans="1:5" x14ac:dyDescent="0.2">
      <c r="A890" s="2" t="s">
        <v>1241</v>
      </c>
      <c r="B890" s="2" t="s">
        <v>4957</v>
      </c>
      <c r="C890" s="2" t="s">
        <v>4833</v>
      </c>
      <c r="D890" s="2" t="s">
        <v>1236</v>
      </c>
      <c r="E890" s="2" t="s">
        <v>34</v>
      </c>
    </row>
    <row r="891" spans="1:5" x14ac:dyDescent="0.2">
      <c r="A891" s="2" t="s">
        <v>2010</v>
      </c>
      <c r="B891" s="2" t="s">
        <v>4957</v>
      </c>
      <c r="C891" s="2" t="s">
        <v>4833</v>
      </c>
      <c r="D891" s="2" t="s">
        <v>2006</v>
      </c>
      <c r="E891" s="2" t="s">
        <v>34</v>
      </c>
    </row>
    <row r="892" spans="1:5" x14ac:dyDescent="0.2">
      <c r="A892" s="2" t="s">
        <v>4964</v>
      </c>
      <c r="B892" s="2" t="s">
        <v>4957</v>
      </c>
      <c r="C892" s="2" t="s">
        <v>4835</v>
      </c>
      <c r="D892" s="2" t="s">
        <v>34</v>
      </c>
      <c r="E892" s="2" t="s">
        <v>34</v>
      </c>
    </row>
    <row r="893" spans="1:5" x14ac:dyDescent="0.2">
      <c r="A893" s="2" t="s">
        <v>483</v>
      </c>
      <c r="B893" s="2" t="s">
        <v>4957</v>
      </c>
      <c r="C893" s="2" t="s">
        <v>4833</v>
      </c>
      <c r="D893" s="2" t="s">
        <v>478</v>
      </c>
      <c r="E893" s="2" t="s">
        <v>34</v>
      </c>
    </row>
    <row r="894" spans="1:5" x14ac:dyDescent="0.2">
      <c r="A894" s="2" t="s">
        <v>4108</v>
      </c>
      <c r="B894" s="2" t="s">
        <v>4957</v>
      </c>
      <c r="C894" s="2" t="s">
        <v>4833</v>
      </c>
      <c r="D894" s="2" t="s">
        <v>4105</v>
      </c>
      <c r="E894" s="2" t="s">
        <v>34</v>
      </c>
    </row>
    <row r="895" spans="1:5" x14ac:dyDescent="0.2">
      <c r="A895" s="2" t="s">
        <v>4146</v>
      </c>
      <c r="B895" s="2" t="s">
        <v>4957</v>
      </c>
      <c r="C895" s="2" t="s">
        <v>4833</v>
      </c>
      <c r="D895" s="2" t="s">
        <v>4143</v>
      </c>
      <c r="E895" s="2" t="s">
        <v>34</v>
      </c>
    </row>
    <row r="896" spans="1:5" x14ac:dyDescent="0.2">
      <c r="A896" s="2" t="s">
        <v>224</v>
      </c>
      <c r="B896" s="2" t="s">
        <v>4957</v>
      </c>
      <c r="C896" s="2" t="s">
        <v>4833</v>
      </c>
      <c r="D896" s="2" t="s">
        <v>219</v>
      </c>
      <c r="E896" s="2" t="s">
        <v>34</v>
      </c>
    </row>
    <row r="897" spans="1:5" x14ac:dyDescent="0.2">
      <c r="A897" s="2" t="s">
        <v>656</v>
      </c>
      <c r="B897" s="2" t="s">
        <v>4957</v>
      </c>
      <c r="C897" s="2" t="s">
        <v>4833</v>
      </c>
      <c r="D897" s="2" t="s">
        <v>652</v>
      </c>
      <c r="E897" s="2" t="s">
        <v>34</v>
      </c>
    </row>
    <row r="898" spans="1:5" x14ac:dyDescent="0.2">
      <c r="A898" s="2" t="s">
        <v>879</v>
      </c>
      <c r="B898" s="2" t="s">
        <v>4957</v>
      </c>
      <c r="C898" s="2" t="s">
        <v>4833</v>
      </c>
      <c r="D898" s="2" t="s">
        <v>874</v>
      </c>
      <c r="E898" s="2" t="s">
        <v>34</v>
      </c>
    </row>
    <row r="899" spans="1:5" x14ac:dyDescent="0.2">
      <c r="A899" s="2" t="s">
        <v>4965</v>
      </c>
      <c r="B899" s="2" t="s">
        <v>4957</v>
      </c>
      <c r="C899" s="2" t="s">
        <v>4837</v>
      </c>
      <c r="D899" s="2" t="s">
        <v>34</v>
      </c>
      <c r="E899" s="2" t="s">
        <v>34</v>
      </c>
    </row>
    <row r="900" spans="1:5" x14ac:dyDescent="0.2">
      <c r="A900" s="2" t="s">
        <v>4021</v>
      </c>
      <c r="B900" s="2" t="s">
        <v>4957</v>
      </c>
      <c r="C900" s="2" t="s">
        <v>4833</v>
      </c>
      <c r="D900" s="2" t="s">
        <v>4017</v>
      </c>
      <c r="E900" s="2" t="s">
        <v>34</v>
      </c>
    </row>
    <row r="901" spans="1:5" x14ac:dyDescent="0.2">
      <c r="A901" s="2" t="s">
        <v>171</v>
      </c>
      <c r="B901" s="2" t="s">
        <v>4957</v>
      </c>
      <c r="C901" s="2" t="s">
        <v>4833</v>
      </c>
      <c r="D901" s="2" t="s">
        <v>167</v>
      </c>
      <c r="E901" s="2" t="s">
        <v>34</v>
      </c>
    </row>
    <row r="902" spans="1:5" x14ac:dyDescent="0.2">
      <c r="A902" s="2" t="s">
        <v>1108</v>
      </c>
      <c r="B902" s="2" t="s">
        <v>4957</v>
      </c>
      <c r="C902" s="2" t="s">
        <v>4833</v>
      </c>
      <c r="D902" s="2" t="s">
        <v>1104</v>
      </c>
      <c r="E902" s="2" t="s">
        <v>34</v>
      </c>
    </row>
    <row r="903" spans="1:5" x14ac:dyDescent="0.2">
      <c r="A903" s="2" t="s">
        <v>2879</v>
      </c>
      <c r="B903" s="2" t="s">
        <v>4957</v>
      </c>
      <c r="C903" s="2" t="s">
        <v>4833</v>
      </c>
      <c r="D903" s="2" t="s">
        <v>2876</v>
      </c>
      <c r="E903" s="2" t="s">
        <v>34</v>
      </c>
    </row>
    <row r="904" spans="1:5" x14ac:dyDescent="0.2">
      <c r="A904" s="2" t="s">
        <v>1532</v>
      </c>
      <c r="B904" s="2" t="s">
        <v>4957</v>
      </c>
      <c r="C904" s="2" t="s">
        <v>4833</v>
      </c>
      <c r="D904" s="2" t="s">
        <v>1528</v>
      </c>
      <c r="E904" s="2" t="s">
        <v>34</v>
      </c>
    </row>
    <row r="905" spans="1:5" x14ac:dyDescent="0.2">
      <c r="A905" s="2" t="s">
        <v>1418</v>
      </c>
      <c r="B905" s="2" t="s">
        <v>4957</v>
      </c>
      <c r="C905" s="2" t="s">
        <v>4833</v>
      </c>
      <c r="D905" s="2" t="s">
        <v>1415</v>
      </c>
      <c r="E905" s="2" t="s">
        <v>34</v>
      </c>
    </row>
    <row r="906" spans="1:5" x14ac:dyDescent="0.2">
      <c r="A906" s="2" t="s">
        <v>4275</v>
      </c>
      <c r="B906" s="2" t="s">
        <v>4957</v>
      </c>
      <c r="C906" s="2" t="s">
        <v>4833</v>
      </c>
      <c r="D906" s="2" t="s">
        <v>4271</v>
      </c>
      <c r="E906" s="2" t="s">
        <v>34</v>
      </c>
    </row>
    <row r="907" spans="1:5" x14ac:dyDescent="0.2">
      <c r="A907" s="2" t="s">
        <v>574</v>
      </c>
      <c r="B907" s="2" t="s">
        <v>4957</v>
      </c>
      <c r="C907" s="2" t="s">
        <v>4833</v>
      </c>
      <c r="D907" s="2" t="s">
        <v>570</v>
      </c>
      <c r="E907" s="2" t="s">
        <v>34</v>
      </c>
    </row>
    <row r="908" spans="1:5" x14ac:dyDescent="0.2">
      <c r="A908" s="2" t="s">
        <v>575</v>
      </c>
      <c r="B908" s="2" t="s">
        <v>4957</v>
      </c>
      <c r="C908" s="2" t="s">
        <v>4833</v>
      </c>
      <c r="D908" s="2" t="s">
        <v>570</v>
      </c>
      <c r="E908" s="2" t="s">
        <v>34</v>
      </c>
    </row>
    <row r="909" spans="1:5" x14ac:dyDescent="0.2">
      <c r="A909" s="2" t="s">
        <v>4635</v>
      </c>
      <c r="B909" s="2" t="s">
        <v>4957</v>
      </c>
      <c r="C909" s="2" t="s">
        <v>4833</v>
      </c>
      <c r="D909" s="2" t="s">
        <v>4632</v>
      </c>
      <c r="E909" s="2" t="s">
        <v>34</v>
      </c>
    </row>
    <row r="910" spans="1:5" x14ac:dyDescent="0.2">
      <c r="A910" s="2" t="s">
        <v>1698</v>
      </c>
      <c r="B910" s="2" t="s">
        <v>4957</v>
      </c>
      <c r="C910" s="2" t="s">
        <v>4833</v>
      </c>
      <c r="D910" s="2" t="s">
        <v>1695</v>
      </c>
      <c r="E910" s="2" t="s">
        <v>34</v>
      </c>
    </row>
    <row r="911" spans="1:5" x14ac:dyDescent="0.2">
      <c r="A911" s="2" t="s">
        <v>1361</v>
      </c>
      <c r="B911" s="2" t="s">
        <v>4957</v>
      </c>
      <c r="C911" s="2" t="s">
        <v>4833</v>
      </c>
      <c r="D911" s="2" t="s">
        <v>1357</v>
      </c>
      <c r="E911" s="2" t="s">
        <v>34</v>
      </c>
    </row>
    <row r="912" spans="1:5" x14ac:dyDescent="0.2">
      <c r="A912" s="2" t="s">
        <v>3399</v>
      </c>
      <c r="B912" s="2" t="s">
        <v>4957</v>
      </c>
      <c r="C912" s="2" t="s">
        <v>4833</v>
      </c>
      <c r="D912" s="2" t="s">
        <v>3395</v>
      </c>
      <c r="E912" s="2" t="s">
        <v>34</v>
      </c>
    </row>
    <row r="913" spans="1:5" x14ac:dyDescent="0.2">
      <c r="A913" s="2" t="s">
        <v>230</v>
      </c>
      <c r="B913" s="2" t="s">
        <v>4957</v>
      </c>
      <c r="C913" s="2" t="s">
        <v>4833</v>
      </c>
      <c r="D913" s="2" t="s">
        <v>226</v>
      </c>
      <c r="E913" s="2" t="s">
        <v>34</v>
      </c>
    </row>
    <row r="914" spans="1:5" x14ac:dyDescent="0.2">
      <c r="A914" s="2" t="s">
        <v>2808</v>
      </c>
      <c r="B914" s="2" t="s">
        <v>4957</v>
      </c>
      <c r="C914" s="2" t="s">
        <v>4833</v>
      </c>
      <c r="D914" s="2" t="s">
        <v>2804</v>
      </c>
      <c r="E914" s="2" t="s">
        <v>34</v>
      </c>
    </row>
    <row r="915" spans="1:5" x14ac:dyDescent="0.2">
      <c r="A915" s="2" t="s">
        <v>522</v>
      </c>
      <c r="B915" s="2" t="s">
        <v>4957</v>
      </c>
      <c r="C915" s="2" t="s">
        <v>4833</v>
      </c>
      <c r="D915" s="2" t="s">
        <v>517</v>
      </c>
      <c r="E915" s="2" t="s">
        <v>34</v>
      </c>
    </row>
    <row r="916" spans="1:5" x14ac:dyDescent="0.2">
      <c r="A916" s="2" t="s">
        <v>2719</v>
      </c>
      <c r="B916" s="2" t="s">
        <v>4957</v>
      </c>
      <c r="C916" s="2" t="s">
        <v>4833</v>
      </c>
      <c r="D916" s="2" t="s">
        <v>2714</v>
      </c>
      <c r="E916" s="2" t="s">
        <v>34</v>
      </c>
    </row>
    <row r="917" spans="1:5" x14ac:dyDescent="0.2">
      <c r="A917" s="2" t="s">
        <v>1789</v>
      </c>
      <c r="B917" s="2" t="s">
        <v>4957</v>
      </c>
      <c r="C917" s="2" t="s">
        <v>4833</v>
      </c>
      <c r="D917" s="2" t="s">
        <v>1786</v>
      </c>
      <c r="E917" s="2" t="s">
        <v>34</v>
      </c>
    </row>
    <row r="918" spans="1:5" x14ac:dyDescent="0.2">
      <c r="A918" s="2" t="s">
        <v>2255</v>
      </c>
      <c r="B918" s="2" t="s">
        <v>4957</v>
      </c>
      <c r="C918" s="2" t="s">
        <v>4833</v>
      </c>
      <c r="D918" s="2" t="s">
        <v>2249</v>
      </c>
      <c r="E918" s="2" t="s">
        <v>34</v>
      </c>
    </row>
    <row r="919" spans="1:5" x14ac:dyDescent="0.2">
      <c r="A919" s="2" t="s">
        <v>2082</v>
      </c>
      <c r="B919" s="2" t="s">
        <v>4957</v>
      </c>
      <c r="C919" s="2" t="s">
        <v>4833</v>
      </c>
      <c r="D919" s="2" t="s">
        <v>2078</v>
      </c>
      <c r="E919" s="2" t="s">
        <v>34</v>
      </c>
    </row>
    <row r="920" spans="1:5" x14ac:dyDescent="0.2">
      <c r="A920" s="2" t="s">
        <v>4658</v>
      </c>
      <c r="B920" s="2" t="s">
        <v>4957</v>
      </c>
      <c r="C920" s="2" t="s">
        <v>4833</v>
      </c>
      <c r="D920" s="2" t="s">
        <v>4655</v>
      </c>
      <c r="E920" s="2" t="s">
        <v>34</v>
      </c>
    </row>
    <row r="921" spans="1:5" x14ac:dyDescent="0.2">
      <c r="A921" s="2" t="s">
        <v>4966</v>
      </c>
      <c r="B921" s="2" t="s">
        <v>4957</v>
      </c>
      <c r="C921" s="2" t="s">
        <v>4835</v>
      </c>
      <c r="D921" s="2" t="s">
        <v>34</v>
      </c>
      <c r="E921" s="2" t="s">
        <v>34</v>
      </c>
    </row>
    <row r="922" spans="1:5" x14ac:dyDescent="0.2">
      <c r="A922" s="2" t="s">
        <v>3215</v>
      </c>
      <c r="B922" s="2" t="s">
        <v>4957</v>
      </c>
      <c r="C922" s="2" t="s">
        <v>4833</v>
      </c>
      <c r="D922" s="2" t="s">
        <v>3211</v>
      </c>
      <c r="E922" s="2" t="s">
        <v>34</v>
      </c>
    </row>
    <row r="923" spans="1:5" x14ac:dyDescent="0.2">
      <c r="A923" s="2" t="s">
        <v>3958</v>
      </c>
      <c r="B923" s="2" t="s">
        <v>4957</v>
      </c>
      <c r="C923" s="2" t="s">
        <v>4833</v>
      </c>
      <c r="D923" s="2" t="s">
        <v>3954</v>
      </c>
      <c r="E923" s="2" t="s">
        <v>34</v>
      </c>
    </row>
    <row r="924" spans="1:5" x14ac:dyDescent="0.2">
      <c r="A924" s="2" t="s">
        <v>3090</v>
      </c>
      <c r="B924" s="2" t="s">
        <v>4957</v>
      </c>
      <c r="C924" s="2" t="s">
        <v>4833</v>
      </c>
      <c r="D924" s="2" t="s">
        <v>3085</v>
      </c>
      <c r="E924" s="2" t="s">
        <v>34</v>
      </c>
    </row>
    <row r="925" spans="1:5" x14ac:dyDescent="0.2">
      <c r="A925" s="2" t="s">
        <v>395</v>
      </c>
      <c r="B925" s="2" t="s">
        <v>4957</v>
      </c>
      <c r="C925" s="2" t="s">
        <v>4833</v>
      </c>
      <c r="D925" s="2" t="s">
        <v>390</v>
      </c>
      <c r="E925" s="2" t="s">
        <v>34</v>
      </c>
    </row>
    <row r="926" spans="1:5" x14ac:dyDescent="0.2">
      <c r="A926" s="2" t="s">
        <v>4967</v>
      </c>
      <c r="B926" s="2" t="s">
        <v>4957</v>
      </c>
      <c r="C926" s="2" t="s">
        <v>4835</v>
      </c>
      <c r="D926" s="2" t="s">
        <v>34</v>
      </c>
      <c r="E926" s="2" t="s">
        <v>34</v>
      </c>
    </row>
    <row r="927" spans="1:5" x14ac:dyDescent="0.2">
      <c r="A927" s="2" t="s">
        <v>3555</v>
      </c>
      <c r="B927" s="2" t="s">
        <v>4957</v>
      </c>
      <c r="C927" s="2" t="s">
        <v>4833</v>
      </c>
      <c r="D927" s="2" t="s">
        <v>3552</v>
      </c>
      <c r="E927" s="2" t="s">
        <v>34</v>
      </c>
    </row>
    <row r="928" spans="1:5" x14ac:dyDescent="0.2">
      <c r="A928" s="2" t="s">
        <v>715</v>
      </c>
      <c r="B928" s="2" t="s">
        <v>4957</v>
      </c>
      <c r="C928" s="2" t="s">
        <v>4833</v>
      </c>
      <c r="D928" s="2" t="s">
        <v>710</v>
      </c>
      <c r="E928" s="2" t="s">
        <v>34</v>
      </c>
    </row>
    <row r="929" spans="1:5" x14ac:dyDescent="0.2">
      <c r="A929" s="2" t="s">
        <v>3006</v>
      </c>
      <c r="B929" s="2" t="s">
        <v>4957</v>
      </c>
      <c r="C929" s="2" t="s">
        <v>4833</v>
      </c>
      <c r="D929" s="2" t="s">
        <v>3002</v>
      </c>
      <c r="E929" s="2" t="s">
        <v>34</v>
      </c>
    </row>
    <row r="930" spans="1:5" x14ac:dyDescent="0.2">
      <c r="A930" s="2" t="s">
        <v>4968</v>
      </c>
      <c r="B930" s="2" t="s">
        <v>4957</v>
      </c>
      <c r="C930" s="2" t="s">
        <v>4835</v>
      </c>
      <c r="D930" s="2" t="s">
        <v>34</v>
      </c>
      <c r="E930" s="2" t="s">
        <v>34</v>
      </c>
    </row>
    <row r="931" spans="1:5" x14ac:dyDescent="0.2">
      <c r="A931" s="2" t="s">
        <v>4969</v>
      </c>
      <c r="B931" s="2" t="s">
        <v>4957</v>
      </c>
      <c r="C931" s="2" t="s">
        <v>4835</v>
      </c>
      <c r="D931" s="2" t="s">
        <v>34</v>
      </c>
      <c r="E931" s="2" t="s">
        <v>34</v>
      </c>
    </row>
    <row r="932" spans="1:5" x14ac:dyDescent="0.2">
      <c r="A932" s="2" t="s">
        <v>864</v>
      </c>
      <c r="B932" s="2" t="s">
        <v>4957</v>
      </c>
      <c r="C932" s="2" t="s">
        <v>4833</v>
      </c>
      <c r="D932" s="2" t="s">
        <v>861</v>
      </c>
      <c r="E932" s="2" t="s">
        <v>34</v>
      </c>
    </row>
    <row r="933" spans="1:5" x14ac:dyDescent="0.2">
      <c r="A933" s="2" t="s">
        <v>4562</v>
      </c>
      <c r="B933" s="2" t="s">
        <v>4957</v>
      </c>
      <c r="C933" s="2" t="s">
        <v>4833</v>
      </c>
      <c r="D933" s="2" t="s">
        <v>4557</v>
      </c>
      <c r="E933" s="2" t="s">
        <v>34</v>
      </c>
    </row>
    <row r="934" spans="1:5" x14ac:dyDescent="0.2">
      <c r="A934" s="2" t="s">
        <v>271</v>
      </c>
      <c r="B934" s="2" t="s">
        <v>4957</v>
      </c>
      <c r="C934" s="2" t="s">
        <v>4833</v>
      </c>
      <c r="D934" s="2" t="s">
        <v>266</v>
      </c>
      <c r="E934" s="2" t="s">
        <v>34</v>
      </c>
    </row>
    <row r="935" spans="1:5" x14ac:dyDescent="0.2">
      <c r="A935" s="2" t="s">
        <v>2453</v>
      </c>
      <c r="B935" s="2" t="s">
        <v>4957</v>
      </c>
      <c r="C935" s="2" t="s">
        <v>4833</v>
      </c>
      <c r="D935" s="2" t="s">
        <v>2449</v>
      </c>
      <c r="E935" s="2" t="s">
        <v>34</v>
      </c>
    </row>
    <row r="936" spans="1:5" x14ac:dyDescent="0.2">
      <c r="A936" s="2" t="s">
        <v>3055</v>
      </c>
      <c r="B936" s="2" t="s">
        <v>4957</v>
      </c>
      <c r="C936" s="2" t="s">
        <v>4833</v>
      </c>
      <c r="D936" s="2" t="s">
        <v>3050</v>
      </c>
      <c r="E936" s="2" t="s">
        <v>34</v>
      </c>
    </row>
    <row r="937" spans="1:5" x14ac:dyDescent="0.2">
      <c r="A937" s="2" t="s">
        <v>1057</v>
      </c>
      <c r="B937" s="2" t="s">
        <v>4957</v>
      </c>
      <c r="C937" s="2" t="s">
        <v>4833</v>
      </c>
      <c r="D937" s="2" t="s">
        <v>1051</v>
      </c>
      <c r="E937" s="2" t="s">
        <v>34</v>
      </c>
    </row>
    <row r="938" spans="1:5" x14ac:dyDescent="0.2">
      <c r="A938" s="2" t="s">
        <v>4431</v>
      </c>
      <c r="B938" s="2" t="s">
        <v>4957</v>
      </c>
      <c r="C938" s="2" t="s">
        <v>4833</v>
      </c>
      <c r="D938" s="2" t="s">
        <v>4428</v>
      </c>
      <c r="E938" s="2" t="s">
        <v>34</v>
      </c>
    </row>
    <row r="939" spans="1:5" x14ac:dyDescent="0.2">
      <c r="A939" s="2" t="s">
        <v>3655</v>
      </c>
      <c r="B939" s="2" t="s">
        <v>4957</v>
      </c>
      <c r="C939" s="2" t="s">
        <v>4833</v>
      </c>
      <c r="D939" s="2" t="s">
        <v>3651</v>
      </c>
      <c r="E939" s="2" t="s">
        <v>34</v>
      </c>
    </row>
    <row r="940" spans="1:5" x14ac:dyDescent="0.2">
      <c r="A940" s="2" t="s">
        <v>4415</v>
      </c>
      <c r="B940" s="2" t="s">
        <v>4957</v>
      </c>
      <c r="C940" s="2" t="s">
        <v>4833</v>
      </c>
      <c r="D940" s="2" t="s">
        <v>4411</v>
      </c>
      <c r="E940" s="2" t="s">
        <v>34</v>
      </c>
    </row>
    <row r="941" spans="1:5" x14ac:dyDescent="0.2">
      <c r="A941" s="2" t="s">
        <v>4970</v>
      </c>
      <c r="B941" s="2" t="s">
        <v>4957</v>
      </c>
      <c r="C941" s="2" t="s">
        <v>4835</v>
      </c>
      <c r="D941" s="2" t="s">
        <v>34</v>
      </c>
      <c r="E941" s="2" t="s">
        <v>34</v>
      </c>
    </row>
    <row r="942" spans="1:5" x14ac:dyDescent="0.2">
      <c r="A942" s="2" t="s">
        <v>4971</v>
      </c>
      <c r="B942" s="2" t="s">
        <v>4957</v>
      </c>
      <c r="C942" s="2" t="s">
        <v>4837</v>
      </c>
      <c r="D942" s="2" t="s">
        <v>34</v>
      </c>
      <c r="E942" s="2" t="s">
        <v>34</v>
      </c>
    </row>
    <row r="943" spans="1:5" x14ac:dyDescent="0.2">
      <c r="A943" s="2" t="s">
        <v>3796</v>
      </c>
      <c r="B943" s="2" t="s">
        <v>4957</v>
      </c>
      <c r="C943" s="2" t="s">
        <v>4833</v>
      </c>
      <c r="D943" s="2" t="s">
        <v>3793</v>
      </c>
      <c r="E943" s="2" t="s">
        <v>34</v>
      </c>
    </row>
    <row r="944" spans="1:5" x14ac:dyDescent="0.2">
      <c r="A944" s="2" t="s">
        <v>567</v>
      </c>
      <c r="B944" s="2" t="s">
        <v>4957</v>
      </c>
      <c r="C944" s="2" t="s">
        <v>4833</v>
      </c>
      <c r="D944" s="2" t="s">
        <v>561</v>
      </c>
      <c r="E944" s="2" t="s">
        <v>34</v>
      </c>
    </row>
    <row r="945" spans="1:5" x14ac:dyDescent="0.2">
      <c r="A945" s="2" t="s">
        <v>603</v>
      </c>
      <c r="B945" s="2" t="s">
        <v>4957</v>
      </c>
      <c r="C945" s="2" t="s">
        <v>4833</v>
      </c>
      <c r="D945" s="2" t="s">
        <v>599</v>
      </c>
      <c r="E945" s="2" t="s">
        <v>34</v>
      </c>
    </row>
    <row r="946" spans="1:5" x14ac:dyDescent="0.2">
      <c r="A946" s="2" t="s">
        <v>1434</v>
      </c>
      <c r="B946" s="2" t="s">
        <v>4957</v>
      </c>
      <c r="C946" s="2" t="s">
        <v>4833</v>
      </c>
      <c r="D946" s="2" t="s">
        <v>1430</v>
      </c>
      <c r="E946" s="2" t="s">
        <v>34</v>
      </c>
    </row>
    <row r="947" spans="1:5" x14ac:dyDescent="0.2">
      <c r="A947" s="2" t="s">
        <v>587</v>
      </c>
      <c r="B947" s="2" t="s">
        <v>4957</v>
      </c>
      <c r="C947" s="2" t="s">
        <v>4833</v>
      </c>
      <c r="D947" s="2" t="s">
        <v>583</v>
      </c>
      <c r="E947" s="2" t="s">
        <v>34</v>
      </c>
    </row>
    <row r="948" spans="1:5" x14ac:dyDescent="0.2">
      <c r="A948" s="2" t="s">
        <v>4972</v>
      </c>
      <c r="B948" s="2" t="s">
        <v>4957</v>
      </c>
      <c r="C948" s="2" t="s">
        <v>4835</v>
      </c>
      <c r="D948" s="2" t="s">
        <v>34</v>
      </c>
      <c r="E948" s="2" t="s">
        <v>34</v>
      </c>
    </row>
    <row r="949" spans="1:5" x14ac:dyDescent="0.2">
      <c r="A949" s="2" t="s">
        <v>4641</v>
      </c>
      <c r="B949" s="2" t="s">
        <v>4957</v>
      </c>
      <c r="C949" s="2" t="s">
        <v>4833</v>
      </c>
      <c r="D949" s="2" t="s">
        <v>4637</v>
      </c>
      <c r="E949" s="2" t="s">
        <v>34</v>
      </c>
    </row>
    <row r="950" spans="1:5" x14ac:dyDescent="0.2">
      <c r="A950" s="2" t="s">
        <v>2718</v>
      </c>
      <c r="B950" s="2" t="s">
        <v>4957</v>
      </c>
      <c r="C950" s="2" t="s">
        <v>4833</v>
      </c>
      <c r="D950" s="2" t="s">
        <v>2714</v>
      </c>
      <c r="E950" s="2" t="s">
        <v>34</v>
      </c>
    </row>
    <row r="951" spans="1:5" x14ac:dyDescent="0.2">
      <c r="A951" s="2" t="s">
        <v>3411</v>
      </c>
      <c r="B951" s="2" t="s">
        <v>4957</v>
      </c>
      <c r="C951" s="2" t="s">
        <v>4833</v>
      </c>
      <c r="D951" s="2" t="s">
        <v>3408</v>
      </c>
      <c r="E951" s="2" t="s">
        <v>34</v>
      </c>
    </row>
    <row r="952" spans="1:5" x14ac:dyDescent="0.2">
      <c r="A952" s="2" t="s">
        <v>1960</v>
      </c>
      <c r="B952" s="2" t="s">
        <v>4957</v>
      </c>
      <c r="C952" s="2" t="s">
        <v>4833</v>
      </c>
      <c r="D952" s="2" t="s">
        <v>1957</v>
      </c>
      <c r="E952" s="2" t="s">
        <v>34</v>
      </c>
    </row>
    <row r="953" spans="1:5" x14ac:dyDescent="0.2">
      <c r="A953" s="2" t="s">
        <v>3170</v>
      </c>
      <c r="B953" s="2" t="s">
        <v>4957</v>
      </c>
      <c r="C953" s="2" t="s">
        <v>4833</v>
      </c>
      <c r="D953" s="2" t="s">
        <v>3165</v>
      </c>
      <c r="E953" s="2" t="s">
        <v>34</v>
      </c>
    </row>
    <row r="954" spans="1:5" x14ac:dyDescent="0.2">
      <c r="A954" s="2" t="s">
        <v>4973</v>
      </c>
      <c r="B954" s="2" t="s">
        <v>4957</v>
      </c>
      <c r="C954" s="2" t="s">
        <v>4835</v>
      </c>
      <c r="D954" s="2" t="s">
        <v>34</v>
      </c>
      <c r="E954" s="2" t="s">
        <v>34</v>
      </c>
    </row>
    <row r="955" spans="1:5" x14ac:dyDescent="0.2">
      <c r="A955" s="2" t="s">
        <v>2634</v>
      </c>
      <c r="B955" s="2" t="s">
        <v>4957</v>
      </c>
      <c r="C955" s="2" t="s">
        <v>4833</v>
      </c>
      <c r="D955" s="2" t="s">
        <v>2631</v>
      </c>
      <c r="E955" s="2" t="s">
        <v>34</v>
      </c>
    </row>
    <row r="956" spans="1:5" x14ac:dyDescent="0.2">
      <c r="A956" s="2" t="s">
        <v>1582</v>
      </c>
      <c r="B956" s="2" t="s">
        <v>4957</v>
      </c>
      <c r="C956" s="2" t="s">
        <v>4833</v>
      </c>
      <c r="D956" s="2" t="s">
        <v>1577</v>
      </c>
      <c r="E956" s="2" t="s">
        <v>34</v>
      </c>
    </row>
    <row r="957" spans="1:5" x14ac:dyDescent="0.2">
      <c r="A957" s="2" t="s">
        <v>2194</v>
      </c>
      <c r="B957" s="2" t="s">
        <v>4957</v>
      </c>
      <c r="C957" s="2" t="s">
        <v>4833</v>
      </c>
      <c r="D957" s="2" t="s">
        <v>2191</v>
      </c>
      <c r="E957" s="2" t="s">
        <v>34</v>
      </c>
    </row>
    <row r="958" spans="1:5" x14ac:dyDescent="0.2">
      <c r="A958" s="2" t="s">
        <v>4698</v>
      </c>
      <c r="B958" s="2" t="s">
        <v>4957</v>
      </c>
      <c r="C958" s="2" t="s">
        <v>4833</v>
      </c>
      <c r="D958" s="2" t="s">
        <v>4695</v>
      </c>
      <c r="E958" s="2" t="s">
        <v>34</v>
      </c>
    </row>
    <row r="959" spans="1:5" x14ac:dyDescent="0.2">
      <c r="A959" s="2" t="s">
        <v>1277</v>
      </c>
      <c r="B959" s="2" t="s">
        <v>4957</v>
      </c>
      <c r="C959" s="2" t="s">
        <v>4833</v>
      </c>
      <c r="D959" s="2" t="s">
        <v>1272</v>
      </c>
      <c r="E959" s="2" t="s">
        <v>34</v>
      </c>
    </row>
    <row r="960" spans="1:5" x14ac:dyDescent="0.2">
      <c r="A960" s="2" t="s">
        <v>4974</v>
      </c>
      <c r="B960" s="2" t="s">
        <v>4957</v>
      </c>
      <c r="C960" s="2" t="s">
        <v>4835</v>
      </c>
      <c r="D960" s="2" t="s">
        <v>34</v>
      </c>
      <c r="E960" s="2" t="s">
        <v>34</v>
      </c>
    </row>
    <row r="961" spans="1:5" x14ac:dyDescent="0.2">
      <c r="A961" s="2" t="s">
        <v>1526</v>
      </c>
      <c r="B961" s="2" t="s">
        <v>4957</v>
      </c>
      <c r="C961" s="2" t="s">
        <v>4833</v>
      </c>
      <c r="D961" s="2" t="s">
        <v>1522</v>
      </c>
      <c r="E961" s="2" t="s">
        <v>34</v>
      </c>
    </row>
    <row r="962" spans="1:5" x14ac:dyDescent="0.2">
      <c r="A962" s="2" t="s">
        <v>1224</v>
      </c>
      <c r="B962" s="2" t="s">
        <v>4957</v>
      </c>
      <c r="C962" s="2" t="s">
        <v>4833</v>
      </c>
      <c r="D962" s="2" t="s">
        <v>1220</v>
      </c>
      <c r="E962" s="2" t="s">
        <v>34</v>
      </c>
    </row>
    <row r="963" spans="1:5" x14ac:dyDescent="0.2">
      <c r="A963" s="2" t="s">
        <v>4031</v>
      </c>
      <c r="B963" s="2" t="s">
        <v>4957</v>
      </c>
      <c r="C963" s="2" t="s">
        <v>4833</v>
      </c>
      <c r="D963" s="2" t="s">
        <v>4028</v>
      </c>
      <c r="E963" s="2" t="s">
        <v>34</v>
      </c>
    </row>
    <row r="964" spans="1:5" x14ac:dyDescent="0.2">
      <c r="A964" s="2" t="s">
        <v>3851</v>
      </c>
      <c r="B964" s="2" t="s">
        <v>4957</v>
      </c>
      <c r="C964" s="2" t="s">
        <v>4833</v>
      </c>
      <c r="D964" s="2" t="s">
        <v>3847</v>
      </c>
      <c r="E964" s="2" t="s">
        <v>34</v>
      </c>
    </row>
    <row r="965" spans="1:5" x14ac:dyDescent="0.2">
      <c r="A965" s="2" t="s">
        <v>342</v>
      </c>
      <c r="B965" s="2" t="s">
        <v>4957</v>
      </c>
      <c r="C965" s="2" t="s">
        <v>4833</v>
      </c>
      <c r="D965" s="2" t="s">
        <v>337</v>
      </c>
      <c r="E965" s="2" t="s">
        <v>34</v>
      </c>
    </row>
    <row r="966" spans="1:5" x14ac:dyDescent="0.2">
      <c r="A966" s="2" t="s">
        <v>2157</v>
      </c>
      <c r="B966" s="2" t="s">
        <v>4957</v>
      </c>
      <c r="C966" s="2" t="s">
        <v>4833</v>
      </c>
      <c r="D966" s="2" t="s">
        <v>2153</v>
      </c>
      <c r="E966" s="2" t="s">
        <v>34</v>
      </c>
    </row>
    <row r="967" spans="1:5" x14ac:dyDescent="0.2">
      <c r="A967" s="2" t="s">
        <v>3696</v>
      </c>
      <c r="B967" s="2" t="s">
        <v>4957</v>
      </c>
      <c r="C967" s="2" t="s">
        <v>4833</v>
      </c>
      <c r="D967" s="2" t="s">
        <v>3693</v>
      </c>
      <c r="E967" s="2" t="s">
        <v>34</v>
      </c>
    </row>
    <row r="968" spans="1:5" x14ac:dyDescent="0.2">
      <c r="A968" s="2" t="s">
        <v>2885</v>
      </c>
      <c r="B968" s="2" t="s">
        <v>4957</v>
      </c>
      <c r="C968" s="2" t="s">
        <v>4833</v>
      </c>
      <c r="D968" s="2" t="s">
        <v>2881</v>
      </c>
      <c r="E968" s="2" t="s">
        <v>34</v>
      </c>
    </row>
    <row r="969" spans="1:5" x14ac:dyDescent="0.2">
      <c r="A969" s="2" t="s">
        <v>3941</v>
      </c>
      <c r="B969" s="2" t="s">
        <v>4957</v>
      </c>
      <c r="C969" s="2" t="s">
        <v>4833</v>
      </c>
      <c r="D969" s="2" t="s">
        <v>3938</v>
      </c>
      <c r="E969" s="2" t="s">
        <v>34</v>
      </c>
    </row>
    <row r="970" spans="1:5" x14ac:dyDescent="0.2">
      <c r="A970" s="2" t="s">
        <v>4731</v>
      </c>
      <c r="B970" s="2" t="s">
        <v>4957</v>
      </c>
      <c r="C970" s="2" t="s">
        <v>4833</v>
      </c>
      <c r="D970" s="2" t="s">
        <v>4728</v>
      </c>
      <c r="E970" s="2" t="s">
        <v>34</v>
      </c>
    </row>
    <row r="971" spans="1:5" x14ac:dyDescent="0.2">
      <c r="A971" s="2" t="s">
        <v>1348</v>
      </c>
      <c r="B971" s="2" t="s">
        <v>4957</v>
      </c>
      <c r="C971" s="2" t="s">
        <v>4833</v>
      </c>
      <c r="D971" s="2" t="s">
        <v>1344</v>
      </c>
      <c r="E971" s="2" t="s">
        <v>34</v>
      </c>
    </row>
    <row r="972" spans="1:5" x14ac:dyDescent="0.2">
      <c r="A972" s="2" t="s">
        <v>1349</v>
      </c>
      <c r="B972" s="2" t="s">
        <v>4957</v>
      </c>
      <c r="C972" s="2" t="s">
        <v>4833</v>
      </c>
      <c r="D972" s="2" t="s">
        <v>1344</v>
      </c>
      <c r="E972" s="2" t="s">
        <v>34</v>
      </c>
    </row>
    <row r="973" spans="1:5" x14ac:dyDescent="0.2">
      <c r="A973" s="2" t="s">
        <v>154</v>
      </c>
      <c r="B973" s="2" t="s">
        <v>4957</v>
      </c>
      <c r="C973" s="2" t="s">
        <v>4833</v>
      </c>
      <c r="D973" s="2" t="s">
        <v>150</v>
      </c>
      <c r="E973" s="2" t="s">
        <v>34</v>
      </c>
    </row>
    <row r="974" spans="1:5" x14ac:dyDescent="0.2">
      <c r="A974" s="2" t="s">
        <v>1714</v>
      </c>
      <c r="B974" s="2" t="s">
        <v>4957</v>
      </c>
      <c r="C974" s="2" t="s">
        <v>4833</v>
      </c>
      <c r="D974" s="2" t="s">
        <v>1710</v>
      </c>
      <c r="E974" s="2" t="s">
        <v>34</v>
      </c>
    </row>
    <row r="975" spans="1:5" x14ac:dyDescent="0.2">
      <c r="A975" s="2" t="s">
        <v>4975</v>
      </c>
      <c r="B975" s="2" t="s">
        <v>4957</v>
      </c>
      <c r="C975" s="2" t="s">
        <v>4835</v>
      </c>
      <c r="D975" s="2" t="s">
        <v>34</v>
      </c>
      <c r="E975" s="2" t="s">
        <v>34</v>
      </c>
    </row>
    <row r="976" spans="1:5" x14ac:dyDescent="0.2">
      <c r="A976" s="2" t="s">
        <v>476</v>
      </c>
      <c r="B976" s="2" t="s">
        <v>4957</v>
      </c>
      <c r="C976" s="2" t="s">
        <v>4833</v>
      </c>
      <c r="D976" s="2" t="s">
        <v>472</v>
      </c>
      <c r="E976" s="2" t="s">
        <v>34</v>
      </c>
    </row>
    <row r="977" spans="1:5" x14ac:dyDescent="0.2">
      <c r="A977" s="2" t="s">
        <v>43</v>
      </c>
      <c r="B977" s="2" t="s">
        <v>4957</v>
      </c>
      <c r="C977" s="2" t="s">
        <v>4833</v>
      </c>
      <c r="D977" s="2" t="s">
        <v>37</v>
      </c>
      <c r="E977" s="2" t="s">
        <v>34</v>
      </c>
    </row>
    <row r="978" spans="1:5" x14ac:dyDescent="0.2">
      <c r="A978" s="2" t="s">
        <v>4516</v>
      </c>
      <c r="B978" s="2" t="s">
        <v>4957</v>
      </c>
      <c r="C978" s="2" t="s">
        <v>4833</v>
      </c>
      <c r="D978" s="2" t="s">
        <v>4512</v>
      </c>
      <c r="E978" s="2" t="s">
        <v>34</v>
      </c>
    </row>
    <row r="979" spans="1:5" x14ac:dyDescent="0.2">
      <c r="A979" s="2" t="s">
        <v>2496</v>
      </c>
      <c r="B979" s="2" t="s">
        <v>4957</v>
      </c>
      <c r="C979" s="2" t="s">
        <v>4833</v>
      </c>
      <c r="D979" s="2" t="s">
        <v>2493</v>
      </c>
      <c r="E979" s="2" t="s">
        <v>34</v>
      </c>
    </row>
    <row r="980" spans="1:5" x14ac:dyDescent="0.2">
      <c r="A980" s="2" t="s">
        <v>452</v>
      </c>
      <c r="B980" s="2" t="s">
        <v>4957</v>
      </c>
      <c r="C980" s="2" t="s">
        <v>4833</v>
      </c>
      <c r="D980" s="2" t="s">
        <v>448</v>
      </c>
      <c r="E980" s="2" t="s">
        <v>34</v>
      </c>
    </row>
    <row r="981" spans="1:5" x14ac:dyDescent="0.2">
      <c r="A981" s="2" t="s">
        <v>952</v>
      </c>
      <c r="B981" s="2" t="s">
        <v>4957</v>
      </c>
      <c r="C981" s="2" t="s">
        <v>4833</v>
      </c>
      <c r="D981" s="2" t="s">
        <v>948</v>
      </c>
      <c r="E981" s="2" t="s">
        <v>34</v>
      </c>
    </row>
    <row r="982" spans="1:5" x14ac:dyDescent="0.2">
      <c r="A982" s="2" t="s">
        <v>2897</v>
      </c>
      <c r="B982" s="2" t="s">
        <v>4957</v>
      </c>
      <c r="C982" s="2" t="s">
        <v>4833</v>
      </c>
      <c r="D982" s="2" t="s">
        <v>2894</v>
      </c>
      <c r="E982" s="2" t="s">
        <v>34</v>
      </c>
    </row>
    <row r="983" spans="1:5" x14ac:dyDescent="0.2">
      <c r="A983" s="2" t="s">
        <v>3963</v>
      </c>
      <c r="B983" s="2" t="s">
        <v>4957</v>
      </c>
      <c r="C983" s="2" t="s">
        <v>4833</v>
      </c>
      <c r="D983" s="2" t="s">
        <v>3960</v>
      </c>
      <c r="E983" s="2" t="s">
        <v>34</v>
      </c>
    </row>
    <row r="984" spans="1:5" x14ac:dyDescent="0.2">
      <c r="A984" s="2" t="s">
        <v>1144</v>
      </c>
      <c r="B984" s="2" t="s">
        <v>4957</v>
      </c>
      <c r="C984" s="2" t="s">
        <v>4833</v>
      </c>
      <c r="D984" s="2" t="s">
        <v>1139</v>
      </c>
      <c r="E984" s="2" t="s">
        <v>34</v>
      </c>
    </row>
    <row r="985" spans="1:5" x14ac:dyDescent="0.2">
      <c r="A985" s="2" t="s">
        <v>514</v>
      </c>
      <c r="B985" s="2" t="s">
        <v>4957</v>
      </c>
      <c r="C985" s="2" t="s">
        <v>4833</v>
      </c>
      <c r="D985" s="2" t="s">
        <v>510</v>
      </c>
      <c r="E985" s="2" t="s">
        <v>34</v>
      </c>
    </row>
    <row r="986" spans="1:5" x14ac:dyDescent="0.2">
      <c r="A986" s="2" t="s">
        <v>1743</v>
      </c>
      <c r="B986" s="2" t="s">
        <v>4957</v>
      </c>
      <c r="C986" s="2" t="s">
        <v>4833</v>
      </c>
      <c r="D986" s="2" t="s">
        <v>1739</v>
      </c>
      <c r="E986" s="2" t="s">
        <v>34</v>
      </c>
    </row>
    <row r="987" spans="1:5" x14ac:dyDescent="0.2">
      <c r="A987" s="2" t="s">
        <v>4600</v>
      </c>
      <c r="B987" s="2" t="s">
        <v>4957</v>
      </c>
      <c r="C987" s="2" t="s">
        <v>4833</v>
      </c>
      <c r="D987" s="2" t="s">
        <v>4597</v>
      </c>
      <c r="E987" s="2" t="s">
        <v>34</v>
      </c>
    </row>
    <row r="988" spans="1:5" x14ac:dyDescent="0.2">
      <c r="A988" s="2" t="s">
        <v>1484</v>
      </c>
      <c r="B988" s="2" t="s">
        <v>4957</v>
      </c>
      <c r="C988" s="2" t="s">
        <v>4833</v>
      </c>
      <c r="D988" s="2" t="s">
        <v>1479</v>
      </c>
      <c r="E988" s="2" t="s">
        <v>34</v>
      </c>
    </row>
    <row r="989" spans="1:5" x14ac:dyDescent="0.2">
      <c r="A989" s="2" t="s">
        <v>3112</v>
      </c>
      <c r="B989" s="2" t="s">
        <v>4957</v>
      </c>
      <c r="C989" s="2" t="s">
        <v>4833</v>
      </c>
      <c r="D989" s="2" t="s">
        <v>3108</v>
      </c>
      <c r="E989" s="2" t="s">
        <v>34</v>
      </c>
    </row>
    <row r="990" spans="1:5" x14ac:dyDescent="0.2">
      <c r="A990" s="2" t="s">
        <v>3541</v>
      </c>
      <c r="B990" s="2" t="s">
        <v>4957</v>
      </c>
      <c r="C990" s="2" t="s">
        <v>4833</v>
      </c>
      <c r="D990" s="2" t="s">
        <v>3538</v>
      </c>
      <c r="E990" s="2" t="s">
        <v>34</v>
      </c>
    </row>
    <row r="991" spans="1:5" x14ac:dyDescent="0.2">
      <c r="A991" s="2" t="s">
        <v>686</v>
      </c>
      <c r="B991" s="2" t="s">
        <v>4957</v>
      </c>
      <c r="C991" s="2" t="s">
        <v>4833</v>
      </c>
      <c r="D991" s="2" t="s">
        <v>682</v>
      </c>
      <c r="E991" s="2" t="s">
        <v>34</v>
      </c>
    </row>
    <row r="992" spans="1:5" x14ac:dyDescent="0.2">
      <c r="A992" s="2" t="s">
        <v>4065</v>
      </c>
      <c r="B992" s="2" t="s">
        <v>4957</v>
      </c>
      <c r="C992" s="2" t="s">
        <v>4833</v>
      </c>
      <c r="D992" s="2" t="s">
        <v>4059</v>
      </c>
      <c r="E992" s="2" t="s">
        <v>34</v>
      </c>
    </row>
    <row r="993" spans="1:5" x14ac:dyDescent="0.2">
      <c r="A993" s="2" t="s">
        <v>2144</v>
      </c>
      <c r="B993" s="2" t="s">
        <v>4957</v>
      </c>
      <c r="C993" s="2" t="s">
        <v>4833</v>
      </c>
      <c r="D993" s="2" t="s">
        <v>2140</v>
      </c>
      <c r="E993" s="2" t="s">
        <v>34</v>
      </c>
    </row>
    <row r="994" spans="1:5" x14ac:dyDescent="0.2">
      <c r="A994" s="2" t="s">
        <v>2680</v>
      </c>
      <c r="B994" s="2" t="s">
        <v>4957</v>
      </c>
      <c r="C994" s="2" t="s">
        <v>4833</v>
      </c>
      <c r="D994" s="2" t="s">
        <v>2675</v>
      </c>
      <c r="E994" s="2" t="s">
        <v>34</v>
      </c>
    </row>
    <row r="995" spans="1:5" x14ac:dyDescent="0.2">
      <c r="A995" s="2" t="s">
        <v>1719</v>
      </c>
      <c r="B995" s="2" t="s">
        <v>4957</v>
      </c>
      <c r="C995" s="2" t="s">
        <v>4833</v>
      </c>
      <c r="D995" s="2" t="s">
        <v>1716</v>
      </c>
      <c r="E995" s="2" t="s">
        <v>34</v>
      </c>
    </row>
    <row r="996" spans="1:5" x14ac:dyDescent="0.2">
      <c r="A996" s="2" t="s">
        <v>4757</v>
      </c>
      <c r="B996" s="2" t="s">
        <v>4957</v>
      </c>
      <c r="C996" s="2" t="s">
        <v>4833</v>
      </c>
      <c r="D996" s="2" t="s">
        <v>4753</v>
      </c>
      <c r="E996" s="2" t="s">
        <v>34</v>
      </c>
    </row>
    <row r="997" spans="1:5" x14ac:dyDescent="0.2">
      <c r="A997" s="2" t="s">
        <v>4976</v>
      </c>
      <c r="B997" s="2" t="s">
        <v>4957</v>
      </c>
      <c r="C997" s="2" t="s">
        <v>4835</v>
      </c>
      <c r="D997" s="2" t="s">
        <v>34</v>
      </c>
      <c r="E997" s="2" t="s">
        <v>34</v>
      </c>
    </row>
    <row r="998" spans="1:5" x14ac:dyDescent="0.2">
      <c r="A998" s="2" t="s">
        <v>4550</v>
      </c>
      <c r="B998" s="2" t="s">
        <v>4957</v>
      </c>
      <c r="C998" s="2" t="s">
        <v>4833</v>
      </c>
      <c r="D998" s="2" t="s">
        <v>4545</v>
      </c>
      <c r="E998" s="2" t="s">
        <v>34</v>
      </c>
    </row>
    <row r="999" spans="1:5" x14ac:dyDescent="0.2">
      <c r="A999" s="2" t="s">
        <v>4058</v>
      </c>
      <c r="B999" s="2" t="s">
        <v>4957</v>
      </c>
      <c r="C999" s="2" t="s">
        <v>4833</v>
      </c>
      <c r="D999" s="2" t="s">
        <v>4053</v>
      </c>
      <c r="E999" s="2" t="s">
        <v>34</v>
      </c>
    </row>
    <row r="1000" spans="1:5" x14ac:dyDescent="0.2">
      <c r="A1000" s="2" t="s">
        <v>1693</v>
      </c>
      <c r="B1000" s="2" t="s">
        <v>4957</v>
      </c>
      <c r="C1000" s="2" t="s">
        <v>4833</v>
      </c>
      <c r="D1000" s="2" t="s">
        <v>1689</v>
      </c>
      <c r="E1000" s="2" t="s">
        <v>34</v>
      </c>
    </row>
    <row r="1001" spans="1:5" x14ac:dyDescent="0.2">
      <c r="A1001" s="2" t="s">
        <v>1449</v>
      </c>
      <c r="B1001" s="2" t="s">
        <v>4957</v>
      </c>
      <c r="C1001" s="2" t="s">
        <v>4833</v>
      </c>
      <c r="D1001" s="2" t="s">
        <v>1445</v>
      </c>
      <c r="E1001" s="2" t="s">
        <v>34</v>
      </c>
    </row>
    <row r="1002" spans="1:5" x14ac:dyDescent="0.2">
      <c r="A1002" s="2" t="s">
        <v>4977</v>
      </c>
      <c r="B1002" s="2" t="s">
        <v>4957</v>
      </c>
      <c r="C1002" s="2" t="s">
        <v>4837</v>
      </c>
      <c r="D1002" s="2" t="s">
        <v>34</v>
      </c>
      <c r="E1002" s="2" t="s">
        <v>34</v>
      </c>
    </row>
    <row r="1003" spans="1:5" x14ac:dyDescent="0.2">
      <c r="A1003" s="2" t="s">
        <v>1549</v>
      </c>
      <c r="B1003" s="2" t="s">
        <v>4957</v>
      </c>
      <c r="C1003" s="2" t="s">
        <v>4833</v>
      </c>
      <c r="D1003" s="2" t="s">
        <v>1545</v>
      </c>
      <c r="E1003" s="2" t="s">
        <v>34</v>
      </c>
    </row>
    <row r="1004" spans="1:5" x14ac:dyDescent="0.2">
      <c r="A1004" s="2" t="s">
        <v>783</v>
      </c>
      <c r="B1004" s="2" t="s">
        <v>4957</v>
      </c>
      <c r="C1004" s="2" t="s">
        <v>4833</v>
      </c>
      <c r="D1004" s="2" t="s">
        <v>778</v>
      </c>
      <c r="E1004" s="2" t="s">
        <v>34</v>
      </c>
    </row>
    <row r="1005" spans="1:5" x14ac:dyDescent="0.2">
      <c r="A1005" s="2" t="s">
        <v>1391</v>
      </c>
      <c r="B1005" s="2" t="s">
        <v>4957</v>
      </c>
      <c r="C1005" s="2" t="s">
        <v>4833</v>
      </c>
      <c r="D1005" s="2" t="s">
        <v>1386</v>
      </c>
      <c r="E1005" s="2" t="s">
        <v>34</v>
      </c>
    </row>
    <row r="1006" spans="1:5" x14ac:dyDescent="0.2">
      <c r="A1006" s="2" t="s">
        <v>1494</v>
      </c>
      <c r="B1006" s="2" t="s">
        <v>4957</v>
      </c>
      <c r="C1006" s="2" t="s">
        <v>4833</v>
      </c>
      <c r="D1006" s="2" t="s">
        <v>1490</v>
      </c>
      <c r="E1006" s="2" t="s">
        <v>34</v>
      </c>
    </row>
    <row r="1007" spans="1:5" x14ac:dyDescent="0.2">
      <c r="A1007" s="2" t="s">
        <v>2916</v>
      </c>
      <c r="B1007" s="2" t="s">
        <v>4957</v>
      </c>
      <c r="C1007" s="2" t="s">
        <v>4833</v>
      </c>
      <c r="D1007" s="2" t="s">
        <v>2912</v>
      </c>
      <c r="E1007" s="2" t="s">
        <v>34</v>
      </c>
    </row>
    <row r="1008" spans="1:5" x14ac:dyDescent="0.2">
      <c r="A1008" s="2" t="s">
        <v>1013</v>
      </c>
      <c r="B1008" s="2" t="s">
        <v>4957</v>
      </c>
      <c r="C1008" s="2" t="s">
        <v>4833</v>
      </c>
      <c r="D1008" s="2" t="s">
        <v>1009</v>
      </c>
      <c r="E1008" s="2" t="s">
        <v>34</v>
      </c>
    </row>
    <row r="1009" spans="1:5" x14ac:dyDescent="0.2">
      <c r="A1009" s="2" t="s">
        <v>1677</v>
      </c>
      <c r="B1009" s="2" t="s">
        <v>4957</v>
      </c>
      <c r="C1009" s="2" t="s">
        <v>4833</v>
      </c>
      <c r="D1009" s="2" t="s">
        <v>1673</v>
      </c>
      <c r="E1009" s="2" t="s">
        <v>34</v>
      </c>
    </row>
    <row r="1010" spans="1:5" x14ac:dyDescent="0.2">
      <c r="A1010" s="2" t="s">
        <v>2234</v>
      </c>
      <c r="B1010" s="2" t="s">
        <v>4957</v>
      </c>
      <c r="C1010" s="2" t="s">
        <v>4833</v>
      </c>
      <c r="D1010" s="2" t="s">
        <v>2229</v>
      </c>
      <c r="E1010" s="2" t="s">
        <v>34</v>
      </c>
    </row>
    <row r="1011" spans="1:5" x14ac:dyDescent="0.2">
      <c r="A1011" s="2" t="s">
        <v>2969</v>
      </c>
      <c r="B1011" s="2" t="s">
        <v>4957</v>
      </c>
      <c r="C1011" s="2" t="s">
        <v>4833</v>
      </c>
      <c r="D1011" s="2" t="s">
        <v>2966</v>
      </c>
      <c r="E1011" s="2" t="s">
        <v>34</v>
      </c>
    </row>
    <row r="1012" spans="1:5" x14ac:dyDescent="0.2">
      <c r="A1012" s="2" t="s">
        <v>4978</v>
      </c>
      <c r="B1012" s="2" t="s">
        <v>4957</v>
      </c>
      <c r="C1012" s="2" t="s">
        <v>4835</v>
      </c>
      <c r="D1012" s="2" t="s">
        <v>34</v>
      </c>
      <c r="E1012" s="2" t="s">
        <v>34</v>
      </c>
    </row>
    <row r="1013" spans="1:5" x14ac:dyDescent="0.2">
      <c r="A1013" s="2" t="s">
        <v>3237</v>
      </c>
      <c r="B1013" s="2" t="s">
        <v>4957</v>
      </c>
      <c r="C1013" s="2" t="s">
        <v>4833</v>
      </c>
      <c r="D1013" s="2" t="s">
        <v>3234</v>
      </c>
      <c r="E1013" s="2" t="s">
        <v>34</v>
      </c>
    </row>
    <row r="1014" spans="1:5" x14ac:dyDescent="0.2">
      <c r="A1014" s="2" t="s">
        <v>3027</v>
      </c>
      <c r="B1014" s="2" t="s">
        <v>4957</v>
      </c>
      <c r="C1014" s="2" t="s">
        <v>4833</v>
      </c>
      <c r="D1014" s="2" t="s">
        <v>3021</v>
      </c>
      <c r="E1014" s="2" t="s">
        <v>34</v>
      </c>
    </row>
    <row r="1015" spans="1:5" x14ac:dyDescent="0.2">
      <c r="A1015" s="2" t="s">
        <v>4979</v>
      </c>
      <c r="B1015" s="2" t="s">
        <v>4957</v>
      </c>
      <c r="C1015" s="2" t="s">
        <v>4835</v>
      </c>
      <c r="D1015" s="2" t="s">
        <v>34</v>
      </c>
      <c r="E1015" s="2" t="s">
        <v>34</v>
      </c>
    </row>
    <row r="1016" spans="1:5" x14ac:dyDescent="0.2">
      <c r="A1016" s="2" t="s">
        <v>1168</v>
      </c>
      <c r="B1016" s="2" t="s">
        <v>4957</v>
      </c>
      <c r="C1016" s="2" t="s">
        <v>4833</v>
      </c>
      <c r="D1016" s="2" t="s">
        <v>1164</v>
      </c>
      <c r="E1016" s="2" t="s">
        <v>34</v>
      </c>
    </row>
    <row r="1017" spans="1:5" x14ac:dyDescent="0.2">
      <c r="A1017" s="2" t="s">
        <v>2982</v>
      </c>
      <c r="B1017" s="2" t="s">
        <v>4957</v>
      </c>
      <c r="C1017" s="2" t="s">
        <v>4833</v>
      </c>
      <c r="D1017" s="2" t="s">
        <v>2977</v>
      </c>
      <c r="E1017" s="2" t="s">
        <v>34</v>
      </c>
    </row>
    <row r="1018" spans="1:5" x14ac:dyDescent="0.2">
      <c r="A1018" s="2" t="s">
        <v>2552</v>
      </c>
      <c r="B1018" s="2" t="s">
        <v>4957</v>
      </c>
      <c r="C1018" s="2" t="s">
        <v>4833</v>
      </c>
      <c r="D1018" s="2" t="s">
        <v>2548</v>
      </c>
      <c r="E1018" s="2" t="s">
        <v>34</v>
      </c>
    </row>
    <row r="1019" spans="1:5" x14ac:dyDescent="0.2">
      <c r="A1019" s="2" t="s">
        <v>4007</v>
      </c>
      <c r="B1019" s="2" t="s">
        <v>4957</v>
      </c>
      <c r="C1019" s="2" t="s">
        <v>4833</v>
      </c>
      <c r="D1019" s="2" t="s">
        <v>4003</v>
      </c>
      <c r="E1019" s="2" t="s">
        <v>34</v>
      </c>
    </row>
    <row r="1020" spans="1:5" x14ac:dyDescent="0.2">
      <c r="A1020" s="2" t="s">
        <v>2174</v>
      </c>
      <c r="B1020" s="2" t="s">
        <v>4957</v>
      </c>
      <c r="C1020" s="2" t="s">
        <v>4833</v>
      </c>
      <c r="D1020" s="2" t="s">
        <v>2171</v>
      </c>
      <c r="E1020" s="2" t="s">
        <v>34</v>
      </c>
    </row>
    <row r="1021" spans="1:5" x14ac:dyDescent="0.2">
      <c r="A1021" s="2" t="s">
        <v>1891</v>
      </c>
      <c r="B1021" s="2" t="s">
        <v>4957</v>
      </c>
      <c r="C1021" s="2" t="s">
        <v>4833</v>
      </c>
      <c r="D1021" s="2" t="s">
        <v>1888</v>
      </c>
      <c r="E1021" s="2" t="s">
        <v>34</v>
      </c>
    </row>
    <row r="1022" spans="1:5" x14ac:dyDescent="0.2">
      <c r="A1022" s="2" t="s">
        <v>2864</v>
      </c>
      <c r="B1022" s="2" t="s">
        <v>4957</v>
      </c>
      <c r="C1022" s="2" t="s">
        <v>4833</v>
      </c>
      <c r="D1022" s="2" t="s">
        <v>2861</v>
      </c>
      <c r="E1022" s="2" t="s">
        <v>34</v>
      </c>
    </row>
    <row r="1023" spans="1:5" x14ac:dyDescent="0.2">
      <c r="A1023" s="2" t="s">
        <v>1914</v>
      </c>
      <c r="B1023" s="2" t="s">
        <v>4957</v>
      </c>
      <c r="C1023" s="2" t="s">
        <v>4833</v>
      </c>
      <c r="D1023" s="2" t="s">
        <v>1908</v>
      </c>
      <c r="E1023" s="2" t="s">
        <v>34</v>
      </c>
    </row>
    <row r="1024" spans="1:5" x14ac:dyDescent="0.2">
      <c r="A1024" s="2" t="s">
        <v>4980</v>
      </c>
      <c r="B1024" s="2" t="s">
        <v>4957</v>
      </c>
      <c r="C1024" s="2" t="s">
        <v>4835</v>
      </c>
      <c r="D1024" s="2" t="s">
        <v>34</v>
      </c>
      <c r="E1024" s="2" t="s">
        <v>34</v>
      </c>
    </row>
    <row r="1025" spans="1:5" x14ac:dyDescent="0.2">
      <c r="A1025" s="2" t="s">
        <v>96</v>
      </c>
      <c r="B1025" s="2" t="s">
        <v>4957</v>
      </c>
      <c r="C1025" s="2" t="s">
        <v>4833</v>
      </c>
      <c r="D1025" s="2" t="s">
        <v>92</v>
      </c>
      <c r="E1025" s="2" t="s">
        <v>34</v>
      </c>
    </row>
    <row r="1026" spans="1:5" x14ac:dyDescent="0.2">
      <c r="A1026" s="2" t="s">
        <v>3084</v>
      </c>
      <c r="B1026" s="2" t="s">
        <v>4957</v>
      </c>
      <c r="C1026" s="2" t="s">
        <v>4833</v>
      </c>
      <c r="D1026" s="2" t="s">
        <v>3080</v>
      </c>
      <c r="E1026" s="2" t="s">
        <v>34</v>
      </c>
    </row>
    <row r="1027" spans="1:5" x14ac:dyDescent="0.2">
      <c r="A1027" s="2" t="s">
        <v>4981</v>
      </c>
      <c r="B1027" s="2" t="s">
        <v>4957</v>
      </c>
      <c r="C1027" s="2" t="s">
        <v>4835</v>
      </c>
      <c r="D1027" s="2" t="s">
        <v>34</v>
      </c>
      <c r="E1027" s="2" t="s">
        <v>34</v>
      </c>
    </row>
    <row r="1028" spans="1:5" x14ac:dyDescent="0.2">
      <c r="A1028" s="2" t="s">
        <v>2517</v>
      </c>
      <c r="B1028" s="2" t="s">
        <v>4957</v>
      </c>
      <c r="C1028" s="2" t="s">
        <v>4833</v>
      </c>
      <c r="D1028" s="2" t="s">
        <v>2513</v>
      </c>
      <c r="E1028" s="2" t="s">
        <v>34</v>
      </c>
    </row>
    <row r="1029" spans="1:5" x14ac:dyDescent="0.2">
      <c r="A1029" s="2" t="s">
        <v>3874</v>
      </c>
      <c r="B1029" s="2" t="s">
        <v>4957</v>
      </c>
      <c r="C1029" s="2" t="s">
        <v>4833</v>
      </c>
      <c r="D1029" s="2" t="s">
        <v>3870</v>
      </c>
      <c r="E1029" s="2" t="s">
        <v>34</v>
      </c>
    </row>
    <row r="1030" spans="1:5" x14ac:dyDescent="0.2">
      <c r="A1030" s="2" t="s">
        <v>1265</v>
      </c>
      <c r="B1030" s="2" t="s">
        <v>4957</v>
      </c>
      <c r="C1030" s="2" t="s">
        <v>4833</v>
      </c>
      <c r="D1030" s="2" t="s">
        <v>1262</v>
      </c>
      <c r="E1030" s="2" t="s">
        <v>34</v>
      </c>
    </row>
    <row r="1031" spans="1:5" x14ac:dyDescent="0.2">
      <c r="A1031" s="2" t="s">
        <v>4511</v>
      </c>
      <c r="B1031" s="2" t="s">
        <v>4957</v>
      </c>
      <c r="C1031" s="2" t="s">
        <v>4833</v>
      </c>
      <c r="D1031" s="2" t="s">
        <v>4506</v>
      </c>
      <c r="E1031" s="2" t="s">
        <v>34</v>
      </c>
    </row>
    <row r="1032" spans="1:5" x14ac:dyDescent="0.2">
      <c r="A1032" s="2" t="s">
        <v>871</v>
      </c>
      <c r="B1032" s="2" t="s">
        <v>4957</v>
      </c>
      <c r="C1032" s="2" t="s">
        <v>4833</v>
      </c>
      <c r="D1032" s="2" t="s">
        <v>866</v>
      </c>
      <c r="E1032" s="2" t="s">
        <v>34</v>
      </c>
    </row>
    <row r="1033" spans="1:5" x14ac:dyDescent="0.2">
      <c r="A1033" s="2" t="s">
        <v>501</v>
      </c>
      <c r="B1033" s="2" t="s">
        <v>4957</v>
      </c>
      <c r="C1033" s="2" t="s">
        <v>4833</v>
      </c>
      <c r="D1033" s="2" t="s">
        <v>497</v>
      </c>
      <c r="E1033" s="2" t="s">
        <v>34</v>
      </c>
    </row>
    <row r="1034" spans="1:5" x14ac:dyDescent="0.2">
      <c r="A1034" s="2" t="s">
        <v>2640</v>
      </c>
      <c r="B1034" s="2" t="s">
        <v>4957</v>
      </c>
      <c r="C1034" s="2" t="s">
        <v>4833</v>
      </c>
      <c r="D1034" s="2" t="s">
        <v>2637</v>
      </c>
      <c r="E1034" s="2" t="s">
        <v>34</v>
      </c>
    </row>
    <row r="1035" spans="1:5" x14ac:dyDescent="0.2">
      <c r="A1035" s="2" t="s">
        <v>3692</v>
      </c>
      <c r="B1035" s="2" t="s">
        <v>4957</v>
      </c>
      <c r="C1035" s="2" t="s">
        <v>4833</v>
      </c>
      <c r="D1035" s="2" t="s">
        <v>3689</v>
      </c>
      <c r="E1035" s="2" t="s">
        <v>34</v>
      </c>
    </row>
    <row r="1036" spans="1:5" x14ac:dyDescent="0.2">
      <c r="A1036" s="2" t="s">
        <v>4982</v>
      </c>
      <c r="B1036" s="2" t="s">
        <v>4957</v>
      </c>
      <c r="C1036" s="2" t="s">
        <v>4837</v>
      </c>
      <c r="D1036" s="2" t="s">
        <v>34</v>
      </c>
      <c r="E1036" s="2" t="s">
        <v>34</v>
      </c>
    </row>
    <row r="1037" spans="1:5" x14ac:dyDescent="0.2">
      <c r="A1037" s="2" t="s">
        <v>4315</v>
      </c>
      <c r="B1037" s="2" t="s">
        <v>4957</v>
      </c>
      <c r="C1037" s="2" t="s">
        <v>4833</v>
      </c>
      <c r="D1037" s="2" t="s">
        <v>4311</v>
      </c>
      <c r="E1037" s="2" t="s">
        <v>34</v>
      </c>
    </row>
    <row r="1038" spans="1:5" x14ac:dyDescent="0.2">
      <c r="A1038" s="2" t="s">
        <v>4400</v>
      </c>
      <c r="B1038" s="2" t="s">
        <v>4957</v>
      </c>
      <c r="C1038" s="2" t="s">
        <v>4833</v>
      </c>
      <c r="D1038" s="2" t="s">
        <v>4397</v>
      </c>
      <c r="E1038" s="2" t="s">
        <v>34</v>
      </c>
    </row>
    <row r="1039" spans="1:5" x14ac:dyDescent="0.2">
      <c r="A1039" s="2" t="s">
        <v>1758</v>
      </c>
      <c r="B1039" s="2" t="s">
        <v>4957</v>
      </c>
      <c r="C1039" s="2" t="s">
        <v>4833</v>
      </c>
      <c r="D1039" s="2" t="s">
        <v>1753</v>
      </c>
      <c r="E1039" s="2" t="s">
        <v>34</v>
      </c>
    </row>
    <row r="1040" spans="1:5" x14ac:dyDescent="0.2">
      <c r="A1040" s="2" t="s">
        <v>2063</v>
      </c>
      <c r="B1040" s="2" t="s">
        <v>4957</v>
      </c>
      <c r="C1040" s="2" t="s">
        <v>4833</v>
      </c>
      <c r="D1040" s="2" t="s">
        <v>2059</v>
      </c>
      <c r="E1040" s="2" t="s">
        <v>34</v>
      </c>
    </row>
    <row r="1041" spans="1:5" x14ac:dyDescent="0.2">
      <c r="A1041" s="2" t="s">
        <v>4983</v>
      </c>
      <c r="B1041" s="2" t="s">
        <v>4957</v>
      </c>
      <c r="C1041" s="2" t="s">
        <v>4837</v>
      </c>
      <c r="D1041" s="2" t="s">
        <v>34</v>
      </c>
      <c r="E1041" s="2" t="s">
        <v>34</v>
      </c>
    </row>
    <row r="1042" spans="1:5" x14ac:dyDescent="0.2">
      <c r="A1042" s="2" t="s">
        <v>4496</v>
      </c>
      <c r="B1042" s="2" t="s">
        <v>4957</v>
      </c>
      <c r="C1042" s="2" t="s">
        <v>4833</v>
      </c>
      <c r="D1042" s="2" t="s">
        <v>4493</v>
      </c>
      <c r="E1042" s="2" t="s">
        <v>34</v>
      </c>
    </row>
    <row r="1043" spans="1:5" x14ac:dyDescent="0.2">
      <c r="A1043" s="2" t="s">
        <v>1581</v>
      </c>
      <c r="B1043" s="2" t="s">
        <v>4957</v>
      </c>
      <c r="C1043" s="2" t="s">
        <v>4833</v>
      </c>
      <c r="D1043" s="2" t="s">
        <v>1577</v>
      </c>
      <c r="E1043" s="2" t="s">
        <v>34</v>
      </c>
    </row>
    <row r="1044" spans="1:5" x14ac:dyDescent="0.2">
      <c r="A1044" s="2" t="s">
        <v>3981</v>
      </c>
      <c r="B1044" s="2" t="s">
        <v>4957</v>
      </c>
      <c r="C1044" s="2" t="s">
        <v>4833</v>
      </c>
      <c r="D1044" s="2" t="s">
        <v>3978</v>
      </c>
      <c r="E1044" s="2" t="s">
        <v>34</v>
      </c>
    </row>
    <row r="1045" spans="1:5" x14ac:dyDescent="0.2">
      <c r="A1045" s="2" t="s">
        <v>4984</v>
      </c>
      <c r="B1045" s="2" t="s">
        <v>4957</v>
      </c>
      <c r="C1045" s="2" t="s">
        <v>4835</v>
      </c>
      <c r="D1045" s="2" t="s">
        <v>34</v>
      </c>
      <c r="E1045" s="2" t="s">
        <v>34</v>
      </c>
    </row>
    <row r="1046" spans="1:5" x14ac:dyDescent="0.2">
      <c r="A1046" s="2" t="s">
        <v>3048</v>
      </c>
      <c r="B1046" s="2" t="s">
        <v>4957</v>
      </c>
      <c r="C1046" s="2" t="s">
        <v>4833</v>
      </c>
      <c r="D1046" s="2" t="s">
        <v>3045</v>
      </c>
      <c r="E1046" s="2" t="s">
        <v>34</v>
      </c>
    </row>
    <row r="1047" spans="1:5" x14ac:dyDescent="0.2">
      <c r="A1047" s="2" t="s">
        <v>446</v>
      </c>
      <c r="B1047" s="2" t="s">
        <v>4957</v>
      </c>
      <c r="C1047" s="2" t="s">
        <v>4833</v>
      </c>
      <c r="D1047" s="2" t="s">
        <v>442</v>
      </c>
      <c r="E1047" s="2" t="s">
        <v>34</v>
      </c>
    </row>
    <row r="1048" spans="1:5" x14ac:dyDescent="0.2">
      <c r="A1048" s="2" t="s">
        <v>3294</v>
      </c>
      <c r="B1048" s="2" t="s">
        <v>4957</v>
      </c>
      <c r="C1048" s="2" t="s">
        <v>4833</v>
      </c>
      <c r="D1048" s="2" t="s">
        <v>3289</v>
      </c>
      <c r="E1048" s="2" t="s">
        <v>34</v>
      </c>
    </row>
    <row r="1049" spans="1:5" x14ac:dyDescent="0.2">
      <c r="A1049" s="2" t="s">
        <v>2428</v>
      </c>
      <c r="B1049" s="2" t="s">
        <v>4957</v>
      </c>
      <c r="C1049" s="2" t="s">
        <v>4833</v>
      </c>
      <c r="D1049" s="2" t="s">
        <v>2424</v>
      </c>
      <c r="E1049" s="2" t="s">
        <v>34</v>
      </c>
    </row>
    <row r="1050" spans="1:5" x14ac:dyDescent="0.2">
      <c r="A1050" s="2" t="s">
        <v>2338</v>
      </c>
      <c r="B1050" s="2" t="s">
        <v>4957</v>
      </c>
      <c r="C1050" s="2" t="s">
        <v>4833</v>
      </c>
      <c r="D1050" s="2" t="s">
        <v>2335</v>
      </c>
      <c r="E1050" s="2" t="s">
        <v>34</v>
      </c>
    </row>
    <row r="1051" spans="1:5" x14ac:dyDescent="0.2">
      <c r="A1051" s="2" t="s">
        <v>1261</v>
      </c>
      <c r="B1051" s="2" t="s">
        <v>4957</v>
      </c>
      <c r="C1051" s="2" t="s">
        <v>4833</v>
      </c>
      <c r="D1051" s="2" t="s">
        <v>1256</v>
      </c>
      <c r="E1051" s="2" t="s">
        <v>34</v>
      </c>
    </row>
    <row r="1052" spans="1:5" x14ac:dyDescent="0.2">
      <c r="A1052" s="2" t="s">
        <v>3180</v>
      </c>
      <c r="B1052" s="2" t="s">
        <v>4957</v>
      </c>
      <c r="C1052" s="2" t="s">
        <v>4833</v>
      </c>
      <c r="D1052" s="2" t="s">
        <v>3176</v>
      </c>
      <c r="E1052" s="2" t="s">
        <v>34</v>
      </c>
    </row>
    <row r="1053" spans="1:5" x14ac:dyDescent="0.2">
      <c r="A1053" s="2" t="s">
        <v>3275</v>
      </c>
      <c r="B1053" s="2" t="s">
        <v>4957</v>
      </c>
      <c r="C1053" s="2" t="s">
        <v>4833</v>
      </c>
      <c r="D1053" s="2" t="s">
        <v>3271</v>
      </c>
      <c r="E1053" s="2" t="s">
        <v>34</v>
      </c>
    </row>
    <row r="1054" spans="1:5" x14ac:dyDescent="0.2">
      <c r="A1054" s="2" t="s">
        <v>4766</v>
      </c>
      <c r="B1054" s="2" t="s">
        <v>4957</v>
      </c>
      <c r="C1054" s="2" t="s">
        <v>4833</v>
      </c>
      <c r="D1054" s="2" t="s">
        <v>4763</v>
      </c>
      <c r="E1054" s="2" t="s">
        <v>34</v>
      </c>
    </row>
    <row r="1055" spans="1:5" x14ac:dyDescent="0.2">
      <c r="A1055" s="2" t="s">
        <v>2981</v>
      </c>
      <c r="B1055" s="2" t="s">
        <v>4957</v>
      </c>
      <c r="C1055" s="2" t="s">
        <v>4833</v>
      </c>
      <c r="D1055" s="2" t="s">
        <v>2977</v>
      </c>
      <c r="E1055" s="2" t="s">
        <v>34</v>
      </c>
    </row>
    <row r="1056" spans="1:5" x14ac:dyDescent="0.2">
      <c r="A1056" s="2" t="s">
        <v>1025</v>
      </c>
      <c r="B1056" s="2" t="s">
        <v>4957</v>
      </c>
      <c r="C1056" s="2" t="s">
        <v>4833</v>
      </c>
      <c r="D1056" s="2" t="s">
        <v>1020</v>
      </c>
      <c r="E1056" s="2" t="s">
        <v>34</v>
      </c>
    </row>
    <row r="1057" spans="1:5" x14ac:dyDescent="0.2">
      <c r="A1057" s="2" t="s">
        <v>2143</v>
      </c>
      <c r="B1057" s="2" t="s">
        <v>4957</v>
      </c>
      <c r="C1057" s="2" t="s">
        <v>4833</v>
      </c>
      <c r="D1057" s="2" t="s">
        <v>2140</v>
      </c>
      <c r="E1057" s="2" t="s">
        <v>34</v>
      </c>
    </row>
    <row r="1058" spans="1:5" x14ac:dyDescent="0.2">
      <c r="A1058" s="2" t="s">
        <v>2695</v>
      </c>
      <c r="B1058" s="2" t="s">
        <v>4957</v>
      </c>
      <c r="C1058" s="2" t="s">
        <v>4833</v>
      </c>
      <c r="D1058" s="2" t="s">
        <v>2692</v>
      </c>
      <c r="E1058" s="2" t="s">
        <v>34</v>
      </c>
    </row>
    <row r="1059" spans="1:5" x14ac:dyDescent="0.2">
      <c r="A1059" s="2" t="s">
        <v>902</v>
      </c>
      <c r="B1059" s="2" t="s">
        <v>4957</v>
      </c>
      <c r="C1059" s="2" t="s">
        <v>4833</v>
      </c>
      <c r="D1059" s="2" t="s">
        <v>898</v>
      </c>
      <c r="E1059" s="2" t="s">
        <v>34</v>
      </c>
    </row>
    <row r="1060" spans="1:5" x14ac:dyDescent="0.2">
      <c r="A1060" s="2" t="s">
        <v>4020</v>
      </c>
      <c r="B1060" s="2" t="s">
        <v>4957</v>
      </c>
      <c r="C1060" s="2" t="s">
        <v>4833</v>
      </c>
      <c r="D1060" s="2" t="s">
        <v>4017</v>
      </c>
      <c r="E1060" s="2" t="s">
        <v>34</v>
      </c>
    </row>
    <row r="1061" spans="1:5" x14ac:dyDescent="0.2">
      <c r="A1061" s="2" t="s">
        <v>4985</v>
      </c>
      <c r="B1061" s="2" t="s">
        <v>4957</v>
      </c>
      <c r="C1061" s="2" t="s">
        <v>4835</v>
      </c>
      <c r="D1061" s="2" t="s">
        <v>34</v>
      </c>
      <c r="E1061" s="2" t="s">
        <v>34</v>
      </c>
    </row>
    <row r="1062" spans="1:5" x14ac:dyDescent="0.2">
      <c r="A1062" s="2" t="s">
        <v>1568</v>
      </c>
      <c r="B1062" s="2" t="s">
        <v>4957</v>
      </c>
      <c r="C1062" s="2" t="s">
        <v>4833</v>
      </c>
      <c r="D1062" s="2" t="s">
        <v>1564</v>
      </c>
      <c r="E1062" s="2" t="s">
        <v>34</v>
      </c>
    </row>
    <row r="1063" spans="1:5" x14ac:dyDescent="0.2">
      <c r="A1063" s="2" t="s">
        <v>831</v>
      </c>
      <c r="B1063" s="2" t="s">
        <v>4957</v>
      </c>
      <c r="C1063" s="2" t="s">
        <v>4833</v>
      </c>
      <c r="D1063" s="2" t="s">
        <v>827</v>
      </c>
      <c r="E1063" s="2" t="s">
        <v>34</v>
      </c>
    </row>
    <row r="1064" spans="1:5" x14ac:dyDescent="0.2">
      <c r="A1064" s="2" t="s">
        <v>2523</v>
      </c>
      <c r="B1064" s="2" t="s">
        <v>4957</v>
      </c>
      <c r="C1064" s="2" t="s">
        <v>4833</v>
      </c>
      <c r="D1064" s="2" t="s">
        <v>2519</v>
      </c>
      <c r="E1064" s="2" t="s">
        <v>34</v>
      </c>
    </row>
    <row r="1065" spans="1:5" x14ac:dyDescent="0.2">
      <c r="A1065" s="2" t="s">
        <v>1403</v>
      </c>
      <c r="B1065" s="2" t="s">
        <v>4957</v>
      </c>
      <c r="C1065" s="2" t="s">
        <v>4833</v>
      </c>
      <c r="D1065" s="2" t="s">
        <v>1398</v>
      </c>
      <c r="E1065" s="2" t="s">
        <v>34</v>
      </c>
    </row>
    <row r="1066" spans="1:5" x14ac:dyDescent="0.2">
      <c r="A1066" s="2" t="s">
        <v>2454</v>
      </c>
      <c r="B1066" s="2" t="s">
        <v>4957</v>
      </c>
      <c r="C1066" s="2" t="s">
        <v>4833</v>
      </c>
      <c r="D1066" s="2" t="s">
        <v>2449</v>
      </c>
      <c r="E1066" s="2" t="s">
        <v>34</v>
      </c>
    </row>
    <row r="1067" spans="1:5" x14ac:dyDescent="0.2">
      <c r="A1067" s="2" t="s">
        <v>2814</v>
      </c>
      <c r="B1067" s="2" t="s">
        <v>4957</v>
      </c>
      <c r="C1067" s="2" t="s">
        <v>4833</v>
      </c>
      <c r="D1067" s="2" t="s">
        <v>2810</v>
      </c>
      <c r="E1067" s="2" t="s">
        <v>34</v>
      </c>
    </row>
    <row r="1068" spans="1:5" x14ac:dyDescent="0.2">
      <c r="A1068" s="2" t="s">
        <v>788</v>
      </c>
      <c r="B1068" s="2" t="s">
        <v>4957</v>
      </c>
      <c r="C1068" s="2" t="s">
        <v>4833</v>
      </c>
      <c r="D1068" s="2" t="s">
        <v>784</v>
      </c>
      <c r="E1068" s="2" t="s">
        <v>34</v>
      </c>
    </row>
    <row r="1069" spans="1:5" x14ac:dyDescent="0.2">
      <c r="A1069" s="2" t="s">
        <v>2477</v>
      </c>
      <c r="B1069" s="2" t="s">
        <v>4957</v>
      </c>
      <c r="C1069" s="2" t="s">
        <v>4833</v>
      </c>
      <c r="D1069" s="2" t="s">
        <v>2473</v>
      </c>
      <c r="E1069" s="2" t="s">
        <v>34</v>
      </c>
    </row>
    <row r="1070" spans="1:5" x14ac:dyDescent="0.2">
      <c r="A1070" s="2" t="s">
        <v>403</v>
      </c>
      <c r="B1070" s="2" t="s">
        <v>4957</v>
      </c>
      <c r="C1070" s="2" t="s">
        <v>4833</v>
      </c>
      <c r="D1070" s="2" t="s">
        <v>397</v>
      </c>
      <c r="E1070" s="2" t="s">
        <v>34</v>
      </c>
    </row>
    <row r="1071" spans="1:5" x14ac:dyDescent="0.2">
      <c r="A1071" s="2" t="s">
        <v>1191</v>
      </c>
      <c r="B1071" s="2" t="s">
        <v>4957</v>
      </c>
      <c r="C1071" s="2" t="s">
        <v>4833</v>
      </c>
      <c r="D1071" s="2" t="s">
        <v>1188</v>
      </c>
      <c r="E1071" s="2" t="s">
        <v>34</v>
      </c>
    </row>
    <row r="1072" spans="1:5" x14ac:dyDescent="0.2">
      <c r="A1072" s="2" t="s">
        <v>4459</v>
      </c>
      <c r="B1072" s="2" t="s">
        <v>4957</v>
      </c>
      <c r="C1072" s="2" t="s">
        <v>4833</v>
      </c>
      <c r="D1072" s="2" t="s">
        <v>4456</v>
      </c>
      <c r="E1072" s="2" t="s">
        <v>34</v>
      </c>
    </row>
    <row r="1073" spans="1:5" x14ac:dyDescent="0.2">
      <c r="A1073" s="2" t="s">
        <v>628</v>
      </c>
      <c r="B1073" s="2" t="s">
        <v>4957</v>
      </c>
      <c r="C1073" s="2" t="s">
        <v>4833</v>
      </c>
      <c r="D1073" s="2" t="s">
        <v>623</v>
      </c>
      <c r="E1073" s="2" t="s">
        <v>34</v>
      </c>
    </row>
    <row r="1074" spans="1:5" x14ac:dyDescent="0.2">
      <c r="A1074" s="2" t="s">
        <v>2993</v>
      </c>
      <c r="B1074" s="2" t="s">
        <v>4957</v>
      </c>
      <c r="C1074" s="2" t="s">
        <v>4833</v>
      </c>
      <c r="D1074" s="2" t="s">
        <v>2989</v>
      </c>
      <c r="E1074" s="2" t="s">
        <v>34</v>
      </c>
    </row>
    <row r="1075" spans="1:5" x14ac:dyDescent="0.2">
      <c r="A1075" s="2" t="s">
        <v>3066</v>
      </c>
      <c r="B1075" s="2" t="s">
        <v>4957</v>
      </c>
      <c r="C1075" s="2" t="s">
        <v>4833</v>
      </c>
      <c r="D1075" s="2" t="s">
        <v>3063</v>
      </c>
      <c r="E1075" s="2" t="s">
        <v>34</v>
      </c>
    </row>
    <row r="1076" spans="1:5" x14ac:dyDescent="0.2">
      <c r="A1076" s="2" t="s">
        <v>1113</v>
      </c>
      <c r="B1076" s="2" t="s">
        <v>4957</v>
      </c>
      <c r="C1076" s="2" t="s">
        <v>4833</v>
      </c>
      <c r="D1076" s="2" t="s">
        <v>1110</v>
      </c>
      <c r="E1076" s="2" t="s">
        <v>34</v>
      </c>
    </row>
    <row r="1077" spans="1:5" x14ac:dyDescent="0.2">
      <c r="A1077" s="2" t="s">
        <v>2869</v>
      </c>
      <c r="B1077" s="2" t="s">
        <v>4957</v>
      </c>
      <c r="C1077" s="2" t="s">
        <v>4833</v>
      </c>
      <c r="D1077" s="2" t="s">
        <v>2865</v>
      </c>
      <c r="E1077" s="2" t="s">
        <v>34</v>
      </c>
    </row>
    <row r="1078" spans="1:5" x14ac:dyDescent="0.2">
      <c r="A1078" s="2" t="s">
        <v>3257</v>
      </c>
      <c r="B1078" s="2" t="s">
        <v>4957</v>
      </c>
      <c r="C1078" s="2" t="s">
        <v>4833</v>
      </c>
      <c r="D1078" s="2" t="s">
        <v>3254</v>
      </c>
      <c r="E1078" s="2" t="s">
        <v>34</v>
      </c>
    </row>
    <row r="1079" spans="1:5" x14ac:dyDescent="0.2">
      <c r="A1079" s="2" t="s">
        <v>3274</v>
      </c>
      <c r="B1079" s="2" t="s">
        <v>4957</v>
      </c>
      <c r="C1079" s="2" t="s">
        <v>4833</v>
      </c>
      <c r="D1079" s="2" t="s">
        <v>3271</v>
      </c>
      <c r="E1079" s="2" t="s">
        <v>34</v>
      </c>
    </row>
    <row r="1080" spans="1:5" x14ac:dyDescent="0.2">
      <c r="A1080" s="2" t="s">
        <v>811</v>
      </c>
      <c r="B1080" s="2" t="s">
        <v>4957</v>
      </c>
      <c r="C1080" s="2" t="s">
        <v>4833</v>
      </c>
      <c r="D1080" s="2" t="s">
        <v>808</v>
      </c>
      <c r="E1080" s="2" t="s">
        <v>34</v>
      </c>
    </row>
    <row r="1081" spans="1:5" x14ac:dyDescent="0.2">
      <c r="A1081" s="2" t="s">
        <v>1390</v>
      </c>
      <c r="B1081" s="2" t="s">
        <v>4957</v>
      </c>
      <c r="C1081" s="2" t="s">
        <v>4833</v>
      </c>
      <c r="D1081" s="2" t="s">
        <v>1386</v>
      </c>
      <c r="E1081" s="2" t="s">
        <v>34</v>
      </c>
    </row>
    <row r="1082" spans="1:5" x14ac:dyDescent="0.2">
      <c r="A1082" s="2" t="s">
        <v>4986</v>
      </c>
      <c r="B1082" s="2" t="s">
        <v>4957</v>
      </c>
      <c r="C1082" s="2" t="s">
        <v>4837</v>
      </c>
      <c r="D1082" s="2" t="s">
        <v>34</v>
      </c>
      <c r="E1082" s="2" t="s">
        <v>34</v>
      </c>
    </row>
    <row r="1083" spans="1:5" x14ac:dyDescent="0.2">
      <c r="A1083" s="2" t="s">
        <v>1527</v>
      </c>
      <c r="B1083" s="2" t="s">
        <v>4957</v>
      </c>
      <c r="C1083" s="2" t="s">
        <v>4833</v>
      </c>
      <c r="D1083" s="2" t="s">
        <v>1522</v>
      </c>
      <c r="E1083" s="2" t="s">
        <v>34</v>
      </c>
    </row>
    <row r="1084" spans="1:5" x14ac:dyDescent="0.2">
      <c r="A1084" s="2" t="s">
        <v>2162</v>
      </c>
      <c r="B1084" s="2" t="s">
        <v>4957</v>
      </c>
      <c r="C1084" s="2" t="s">
        <v>4833</v>
      </c>
      <c r="D1084" s="2" t="s">
        <v>2158</v>
      </c>
      <c r="E1084" s="2" t="s">
        <v>34</v>
      </c>
    </row>
    <row r="1085" spans="1:5" x14ac:dyDescent="0.2">
      <c r="A1085" s="2" t="s">
        <v>4987</v>
      </c>
      <c r="B1085" s="2" t="s">
        <v>4957</v>
      </c>
      <c r="C1085" s="2" t="s">
        <v>4837</v>
      </c>
      <c r="D1085" s="2" t="s">
        <v>34</v>
      </c>
      <c r="E1085" s="2" t="s">
        <v>34</v>
      </c>
    </row>
    <row r="1086" spans="1:5" x14ac:dyDescent="0.2">
      <c r="A1086" s="2" t="s">
        <v>733</v>
      </c>
      <c r="B1086" s="2" t="s">
        <v>4957</v>
      </c>
      <c r="C1086" s="2" t="s">
        <v>4833</v>
      </c>
      <c r="D1086" s="2" t="s">
        <v>729</v>
      </c>
      <c r="E1086" s="2" t="s">
        <v>34</v>
      </c>
    </row>
    <row r="1087" spans="1:5" x14ac:dyDescent="0.2">
      <c r="A1087" s="2" t="s">
        <v>3702</v>
      </c>
      <c r="B1087" s="2" t="s">
        <v>4957</v>
      </c>
      <c r="C1087" s="2" t="s">
        <v>4833</v>
      </c>
      <c r="D1087" s="2" t="s">
        <v>3698</v>
      </c>
      <c r="E1087" s="2" t="s">
        <v>34</v>
      </c>
    </row>
    <row r="1088" spans="1:5" x14ac:dyDescent="0.2">
      <c r="A1088" s="2" t="s">
        <v>4988</v>
      </c>
      <c r="B1088" s="2" t="s">
        <v>4957</v>
      </c>
      <c r="C1088" s="2" t="s">
        <v>4835</v>
      </c>
      <c r="D1088" s="2" t="s">
        <v>34</v>
      </c>
      <c r="E1088" s="2" t="s">
        <v>34</v>
      </c>
    </row>
    <row r="1089" spans="1:5" x14ac:dyDescent="0.2">
      <c r="A1089" s="2" t="s">
        <v>4510</v>
      </c>
      <c r="B1089" s="2" t="s">
        <v>4957</v>
      </c>
      <c r="C1089" s="2" t="s">
        <v>4833</v>
      </c>
      <c r="D1089" s="2" t="s">
        <v>4506</v>
      </c>
      <c r="E1089" s="2" t="s">
        <v>34</v>
      </c>
    </row>
    <row r="1090" spans="1:5" x14ac:dyDescent="0.2">
      <c r="A1090" s="2" t="s">
        <v>4248</v>
      </c>
      <c r="B1090" s="2" t="s">
        <v>4957</v>
      </c>
      <c r="C1090" s="2" t="s">
        <v>4833</v>
      </c>
      <c r="D1090" s="2" t="s">
        <v>4245</v>
      </c>
      <c r="E1090" s="2" t="s">
        <v>34</v>
      </c>
    </row>
    <row r="1091" spans="1:5" x14ac:dyDescent="0.2">
      <c r="A1091" s="2" t="s">
        <v>2585</v>
      </c>
      <c r="B1091" s="2" t="s">
        <v>4957</v>
      </c>
      <c r="C1091" s="2" t="s">
        <v>4833</v>
      </c>
      <c r="D1091" s="2" t="s">
        <v>2581</v>
      </c>
      <c r="E1091" s="2" t="s">
        <v>34</v>
      </c>
    </row>
    <row r="1092" spans="1:5" x14ac:dyDescent="0.2">
      <c r="A1092" s="2" t="s">
        <v>4989</v>
      </c>
      <c r="B1092" s="2" t="s">
        <v>4957</v>
      </c>
      <c r="C1092" s="2" t="s">
        <v>4835</v>
      </c>
      <c r="D1092" s="2" t="s">
        <v>34</v>
      </c>
      <c r="E1092" s="2" t="s">
        <v>34</v>
      </c>
    </row>
    <row r="1093" spans="1:5" x14ac:dyDescent="0.2">
      <c r="A1093" s="2" t="s">
        <v>2328</v>
      </c>
      <c r="B1093" s="2" t="s">
        <v>4957</v>
      </c>
      <c r="C1093" s="2" t="s">
        <v>4833</v>
      </c>
      <c r="D1093" s="2" t="s">
        <v>2325</v>
      </c>
      <c r="E1093" s="2" t="s">
        <v>34</v>
      </c>
    </row>
    <row r="1094" spans="1:5" x14ac:dyDescent="0.2">
      <c r="A1094" s="2" t="s">
        <v>4011</v>
      </c>
      <c r="B1094" s="2" t="s">
        <v>4957</v>
      </c>
      <c r="C1094" s="2" t="s">
        <v>4833</v>
      </c>
      <c r="D1094" s="2" t="s">
        <v>4008</v>
      </c>
      <c r="E1094" s="2" t="s">
        <v>34</v>
      </c>
    </row>
    <row r="1095" spans="1:5" x14ac:dyDescent="0.2">
      <c r="A1095" s="2" t="s">
        <v>4990</v>
      </c>
      <c r="B1095" s="2" t="s">
        <v>4957</v>
      </c>
      <c r="C1095" s="2" t="s">
        <v>4835</v>
      </c>
      <c r="D1095" s="2" t="s">
        <v>34</v>
      </c>
      <c r="E1095" s="2" t="s">
        <v>34</v>
      </c>
    </row>
    <row r="1096" spans="1:5" x14ac:dyDescent="0.2">
      <c r="A1096" s="2" t="s">
        <v>4991</v>
      </c>
      <c r="B1096" s="2" t="s">
        <v>4957</v>
      </c>
      <c r="C1096" s="2" t="s">
        <v>4835</v>
      </c>
      <c r="D1096" s="2" t="s">
        <v>34</v>
      </c>
      <c r="E1096" s="2" t="s">
        <v>34</v>
      </c>
    </row>
    <row r="1097" spans="1:5" x14ac:dyDescent="0.2">
      <c r="A1097" s="2" t="s">
        <v>3406</v>
      </c>
      <c r="B1097" s="2" t="s">
        <v>4957</v>
      </c>
      <c r="C1097" s="2" t="s">
        <v>4833</v>
      </c>
      <c r="D1097" s="2" t="s">
        <v>3402</v>
      </c>
      <c r="E1097" s="2" t="s">
        <v>34</v>
      </c>
    </row>
    <row r="1098" spans="1:5" x14ac:dyDescent="0.2">
      <c r="A1098" s="2" t="s">
        <v>3607</v>
      </c>
      <c r="B1098" s="2" t="s">
        <v>4957</v>
      </c>
      <c r="C1098" s="2" t="s">
        <v>4833</v>
      </c>
      <c r="D1098" s="2" t="s">
        <v>3604</v>
      </c>
      <c r="E1098" s="2" t="s">
        <v>34</v>
      </c>
    </row>
    <row r="1099" spans="1:5" x14ac:dyDescent="0.2">
      <c r="A1099" s="2" t="s">
        <v>4131</v>
      </c>
      <c r="B1099" s="2" t="s">
        <v>4957</v>
      </c>
      <c r="C1099" s="2" t="s">
        <v>4833</v>
      </c>
      <c r="D1099" s="2" t="s">
        <v>4128</v>
      </c>
      <c r="E1099" s="2" t="s">
        <v>34</v>
      </c>
    </row>
    <row r="1100" spans="1:5" x14ac:dyDescent="0.2">
      <c r="A1100" s="2" t="s">
        <v>4992</v>
      </c>
      <c r="B1100" s="2" t="s">
        <v>4957</v>
      </c>
      <c r="C1100" s="2" t="s">
        <v>4835</v>
      </c>
      <c r="D1100" s="2" t="s">
        <v>34</v>
      </c>
      <c r="E1100" s="2" t="s">
        <v>34</v>
      </c>
    </row>
    <row r="1101" spans="1:5" x14ac:dyDescent="0.2">
      <c r="A1101" s="2" t="s">
        <v>4993</v>
      </c>
      <c r="B1101" s="2" t="s">
        <v>4957</v>
      </c>
      <c r="C1101" s="2" t="s">
        <v>4835</v>
      </c>
      <c r="D1101" s="2" t="s">
        <v>34</v>
      </c>
      <c r="E1101" s="2" t="s">
        <v>34</v>
      </c>
    </row>
    <row r="1102" spans="1:5" x14ac:dyDescent="0.2">
      <c r="A1102" s="2" t="s">
        <v>763</v>
      </c>
      <c r="B1102" s="2" t="s">
        <v>4957</v>
      </c>
      <c r="C1102" s="2" t="s">
        <v>4833</v>
      </c>
      <c r="D1102" s="2" t="s">
        <v>759</v>
      </c>
      <c r="E1102" s="2" t="s">
        <v>34</v>
      </c>
    </row>
    <row r="1103" spans="1:5" x14ac:dyDescent="0.2">
      <c r="A1103" s="2" t="s">
        <v>409</v>
      </c>
      <c r="B1103" s="2" t="s">
        <v>4957</v>
      </c>
      <c r="C1103" s="2" t="s">
        <v>4833</v>
      </c>
      <c r="D1103" s="2" t="s">
        <v>404</v>
      </c>
      <c r="E1103" s="2" t="s">
        <v>34</v>
      </c>
    </row>
    <row r="1104" spans="1:5" x14ac:dyDescent="0.2">
      <c r="A1104" s="2" t="s">
        <v>1557</v>
      </c>
      <c r="B1104" s="2" t="s">
        <v>4957</v>
      </c>
      <c r="C1104" s="2" t="s">
        <v>4833</v>
      </c>
      <c r="D1104" s="2" t="s">
        <v>1552</v>
      </c>
      <c r="E1104" s="2" t="s">
        <v>34</v>
      </c>
    </row>
    <row r="1105" spans="1:5" x14ac:dyDescent="0.2">
      <c r="A1105" s="2" t="s">
        <v>4994</v>
      </c>
      <c r="B1105" s="2" t="s">
        <v>4957</v>
      </c>
      <c r="C1105" s="2" t="s">
        <v>4835</v>
      </c>
      <c r="D1105" s="2" t="s">
        <v>34</v>
      </c>
      <c r="E1105" s="2" t="s">
        <v>34</v>
      </c>
    </row>
    <row r="1106" spans="1:5" x14ac:dyDescent="0.2">
      <c r="A1106" s="2" t="s">
        <v>4995</v>
      </c>
      <c r="B1106" s="2" t="s">
        <v>4957</v>
      </c>
      <c r="C1106" s="2" t="s">
        <v>4835</v>
      </c>
      <c r="D1106" s="2" t="s">
        <v>34</v>
      </c>
      <c r="E1106" s="2" t="s">
        <v>34</v>
      </c>
    </row>
    <row r="1107" spans="1:5" x14ac:dyDescent="0.2">
      <c r="A1107" s="2" t="s">
        <v>287</v>
      </c>
      <c r="B1107" s="2" t="s">
        <v>4957</v>
      </c>
      <c r="C1107" s="2" t="s">
        <v>4833</v>
      </c>
      <c r="D1107" s="2" t="s">
        <v>283</v>
      </c>
      <c r="E1107" s="2" t="s">
        <v>34</v>
      </c>
    </row>
    <row r="1108" spans="1:5" x14ac:dyDescent="0.2">
      <c r="A1108" s="2" t="s">
        <v>4396</v>
      </c>
      <c r="B1108" s="2" t="s">
        <v>4957</v>
      </c>
      <c r="C1108" s="2" t="s">
        <v>4833</v>
      </c>
      <c r="D1108" s="2" t="s">
        <v>4392</v>
      </c>
      <c r="E1108" s="2" t="s">
        <v>34</v>
      </c>
    </row>
    <row r="1109" spans="1:5" x14ac:dyDescent="0.2">
      <c r="A1109" s="2" t="s">
        <v>4624</v>
      </c>
      <c r="B1109" s="2" t="s">
        <v>4957</v>
      </c>
      <c r="C1109" s="2" t="s">
        <v>4833</v>
      </c>
      <c r="D1109" s="2" t="s">
        <v>4621</v>
      </c>
      <c r="E1109" s="2" t="s">
        <v>34</v>
      </c>
    </row>
    <row r="1110" spans="1:5" x14ac:dyDescent="0.2">
      <c r="A1110" s="2" t="s">
        <v>302</v>
      </c>
      <c r="B1110" s="2" t="s">
        <v>4957</v>
      </c>
      <c r="C1110" s="2" t="s">
        <v>4833</v>
      </c>
      <c r="D1110" s="2" t="s">
        <v>298</v>
      </c>
      <c r="E1110" s="2" t="s">
        <v>34</v>
      </c>
    </row>
    <row r="1111" spans="1:5" x14ac:dyDescent="0.2">
      <c r="A1111" s="2" t="s">
        <v>3836</v>
      </c>
      <c r="B1111" s="2" t="s">
        <v>4957</v>
      </c>
      <c r="C1111" s="2" t="s">
        <v>4833</v>
      </c>
      <c r="D1111" s="2" t="s">
        <v>3832</v>
      </c>
      <c r="E1111" s="2" t="s">
        <v>34</v>
      </c>
    </row>
    <row r="1112" spans="1:5" x14ac:dyDescent="0.2">
      <c r="A1112" s="2" t="s">
        <v>4533</v>
      </c>
      <c r="B1112" s="2" t="s">
        <v>4957</v>
      </c>
      <c r="C1112" s="2" t="s">
        <v>4833</v>
      </c>
      <c r="D1112" s="2" t="s">
        <v>4528</v>
      </c>
      <c r="E1112" s="2" t="s">
        <v>34</v>
      </c>
    </row>
    <row r="1113" spans="1:5" x14ac:dyDescent="0.2">
      <c r="A1113" s="2" t="s">
        <v>4427</v>
      </c>
      <c r="B1113" s="2" t="s">
        <v>4957</v>
      </c>
      <c r="C1113" s="2" t="s">
        <v>4833</v>
      </c>
      <c r="D1113" s="2" t="s">
        <v>4424</v>
      </c>
      <c r="E1113" s="2" t="s">
        <v>34</v>
      </c>
    </row>
    <row r="1114" spans="1:5" x14ac:dyDescent="0.2">
      <c r="A1114" s="2" t="s">
        <v>2590</v>
      </c>
      <c r="B1114" s="2" t="s">
        <v>4957</v>
      </c>
      <c r="C1114" s="2" t="s">
        <v>4833</v>
      </c>
      <c r="D1114" s="2" t="s">
        <v>2586</v>
      </c>
      <c r="E1114" s="2" t="s">
        <v>34</v>
      </c>
    </row>
    <row r="1115" spans="1:5" x14ac:dyDescent="0.2">
      <c r="A1115" s="2" t="s">
        <v>322</v>
      </c>
      <c r="B1115" s="2" t="s">
        <v>4957</v>
      </c>
      <c r="C1115" s="2" t="s">
        <v>4833</v>
      </c>
      <c r="D1115" s="2" t="s">
        <v>317</v>
      </c>
      <c r="E1115" s="2" t="s">
        <v>34</v>
      </c>
    </row>
    <row r="1116" spans="1:5" x14ac:dyDescent="0.2">
      <c r="A1116" s="2" t="s">
        <v>2874</v>
      </c>
      <c r="B1116" s="2" t="s">
        <v>4957</v>
      </c>
      <c r="C1116" s="2" t="s">
        <v>4833</v>
      </c>
      <c r="D1116" s="2" t="s">
        <v>2870</v>
      </c>
      <c r="E1116" s="2" t="s">
        <v>34</v>
      </c>
    </row>
    <row r="1117" spans="1:5" x14ac:dyDescent="0.2">
      <c r="A1117" s="2" t="s">
        <v>4228</v>
      </c>
      <c r="B1117" s="2" t="s">
        <v>4957</v>
      </c>
      <c r="C1117" s="2" t="s">
        <v>4833</v>
      </c>
      <c r="D1117" s="2" t="s">
        <v>4224</v>
      </c>
      <c r="E1117" s="2" t="s">
        <v>34</v>
      </c>
    </row>
    <row r="1118" spans="1:5" x14ac:dyDescent="0.2">
      <c r="A1118" s="2" t="s">
        <v>4996</v>
      </c>
      <c r="B1118" s="2" t="s">
        <v>4957</v>
      </c>
      <c r="C1118" s="2" t="s">
        <v>4835</v>
      </c>
      <c r="D1118" s="2" t="s">
        <v>34</v>
      </c>
      <c r="E1118" s="2" t="s">
        <v>34</v>
      </c>
    </row>
    <row r="1119" spans="1:5" x14ac:dyDescent="0.2">
      <c r="A1119" s="2" t="s">
        <v>2204</v>
      </c>
      <c r="B1119" s="2" t="s">
        <v>4957</v>
      </c>
      <c r="C1119" s="2" t="s">
        <v>4833</v>
      </c>
      <c r="D1119" s="2" t="s">
        <v>2200</v>
      </c>
      <c r="E1119" s="2" t="s">
        <v>34</v>
      </c>
    </row>
    <row r="1120" spans="1:5" x14ac:dyDescent="0.2">
      <c r="A1120" s="2" t="s">
        <v>1949</v>
      </c>
      <c r="B1120" s="2" t="s">
        <v>4957</v>
      </c>
      <c r="C1120" s="2" t="s">
        <v>4833</v>
      </c>
      <c r="D1120" s="2" t="s">
        <v>1945</v>
      </c>
      <c r="E1120" s="2" t="s">
        <v>34</v>
      </c>
    </row>
    <row r="1121" spans="1:5" x14ac:dyDescent="0.2">
      <c r="A1121" s="2" t="s">
        <v>4137</v>
      </c>
      <c r="B1121" s="2" t="s">
        <v>4957</v>
      </c>
      <c r="C1121" s="2" t="s">
        <v>4833</v>
      </c>
      <c r="D1121" s="2" t="s">
        <v>4132</v>
      </c>
      <c r="E1121" s="2" t="s">
        <v>34</v>
      </c>
    </row>
    <row r="1122" spans="1:5" x14ac:dyDescent="0.2">
      <c r="A1122" s="2" t="s">
        <v>1973</v>
      </c>
      <c r="B1122" s="2" t="s">
        <v>4957</v>
      </c>
      <c r="C1122" s="2" t="s">
        <v>4833</v>
      </c>
      <c r="D1122" s="2" t="s">
        <v>1969</v>
      </c>
      <c r="E1122" s="2" t="s">
        <v>34</v>
      </c>
    </row>
    <row r="1123" spans="1:5" x14ac:dyDescent="0.2">
      <c r="A1123" s="2" t="s">
        <v>4390</v>
      </c>
      <c r="B1123" s="2" t="s">
        <v>4957</v>
      </c>
      <c r="C1123" s="2" t="s">
        <v>4833</v>
      </c>
      <c r="D1123" s="2" t="s">
        <v>4387</v>
      </c>
      <c r="E1123" s="2" t="s">
        <v>34</v>
      </c>
    </row>
    <row r="1124" spans="1:5" x14ac:dyDescent="0.2">
      <c r="A1124" s="2" t="s">
        <v>1076</v>
      </c>
      <c r="B1124" s="2" t="s">
        <v>4957</v>
      </c>
      <c r="C1124" s="2" t="s">
        <v>4833</v>
      </c>
      <c r="D1124" s="2" t="s">
        <v>1073</v>
      </c>
      <c r="E1124" s="2" t="s">
        <v>34</v>
      </c>
    </row>
    <row r="1125" spans="1:5" x14ac:dyDescent="0.2">
      <c r="A1125" s="2" t="s">
        <v>4997</v>
      </c>
      <c r="B1125" s="2" t="s">
        <v>4957</v>
      </c>
      <c r="C1125" s="2" t="s">
        <v>4835</v>
      </c>
      <c r="D1125" s="2" t="s">
        <v>34</v>
      </c>
      <c r="E1125" s="2" t="s">
        <v>34</v>
      </c>
    </row>
    <row r="1126" spans="1:5" x14ac:dyDescent="0.2">
      <c r="A1126" s="2" t="s">
        <v>1676</v>
      </c>
      <c r="B1126" s="2" t="s">
        <v>4957</v>
      </c>
      <c r="C1126" s="2" t="s">
        <v>4833</v>
      </c>
      <c r="D1126" s="2" t="s">
        <v>1673</v>
      </c>
      <c r="E1126" s="2" t="s">
        <v>34</v>
      </c>
    </row>
    <row r="1127" spans="1:5" x14ac:dyDescent="0.2">
      <c r="A1127" s="2" t="s">
        <v>4998</v>
      </c>
      <c r="B1127" s="2" t="s">
        <v>4957</v>
      </c>
      <c r="C1127" s="2" t="s">
        <v>4837</v>
      </c>
      <c r="D1127" s="2" t="s">
        <v>34</v>
      </c>
      <c r="E1127" s="2" t="s">
        <v>34</v>
      </c>
    </row>
    <row r="1128" spans="1:5" x14ac:dyDescent="0.2">
      <c r="A1128" s="2" t="s">
        <v>1587</v>
      </c>
      <c r="B1128" s="2" t="s">
        <v>4957</v>
      </c>
      <c r="C1128" s="2" t="s">
        <v>4833</v>
      </c>
      <c r="D1128" s="2" t="s">
        <v>1583</v>
      </c>
      <c r="E1128" s="2" t="s">
        <v>34</v>
      </c>
    </row>
    <row r="1129" spans="1:5" x14ac:dyDescent="0.2">
      <c r="A1129" s="2" t="s">
        <v>4630</v>
      </c>
      <c r="B1129" s="2" t="s">
        <v>4957</v>
      </c>
      <c r="C1129" s="2" t="s">
        <v>4833</v>
      </c>
      <c r="D1129" s="2" t="s">
        <v>4626</v>
      </c>
      <c r="E1129" s="2" t="s">
        <v>34</v>
      </c>
    </row>
    <row r="1130" spans="1:5" x14ac:dyDescent="0.2">
      <c r="A1130" s="2" t="s">
        <v>1180</v>
      </c>
      <c r="B1130" s="2" t="s">
        <v>4957</v>
      </c>
      <c r="C1130" s="2" t="s">
        <v>4833</v>
      </c>
      <c r="D1130" s="2" t="s">
        <v>1175</v>
      </c>
      <c r="E1130" s="2" t="s">
        <v>34</v>
      </c>
    </row>
    <row r="1131" spans="1:5" x14ac:dyDescent="0.2">
      <c r="A1131" s="2" t="s">
        <v>984</v>
      </c>
      <c r="B1131" s="2" t="s">
        <v>4957</v>
      </c>
      <c r="C1131" s="2" t="s">
        <v>4833</v>
      </c>
      <c r="D1131" s="2" t="s">
        <v>979</v>
      </c>
      <c r="E1131" s="2" t="s">
        <v>34</v>
      </c>
    </row>
    <row r="1132" spans="1:5" x14ac:dyDescent="0.2">
      <c r="A1132" s="2" t="s">
        <v>4999</v>
      </c>
      <c r="B1132" s="2" t="s">
        <v>4957</v>
      </c>
      <c r="C1132" s="2" t="s">
        <v>4837</v>
      </c>
      <c r="D1132" s="2" t="s">
        <v>34</v>
      </c>
      <c r="E1132" s="2" t="s">
        <v>34</v>
      </c>
    </row>
    <row r="1133" spans="1:5" x14ac:dyDescent="0.2">
      <c r="A1133" s="2" t="s">
        <v>2909</v>
      </c>
      <c r="B1133" s="2" t="s">
        <v>4957</v>
      </c>
      <c r="C1133" s="2" t="s">
        <v>4833</v>
      </c>
      <c r="D1133" s="2" t="s">
        <v>2904</v>
      </c>
      <c r="E1133" s="2" t="s">
        <v>34</v>
      </c>
    </row>
    <row r="1134" spans="1:5" x14ac:dyDescent="0.2">
      <c r="A1134" s="2" t="s">
        <v>2819</v>
      </c>
      <c r="B1134" s="2" t="s">
        <v>4957</v>
      </c>
      <c r="C1134" s="2" t="s">
        <v>4833</v>
      </c>
      <c r="D1134" s="2" t="s">
        <v>2816</v>
      </c>
      <c r="E1134" s="2" t="s">
        <v>34</v>
      </c>
    </row>
    <row r="1135" spans="1:5" x14ac:dyDescent="0.2">
      <c r="A1135" s="2" t="s">
        <v>5000</v>
      </c>
      <c r="B1135" s="2" t="s">
        <v>4957</v>
      </c>
      <c r="C1135" s="2" t="s">
        <v>4835</v>
      </c>
      <c r="D1135" s="2" t="s">
        <v>34</v>
      </c>
      <c r="E1135" s="2" t="s">
        <v>34</v>
      </c>
    </row>
    <row r="1136" spans="1:5" x14ac:dyDescent="0.2">
      <c r="A1136" s="2" t="s">
        <v>4799</v>
      </c>
      <c r="B1136" s="2" t="s">
        <v>4957</v>
      </c>
      <c r="C1136" s="2" t="s">
        <v>4833</v>
      </c>
      <c r="D1136" s="2" t="s">
        <v>4795</v>
      </c>
      <c r="E1136" s="2" t="s">
        <v>34</v>
      </c>
    </row>
    <row r="1137" spans="1:5" x14ac:dyDescent="0.2">
      <c r="A1137" s="2" t="s">
        <v>2127</v>
      </c>
      <c r="B1137" s="2" t="s">
        <v>4957</v>
      </c>
      <c r="C1137" s="2" t="s">
        <v>4833</v>
      </c>
      <c r="D1137" s="2" t="s">
        <v>2123</v>
      </c>
      <c r="E1137" s="2" t="s">
        <v>34</v>
      </c>
    </row>
    <row r="1138" spans="1:5" x14ac:dyDescent="0.2">
      <c r="A1138" s="2" t="s">
        <v>2735</v>
      </c>
      <c r="B1138" s="2" t="s">
        <v>5001</v>
      </c>
      <c r="C1138" s="2" t="s">
        <v>4833</v>
      </c>
      <c r="D1138" s="2" t="s">
        <v>2730</v>
      </c>
      <c r="E1138" s="2" t="s">
        <v>34</v>
      </c>
    </row>
    <row r="1139" spans="1:5" x14ac:dyDescent="0.2">
      <c r="A1139" s="2" t="s">
        <v>276</v>
      </c>
      <c r="B1139" s="2" t="s">
        <v>5001</v>
      </c>
      <c r="C1139" s="2" t="s">
        <v>4833</v>
      </c>
      <c r="D1139" s="2" t="s">
        <v>272</v>
      </c>
      <c r="E1139" s="2" t="s">
        <v>34</v>
      </c>
    </row>
    <row r="1140" spans="1:5" x14ac:dyDescent="0.2">
      <c r="A1140" s="2" t="s">
        <v>4555</v>
      </c>
      <c r="B1140" s="2" t="s">
        <v>5001</v>
      </c>
      <c r="C1140" s="2" t="s">
        <v>4833</v>
      </c>
      <c r="D1140" s="2" t="s">
        <v>4551</v>
      </c>
      <c r="E1140" s="2" t="s">
        <v>34</v>
      </c>
    </row>
    <row r="1141" spans="1:5" x14ac:dyDescent="0.2">
      <c r="A1141" s="2" t="s">
        <v>3617</v>
      </c>
      <c r="B1141" s="2" t="s">
        <v>5001</v>
      </c>
      <c r="C1141" s="2" t="s">
        <v>4833</v>
      </c>
      <c r="D1141" s="2" t="s">
        <v>3614</v>
      </c>
      <c r="E1141" s="2" t="s">
        <v>34</v>
      </c>
    </row>
    <row r="1142" spans="1:5" x14ac:dyDescent="0.2">
      <c r="A1142" s="2" t="s">
        <v>5002</v>
      </c>
      <c r="B1142" s="2" t="s">
        <v>5001</v>
      </c>
      <c r="C1142" s="2" t="s">
        <v>4835</v>
      </c>
      <c r="D1142" s="2" t="s">
        <v>34</v>
      </c>
      <c r="E1142" s="2" t="s">
        <v>34</v>
      </c>
    </row>
    <row r="1143" spans="1:5" x14ac:dyDescent="0.2">
      <c r="A1143" s="2" t="s">
        <v>3791</v>
      </c>
      <c r="B1143" s="2" t="s">
        <v>5001</v>
      </c>
      <c r="C1143" s="2" t="s">
        <v>4833</v>
      </c>
      <c r="D1143" s="2" t="s">
        <v>3786</v>
      </c>
      <c r="E1143" s="2" t="s">
        <v>34</v>
      </c>
    </row>
    <row r="1144" spans="1:5" x14ac:dyDescent="0.2">
      <c r="A1144" s="2" t="s">
        <v>3382</v>
      </c>
      <c r="B1144" s="2" t="s">
        <v>5001</v>
      </c>
      <c r="C1144" s="2" t="s">
        <v>4833</v>
      </c>
      <c r="D1144" s="2" t="s">
        <v>3379</v>
      </c>
      <c r="E1144" s="2" t="s">
        <v>34</v>
      </c>
    </row>
    <row r="1145" spans="1:5" x14ac:dyDescent="0.2">
      <c r="A1145" s="2" t="s">
        <v>645</v>
      </c>
      <c r="B1145" s="2" t="s">
        <v>5001</v>
      </c>
      <c r="C1145" s="2" t="s">
        <v>4833</v>
      </c>
      <c r="D1145" s="2" t="s">
        <v>641</v>
      </c>
      <c r="E1145" s="2" t="s">
        <v>34</v>
      </c>
    </row>
    <row r="1146" spans="1:5" x14ac:dyDescent="0.2">
      <c r="A1146" s="2" t="s">
        <v>2086</v>
      </c>
      <c r="B1146" s="2" t="s">
        <v>5001</v>
      </c>
      <c r="C1146" s="2" t="s">
        <v>4833</v>
      </c>
      <c r="D1146" s="2" t="s">
        <v>2083</v>
      </c>
      <c r="E1146" s="2" t="s">
        <v>34</v>
      </c>
    </row>
    <row r="1147" spans="1:5" x14ac:dyDescent="0.2">
      <c r="A1147" s="2" t="s">
        <v>4444</v>
      </c>
      <c r="B1147" s="2" t="s">
        <v>5001</v>
      </c>
      <c r="C1147" s="2" t="s">
        <v>4833</v>
      </c>
      <c r="D1147" s="2" t="s">
        <v>4441</v>
      </c>
      <c r="E1147" s="2" t="s">
        <v>34</v>
      </c>
    </row>
    <row r="1148" spans="1:5" x14ac:dyDescent="0.2">
      <c r="A1148" s="2" t="s">
        <v>1611</v>
      </c>
      <c r="B1148" s="2" t="s">
        <v>5001</v>
      </c>
      <c r="C1148" s="2" t="s">
        <v>4833</v>
      </c>
      <c r="D1148" s="2" t="s">
        <v>1608</v>
      </c>
      <c r="E1148" s="2" t="s">
        <v>34</v>
      </c>
    </row>
    <row r="1149" spans="1:5" x14ac:dyDescent="0.2">
      <c r="A1149" s="2" t="s">
        <v>495</v>
      </c>
      <c r="B1149" s="2" t="s">
        <v>5001</v>
      </c>
      <c r="C1149" s="2" t="s">
        <v>4833</v>
      </c>
      <c r="D1149" s="2" t="s">
        <v>490</v>
      </c>
      <c r="E1149" s="2" t="s">
        <v>34</v>
      </c>
    </row>
    <row r="1150" spans="1:5" x14ac:dyDescent="0.2">
      <c r="A1150" s="2" t="s">
        <v>1543</v>
      </c>
      <c r="B1150" s="2" t="s">
        <v>5001</v>
      </c>
      <c r="C1150" s="2" t="s">
        <v>4833</v>
      </c>
      <c r="D1150" s="2" t="s">
        <v>1539</v>
      </c>
      <c r="E1150" s="2" t="s">
        <v>34</v>
      </c>
    </row>
    <row r="1151" spans="1:5" x14ac:dyDescent="0.2">
      <c r="A1151" s="2" t="s">
        <v>5003</v>
      </c>
      <c r="B1151" s="2" t="s">
        <v>5001</v>
      </c>
      <c r="C1151" s="2" t="s">
        <v>4835</v>
      </c>
      <c r="D1151" s="2" t="s">
        <v>34</v>
      </c>
      <c r="E1151" s="2" t="s">
        <v>34</v>
      </c>
    </row>
    <row r="1152" spans="1:5" x14ac:dyDescent="0.2">
      <c r="A1152" s="2" t="s">
        <v>1197</v>
      </c>
      <c r="B1152" s="2" t="s">
        <v>5001</v>
      </c>
      <c r="C1152" s="2" t="s">
        <v>4833</v>
      </c>
      <c r="D1152" s="2" t="s">
        <v>1194</v>
      </c>
      <c r="E1152" s="2" t="s">
        <v>34</v>
      </c>
    </row>
    <row r="1153" spans="1:5" x14ac:dyDescent="0.2">
      <c r="A1153" s="2" t="s">
        <v>727</v>
      </c>
      <c r="B1153" s="2" t="s">
        <v>5001</v>
      </c>
      <c r="C1153" s="2" t="s">
        <v>4833</v>
      </c>
      <c r="D1153" s="2" t="s">
        <v>722</v>
      </c>
      <c r="E1153" s="2" t="s">
        <v>34</v>
      </c>
    </row>
    <row r="1154" spans="1:5" x14ac:dyDescent="0.2">
      <c r="A1154" s="2" t="s">
        <v>1081</v>
      </c>
      <c r="B1154" s="2" t="s">
        <v>5001</v>
      </c>
      <c r="C1154" s="2" t="s">
        <v>4833</v>
      </c>
      <c r="D1154" s="2" t="s">
        <v>1078</v>
      </c>
      <c r="E1154" s="2" t="s">
        <v>34</v>
      </c>
    </row>
    <row r="1155" spans="1:5" x14ac:dyDescent="0.2">
      <c r="A1155" s="2" t="s">
        <v>2017</v>
      </c>
      <c r="B1155" s="2" t="s">
        <v>5001</v>
      </c>
      <c r="C1155" s="2" t="s">
        <v>4833</v>
      </c>
      <c r="D1155" s="2" t="s">
        <v>2012</v>
      </c>
      <c r="E1155" s="2" t="s">
        <v>34</v>
      </c>
    </row>
    <row r="1156" spans="1:5" x14ac:dyDescent="0.2">
      <c r="A1156" s="2" t="s">
        <v>1201</v>
      </c>
      <c r="B1156" s="2" t="s">
        <v>5001</v>
      </c>
      <c r="C1156" s="2" t="s">
        <v>4833</v>
      </c>
      <c r="D1156" s="2" t="s">
        <v>1198</v>
      </c>
      <c r="E1156" s="2" t="s">
        <v>34</v>
      </c>
    </row>
    <row r="1157" spans="1:5" x14ac:dyDescent="0.2">
      <c r="A1157" s="2" t="s">
        <v>4203</v>
      </c>
      <c r="B1157" s="2" t="s">
        <v>5001</v>
      </c>
      <c r="C1157" s="2" t="s">
        <v>4833</v>
      </c>
      <c r="D1157" s="2" t="s">
        <v>4199</v>
      </c>
      <c r="E1157" s="2" t="s">
        <v>34</v>
      </c>
    </row>
    <row r="1158" spans="1:5" x14ac:dyDescent="0.2">
      <c r="A1158" s="2" t="s">
        <v>308</v>
      </c>
      <c r="B1158" s="2" t="s">
        <v>5001</v>
      </c>
      <c r="C1158" s="2" t="s">
        <v>4833</v>
      </c>
      <c r="D1158" s="2" t="s">
        <v>304</v>
      </c>
      <c r="E1158" s="2" t="s">
        <v>34</v>
      </c>
    </row>
    <row r="1159" spans="1:5" x14ac:dyDescent="0.2">
      <c r="A1159" s="2" t="s">
        <v>4198</v>
      </c>
      <c r="B1159" s="2" t="s">
        <v>5001</v>
      </c>
      <c r="C1159" s="2" t="s">
        <v>4833</v>
      </c>
      <c r="D1159" s="2" t="s">
        <v>4193</v>
      </c>
      <c r="E1159" s="2" t="s">
        <v>34</v>
      </c>
    </row>
    <row r="1160" spans="1:5" x14ac:dyDescent="0.2">
      <c r="A1160" s="2" t="s">
        <v>657</v>
      </c>
      <c r="B1160" s="2" t="s">
        <v>5001</v>
      </c>
      <c r="C1160" s="2" t="s">
        <v>4833</v>
      </c>
      <c r="D1160" s="2" t="s">
        <v>652</v>
      </c>
      <c r="E1160" s="2" t="s">
        <v>34</v>
      </c>
    </row>
    <row r="1161" spans="1:5" x14ac:dyDescent="0.2">
      <c r="A1161" s="2" t="s">
        <v>2042</v>
      </c>
      <c r="B1161" s="2" t="s">
        <v>5001</v>
      </c>
      <c r="C1161" s="2" t="s">
        <v>4833</v>
      </c>
      <c r="D1161" s="2" t="s">
        <v>2037</v>
      </c>
      <c r="E1161" s="2" t="s">
        <v>34</v>
      </c>
    </row>
    <row r="1162" spans="1:5" x14ac:dyDescent="0.2">
      <c r="A1162" s="2" t="s">
        <v>3191</v>
      </c>
      <c r="B1162" s="2" t="s">
        <v>5001</v>
      </c>
      <c r="C1162" s="2" t="s">
        <v>4833</v>
      </c>
      <c r="D1162" s="2" t="s">
        <v>3188</v>
      </c>
      <c r="E1162" s="2" t="s">
        <v>34</v>
      </c>
    </row>
    <row r="1163" spans="1:5" x14ac:dyDescent="0.2">
      <c r="A1163" s="2" t="s">
        <v>5004</v>
      </c>
      <c r="B1163" s="2" t="s">
        <v>5001</v>
      </c>
      <c r="C1163" s="2" t="s">
        <v>4835</v>
      </c>
      <c r="D1163" s="2" t="s">
        <v>34</v>
      </c>
      <c r="E1163" s="2" t="s">
        <v>34</v>
      </c>
    </row>
    <row r="1164" spans="1:5" x14ac:dyDescent="0.2">
      <c r="A1164" s="2" t="s">
        <v>615</v>
      </c>
      <c r="B1164" s="2" t="s">
        <v>5001</v>
      </c>
      <c r="C1164" s="2" t="s">
        <v>4833</v>
      </c>
      <c r="D1164" s="2" t="s">
        <v>611</v>
      </c>
      <c r="E1164" s="2" t="s">
        <v>34</v>
      </c>
    </row>
    <row r="1165" spans="1:5" x14ac:dyDescent="0.2">
      <c r="A1165" s="2" t="s">
        <v>2658</v>
      </c>
      <c r="B1165" s="2" t="s">
        <v>5001</v>
      </c>
      <c r="C1165" s="2" t="s">
        <v>4833</v>
      </c>
      <c r="D1165" s="2" t="s">
        <v>2655</v>
      </c>
      <c r="E1165" s="2" t="s">
        <v>34</v>
      </c>
    </row>
    <row r="1166" spans="1:5" x14ac:dyDescent="0.2">
      <c r="A1166" s="2" t="s">
        <v>2282</v>
      </c>
      <c r="B1166" s="2" t="s">
        <v>5001</v>
      </c>
      <c r="C1166" s="2" t="s">
        <v>4833</v>
      </c>
      <c r="D1166" s="2" t="s">
        <v>2278</v>
      </c>
      <c r="E1166" s="2" t="s">
        <v>34</v>
      </c>
    </row>
    <row r="1167" spans="1:5" x14ac:dyDescent="0.2">
      <c r="A1167" s="2" t="s">
        <v>4260</v>
      </c>
      <c r="B1167" s="2" t="s">
        <v>5001</v>
      </c>
      <c r="C1167" s="2" t="s">
        <v>4833</v>
      </c>
      <c r="D1167" s="2" t="s">
        <v>4257</v>
      </c>
      <c r="E1167" s="2" t="s">
        <v>34</v>
      </c>
    </row>
    <row r="1168" spans="1:5" x14ac:dyDescent="0.2">
      <c r="A1168" s="2" t="s">
        <v>4217</v>
      </c>
      <c r="B1168" s="2" t="s">
        <v>5001</v>
      </c>
      <c r="C1168" s="2" t="s">
        <v>4833</v>
      </c>
      <c r="D1168" s="2" t="s">
        <v>4214</v>
      </c>
      <c r="E1168" s="2" t="s">
        <v>34</v>
      </c>
    </row>
    <row r="1169" spans="1:5" x14ac:dyDescent="0.2">
      <c r="A1169" s="2" t="s">
        <v>3928</v>
      </c>
      <c r="B1169" s="2" t="s">
        <v>5001</v>
      </c>
      <c r="C1169" s="2" t="s">
        <v>4833</v>
      </c>
      <c r="D1169" s="2" t="s">
        <v>3924</v>
      </c>
      <c r="E1169" s="2" t="s">
        <v>34</v>
      </c>
    </row>
    <row r="1170" spans="1:5" x14ac:dyDescent="0.2">
      <c r="A1170" s="2" t="s">
        <v>3471</v>
      </c>
      <c r="B1170" s="2" t="s">
        <v>5001</v>
      </c>
      <c r="C1170" s="2" t="s">
        <v>4833</v>
      </c>
      <c r="D1170" s="2" t="s">
        <v>3465</v>
      </c>
      <c r="E1170" s="2" t="s">
        <v>34</v>
      </c>
    </row>
    <row r="1171" spans="1:5" x14ac:dyDescent="0.2">
      <c r="A1171" s="2" t="s">
        <v>4740</v>
      </c>
      <c r="B1171" s="2" t="s">
        <v>5001</v>
      </c>
      <c r="C1171" s="2" t="s">
        <v>4833</v>
      </c>
      <c r="D1171" s="2" t="s">
        <v>4737</v>
      </c>
      <c r="E1171" s="2" t="s">
        <v>34</v>
      </c>
    </row>
    <row r="1172" spans="1:5" x14ac:dyDescent="0.2">
      <c r="A1172" s="2" t="s">
        <v>5005</v>
      </c>
      <c r="B1172" s="2" t="s">
        <v>5001</v>
      </c>
      <c r="C1172" s="2" t="s">
        <v>4835</v>
      </c>
      <c r="D1172" s="2" t="s">
        <v>34</v>
      </c>
      <c r="E1172" s="2" t="s">
        <v>34</v>
      </c>
    </row>
    <row r="1173" spans="1:5" x14ac:dyDescent="0.2">
      <c r="A1173" s="2" t="s">
        <v>1056</v>
      </c>
      <c r="B1173" s="2" t="s">
        <v>5001</v>
      </c>
      <c r="C1173" s="2" t="s">
        <v>4833</v>
      </c>
      <c r="D1173" s="2" t="s">
        <v>1051</v>
      </c>
      <c r="E1173" s="2" t="s">
        <v>34</v>
      </c>
    </row>
    <row r="1174" spans="1:5" x14ac:dyDescent="0.2">
      <c r="A1174" s="2" t="s">
        <v>3019</v>
      </c>
      <c r="B1174" s="2" t="s">
        <v>5001</v>
      </c>
      <c r="C1174" s="2" t="s">
        <v>4833</v>
      </c>
      <c r="D1174" s="2" t="s">
        <v>3014</v>
      </c>
      <c r="E1174" s="2" t="s">
        <v>34</v>
      </c>
    </row>
    <row r="1175" spans="1:5" x14ac:dyDescent="0.2">
      <c r="A1175" s="2" t="s">
        <v>609</v>
      </c>
      <c r="B1175" s="2" t="s">
        <v>5001</v>
      </c>
      <c r="C1175" s="2" t="s">
        <v>4833</v>
      </c>
      <c r="D1175" s="2" t="s">
        <v>605</v>
      </c>
      <c r="E1175" s="2" t="s">
        <v>34</v>
      </c>
    </row>
    <row r="1176" spans="1:5" x14ac:dyDescent="0.2">
      <c r="A1176" s="2" t="s">
        <v>3192</v>
      </c>
      <c r="B1176" s="2" t="s">
        <v>5001</v>
      </c>
      <c r="C1176" s="2" t="s">
        <v>4833</v>
      </c>
      <c r="D1176" s="2" t="s">
        <v>3188</v>
      </c>
      <c r="E1176" s="2" t="s">
        <v>34</v>
      </c>
    </row>
    <row r="1177" spans="1:5" x14ac:dyDescent="0.2">
      <c r="A1177" s="2" t="s">
        <v>3270</v>
      </c>
      <c r="B1177" s="2" t="s">
        <v>5001</v>
      </c>
      <c r="C1177" s="2" t="s">
        <v>4833</v>
      </c>
      <c r="D1177" s="2" t="s">
        <v>3265</v>
      </c>
      <c r="E1177" s="2" t="s">
        <v>34</v>
      </c>
    </row>
    <row r="1178" spans="1:5" x14ac:dyDescent="0.2">
      <c r="A1178" s="2" t="s">
        <v>1428</v>
      </c>
      <c r="B1178" s="2" t="s">
        <v>5001</v>
      </c>
      <c r="C1178" s="2" t="s">
        <v>4833</v>
      </c>
      <c r="D1178" s="2" t="s">
        <v>1424</v>
      </c>
      <c r="E1178" s="2" t="s">
        <v>34</v>
      </c>
    </row>
    <row r="1179" spans="1:5" x14ac:dyDescent="0.2">
      <c r="A1179" s="2" t="s">
        <v>2898</v>
      </c>
      <c r="B1179" s="2" t="s">
        <v>5001</v>
      </c>
      <c r="C1179" s="2" t="s">
        <v>4833</v>
      </c>
      <c r="D1179" s="2" t="s">
        <v>2894</v>
      </c>
      <c r="E1179" s="2" t="s">
        <v>34</v>
      </c>
    </row>
    <row r="1180" spans="1:5" x14ac:dyDescent="0.2">
      <c r="A1180" s="2" t="s">
        <v>2528</v>
      </c>
      <c r="B1180" s="2" t="s">
        <v>5001</v>
      </c>
      <c r="C1180" s="2" t="s">
        <v>4833</v>
      </c>
      <c r="D1180" s="2" t="s">
        <v>2524</v>
      </c>
      <c r="E1180" s="2" t="s">
        <v>34</v>
      </c>
    </row>
    <row r="1181" spans="1:5" x14ac:dyDescent="0.2">
      <c r="A1181" s="2" t="s">
        <v>1101</v>
      </c>
      <c r="B1181" s="2" t="s">
        <v>5001</v>
      </c>
      <c r="C1181" s="2" t="s">
        <v>4833</v>
      </c>
      <c r="D1181" s="2" t="s">
        <v>1096</v>
      </c>
      <c r="E1181" s="2" t="s">
        <v>34</v>
      </c>
    </row>
    <row r="1182" spans="1:5" x14ac:dyDescent="0.2">
      <c r="A1182" s="2" t="s">
        <v>4736</v>
      </c>
      <c r="B1182" s="2" t="s">
        <v>5001</v>
      </c>
      <c r="C1182" s="2" t="s">
        <v>4833</v>
      </c>
      <c r="D1182" s="2" t="s">
        <v>4732</v>
      </c>
      <c r="E1182" s="2" t="s">
        <v>34</v>
      </c>
    </row>
    <row r="1183" spans="1:5" x14ac:dyDescent="0.2">
      <c r="A1183" s="2" t="s">
        <v>3891</v>
      </c>
      <c r="B1183" s="2" t="s">
        <v>5001</v>
      </c>
      <c r="C1183" s="2" t="s">
        <v>4833</v>
      </c>
      <c r="D1183" s="2" t="s">
        <v>3888</v>
      </c>
      <c r="E1183" s="2" t="s">
        <v>34</v>
      </c>
    </row>
    <row r="1184" spans="1:5" x14ac:dyDescent="0.2">
      <c r="A1184" s="2" t="s">
        <v>5006</v>
      </c>
      <c r="B1184" s="2" t="s">
        <v>5001</v>
      </c>
      <c r="C1184" s="2" t="s">
        <v>4835</v>
      </c>
      <c r="D1184" s="2" t="s">
        <v>34</v>
      </c>
      <c r="E1184" s="2" t="s">
        <v>34</v>
      </c>
    </row>
    <row r="1185" spans="1:5" x14ac:dyDescent="0.2">
      <c r="A1185" s="2" t="s">
        <v>3129</v>
      </c>
      <c r="B1185" s="2" t="s">
        <v>5001</v>
      </c>
      <c r="C1185" s="2" t="s">
        <v>4833</v>
      </c>
      <c r="D1185" s="2" t="s">
        <v>3125</v>
      </c>
      <c r="E1185" s="2" t="s">
        <v>34</v>
      </c>
    </row>
    <row r="1186" spans="1:5" x14ac:dyDescent="0.2">
      <c r="A1186" s="2" t="s">
        <v>2729</v>
      </c>
      <c r="B1186" s="2" t="s">
        <v>5001</v>
      </c>
      <c r="C1186" s="2" t="s">
        <v>4833</v>
      </c>
      <c r="D1186" s="2" t="s">
        <v>2724</v>
      </c>
      <c r="E1186" s="2" t="s">
        <v>34</v>
      </c>
    </row>
    <row r="1187" spans="1:5" x14ac:dyDescent="0.2">
      <c r="A1187" s="2" t="s">
        <v>4303</v>
      </c>
      <c r="B1187" s="2" t="s">
        <v>5001</v>
      </c>
      <c r="C1187" s="2" t="s">
        <v>4833</v>
      </c>
      <c r="D1187" s="2" t="s">
        <v>4300</v>
      </c>
      <c r="E1187" s="2" t="s">
        <v>34</v>
      </c>
    </row>
    <row r="1188" spans="1:5" x14ac:dyDescent="0.2">
      <c r="A1188" s="2" t="s">
        <v>3942</v>
      </c>
      <c r="B1188" s="2" t="s">
        <v>5001</v>
      </c>
      <c r="C1188" s="2" t="s">
        <v>4833</v>
      </c>
      <c r="D1188" s="2" t="s">
        <v>3938</v>
      </c>
      <c r="E1188" s="2" t="s">
        <v>34</v>
      </c>
    </row>
    <row r="1189" spans="1:5" x14ac:dyDescent="0.2">
      <c r="A1189" s="2" t="s">
        <v>1077</v>
      </c>
      <c r="B1189" s="2" t="s">
        <v>5001</v>
      </c>
      <c r="C1189" s="2" t="s">
        <v>4833</v>
      </c>
      <c r="D1189" s="2" t="s">
        <v>1073</v>
      </c>
      <c r="E1189" s="2" t="s">
        <v>34</v>
      </c>
    </row>
    <row r="1190" spans="1:5" x14ac:dyDescent="0.2">
      <c r="A1190" s="2" t="s">
        <v>2429</v>
      </c>
      <c r="B1190" s="2" t="s">
        <v>5001</v>
      </c>
      <c r="C1190" s="2" t="s">
        <v>4833</v>
      </c>
      <c r="D1190" s="2" t="s">
        <v>2424</v>
      </c>
      <c r="E1190" s="2" t="s">
        <v>34</v>
      </c>
    </row>
    <row r="1191" spans="1:5" x14ac:dyDescent="0.2">
      <c r="A1191" s="2" t="s">
        <v>1367</v>
      </c>
      <c r="B1191" s="2" t="s">
        <v>5001</v>
      </c>
      <c r="C1191" s="2" t="s">
        <v>4833</v>
      </c>
      <c r="D1191" s="2" t="s">
        <v>1362</v>
      </c>
      <c r="E1191" s="2" t="s">
        <v>34</v>
      </c>
    </row>
    <row r="1192" spans="1:5" x14ac:dyDescent="0.2">
      <c r="A1192" s="2" t="s">
        <v>4667</v>
      </c>
      <c r="B1192" s="2" t="s">
        <v>5001</v>
      </c>
      <c r="C1192" s="2" t="s">
        <v>4833</v>
      </c>
      <c r="D1192" s="2" t="s">
        <v>4664</v>
      </c>
      <c r="E1192" s="2" t="s">
        <v>34</v>
      </c>
    </row>
    <row r="1193" spans="1:5" x14ac:dyDescent="0.2">
      <c r="A1193" s="2" t="s">
        <v>1500</v>
      </c>
      <c r="B1193" s="2" t="s">
        <v>5001</v>
      </c>
      <c r="C1193" s="2" t="s">
        <v>4833</v>
      </c>
      <c r="D1193" s="2" t="s">
        <v>1496</v>
      </c>
      <c r="E1193" s="2" t="s">
        <v>34</v>
      </c>
    </row>
    <row r="1194" spans="1:5" x14ac:dyDescent="0.2">
      <c r="A1194" s="2" t="s">
        <v>3868</v>
      </c>
      <c r="B1194" s="2" t="s">
        <v>5001</v>
      </c>
      <c r="C1194" s="2" t="s">
        <v>4833</v>
      </c>
      <c r="D1194" s="2" t="s">
        <v>3864</v>
      </c>
      <c r="E1194" s="2" t="s">
        <v>34</v>
      </c>
    </row>
    <row r="1195" spans="1:5" x14ac:dyDescent="0.2">
      <c r="A1195" s="2" t="s">
        <v>5007</v>
      </c>
      <c r="B1195" s="2" t="s">
        <v>5001</v>
      </c>
      <c r="C1195" s="2" t="s">
        <v>4835</v>
      </c>
      <c r="D1195" s="2" t="s">
        <v>34</v>
      </c>
      <c r="E1195" s="2" t="s">
        <v>34</v>
      </c>
    </row>
    <row r="1196" spans="1:5" x14ac:dyDescent="0.2">
      <c r="A1196" s="2" t="s">
        <v>4726</v>
      </c>
      <c r="B1196" s="2" t="s">
        <v>5001</v>
      </c>
      <c r="C1196" s="2" t="s">
        <v>4833</v>
      </c>
      <c r="D1196" s="2" t="s">
        <v>4723</v>
      </c>
      <c r="E1196" s="2" t="s">
        <v>34</v>
      </c>
    </row>
    <row r="1197" spans="1:5" x14ac:dyDescent="0.2">
      <c r="A1197" s="2" t="s">
        <v>5008</v>
      </c>
      <c r="B1197" s="2" t="s">
        <v>5001</v>
      </c>
      <c r="C1197" s="2" t="s">
        <v>4835</v>
      </c>
      <c r="D1197" s="2" t="s">
        <v>34</v>
      </c>
      <c r="E1197" s="2" t="s">
        <v>34</v>
      </c>
    </row>
    <row r="1198" spans="1:5" x14ac:dyDescent="0.2">
      <c r="A1198" s="2" t="s">
        <v>559</v>
      </c>
      <c r="B1198" s="2" t="s">
        <v>5001</v>
      </c>
      <c r="C1198" s="2" t="s">
        <v>4833</v>
      </c>
      <c r="D1198" s="2" t="s">
        <v>555</v>
      </c>
      <c r="E1198" s="2" t="s">
        <v>34</v>
      </c>
    </row>
    <row r="1199" spans="1:5" x14ac:dyDescent="0.2">
      <c r="A1199" s="2" t="s">
        <v>5009</v>
      </c>
      <c r="B1199" s="2" t="s">
        <v>5001</v>
      </c>
      <c r="C1199" s="2" t="s">
        <v>4835</v>
      </c>
      <c r="D1199" s="2" t="s">
        <v>34</v>
      </c>
      <c r="E1199" s="2" t="s">
        <v>34</v>
      </c>
    </row>
    <row r="1200" spans="1:5" x14ac:dyDescent="0.2">
      <c r="A1200" s="2" t="s">
        <v>908</v>
      </c>
      <c r="B1200" s="2" t="s">
        <v>5001</v>
      </c>
      <c r="C1200" s="2" t="s">
        <v>4833</v>
      </c>
      <c r="D1200" s="2" t="s">
        <v>903</v>
      </c>
      <c r="E1200" s="2" t="s">
        <v>34</v>
      </c>
    </row>
    <row r="1201" spans="1:5" x14ac:dyDescent="0.2">
      <c r="A1201" s="2" t="s">
        <v>3037</v>
      </c>
      <c r="B1201" s="2" t="s">
        <v>5001</v>
      </c>
      <c r="C1201" s="2" t="s">
        <v>4833</v>
      </c>
      <c r="D1201" s="2" t="s">
        <v>3034</v>
      </c>
      <c r="E1201" s="2" t="s">
        <v>34</v>
      </c>
    </row>
    <row r="1202" spans="1:5" x14ac:dyDescent="0.2">
      <c r="A1202" s="2" t="s">
        <v>4605</v>
      </c>
      <c r="B1202" s="2" t="s">
        <v>5001</v>
      </c>
      <c r="C1202" s="2" t="s">
        <v>4833</v>
      </c>
      <c r="D1202" s="2" t="s">
        <v>4601</v>
      </c>
      <c r="E1202" s="2" t="s">
        <v>34</v>
      </c>
    </row>
    <row r="1203" spans="1:5" x14ac:dyDescent="0.2">
      <c r="A1203" s="2" t="s">
        <v>4645</v>
      </c>
      <c r="B1203" s="2" t="s">
        <v>5001</v>
      </c>
      <c r="C1203" s="2" t="s">
        <v>4833</v>
      </c>
      <c r="D1203" s="2" t="s">
        <v>4642</v>
      </c>
      <c r="E1203" s="2" t="s">
        <v>34</v>
      </c>
    </row>
    <row r="1204" spans="1:5" x14ac:dyDescent="0.2">
      <c r="A1204" s="2" t="s">
        <v>2567</v>
      </c>
      <c r="B1204" s="2" t="s">
        <v>5001</v>
      </c>
      <c r="C1204" s="2" t="s">
        <v>4833</v>
      </c>
      <c r="D1204" s="2" t="s">
        <v>2564</v>
      </c>
      <c r="E1204" s="2" t="s">
        <v>34</v>
      </c>
    </row>
    <row r="1205" spans="1:5" x14ac:dyDescent="0.2">
      <c r="A1205" s="2" t="s">
        <v>2965</v>
      </c>
      <c r="B1205" s="2" t="s">
        <v>5001</v>
      </c>
      <c r="C1205" s="2" t="s">
        <v>4833</v>
      </c>
      <c r="D1205" s="2" t="s">
        <v>2962</v>
      </c>
      <c r="E1205" s="2" t="s">
        <v>34</v>
      </c>
    </row>
    <row r="1206" spans="1:5" x14ac:dyDescent="0.2">
      <c r="A1206" s="2" t="s">
        <v>4800</v>
      </c>
      <c r="B1206" s="2" t="s">
        <v>5001</v>
      </c>
      <c r="C1206" s="2" t="s">
        <v>4833</v>
      </c>
      <c r="D1206" s="2" t="s">
        <v>4795</v>
      </c>
      <c r="E1206" s="2" t="s">
        <v>34</v>
      </c>
    </row>
    <row r="1207" spans="1:5" x14ac:dyDescent="0.2">
      <c r="A1207" s="2" t="s">
        <v>4793</v>
      </c>
      <c r="B1207" s="2" t="s">
        <v>5001</v>
      </c>
      <c r="C1207" s="2" t="s">
        <v>4833</v>
      </c>
      <c r="D1207" s="2" t="s">
        <v>4790</v>
      </c>
      <c r="E1207" s="2" t="s">
        <v>34</v>
      </c>
    </row>
    <row r="1208" spans="1:5" x14ac:dyDescent="0.2">
      <c r="A1208" s="2" t="s">
        <v>5010</v>
      </c>
      <c r="B1208" s="2" t="s">
        <v>5001</v>
      </c>
      <c r="C1208" s="2" t="s">
        <v>4837</v>
      </c>
      <c r="D1208" s="2" t="s">
        <v>34</v>
      </c>
      <c r="E1208" s="2" t="s">
        <v>34</v>
      </c>
    </row>
    <row r="1209" spans="1:5" x14ac:dyDescent="0.2">
      <c r="A1209" s="2" t="s">
        <v>3033</v>
      </c>
      <c r="B1209" s="2" t="s">
        <v>5001</v>
      </c>
      <c r="C1209" s="2" t="s">
        <v>4833</v>
      </c>
      <c r="D1209" s="2" t="s">
        <v>3028</v>
      </c>
      <c r="E1209" s="2" t="s">
        <v>34</v>
      </c>
    </row>
    <row r="1210" spans="1:5" x14ac:dyDescent="0.2">
      <c r="A1210" s="2" t="s">
        <v>1233</v>
      </c>
      <c r="B1210" s="2" t="s">
        <v>5001</v>
      </c>
      <c r="C1210" s="2" t="s">
        <v>4833</v>
      </c>
      <c r="D1210" s="2" t="s">
        <v>1230</v>
      </c>
      <c r="E1210" s="2" t="s">
        <v>34</v>
      </c>
    </row>
    <row r="1211" spans="1:5" x14ac:dyDescent="0.2">
      <c r="A1211" s="2" t="s">
        <v>5011</v>
      </c>
      <c r="B1211" s="2" t="s">
        <v>5001</v>
      </c>
      <c r="C1211" s="2" t="s">
        <v>4837</v>
      </c>
      <c r="D1211" s="2" t="s">
        <v>34</v>
      </c>
      <c r="E1211" s="2" t="s">
        <v>34</v>
      </c>
    </row>
    <row r="1212" spans="1:5" x14ac:dyDescent="0.2">
      <c r="A1212" s="2" t="s">
        <v>4767</v>
      </c>
      <c r="B1212" s="2" t="s">
        <v>5001</v>
      </c>
      <c r="C1212" s="2" t="s">
        <v>4833</v>
      </c>
      <c r="D1212" s="2" t="s">
        <v>4763</v>
      </c>
      <c r="E1212" s="2" t="s">
        <v>34</v>
      </c>
    </row>
    <row r="1213" spans="1:5" x14ac:dyDescent="0.2">
      <c r="A1213" s="2" t="s">
        <v>2403</v>
      </c>
      <c r="B1213" s="2" t="s">
        <v>5001</v>
      </c>
      <c r="C1213" s="2" t="s">
        <v>4833</v>
      </c>
      <c r="D1213" s="2" t="s">
        <v>2398</v>
      </c>
      <c r="E1213" s="2" t="s">
        <v>34</v>
      </c>
    </row>
    <row r="1214" spans="1:5" x14ac:dyDescent="0.2">
      <c r="A1214" s="2" t="s">
        <v>2339</v>
      </c>
      <c r="B1214" s="2" t="s">
        <v>5001</v>
      </c>
      <c r="C1214" s="2" t="s">
        <v>4833</v>
      </c>
      <c r="D1214" s="2" t="s">
        <v>2335</v>
      </c>
      <c r="E1214" s="2" t="s">
        <v>34</v>
      </c>
    </row>
    <row r="1215" spans="1:5" x14ac:dyDescent="0.2">
      <c r="A1215" s="2" t="s">
        <v>2178</v>
      </c>
      <c r="B1215" s="2" t="s">
        <v>5001</v>
      </c>
      <c r="C1215" s="2" t="s">
        <v>4833</v>
      </c>
      <c r="D1215" s="2" t="s">
        <v>2175</v>
      </c>
      <c r="E1215" s="2" t="s">
        <v>34</v>
      </c>
    </row>
    <row r="1216" spans="1:5" x14ac:dyDescent="0.2">
      <c r="A1216" s="2" t="s">
        <v>4120</v>
      </c>
      <c r="B1216" s="2" t="s">
        <v>5001</v>
      </c>
      <c r="C1216" s="2" t="s">
        <v>4833</v>
      </c>
      <c r="D1216" s="2" t="s">
        <v>4115</v>
      </c>
      <c r="E1216" s="2" t="s">
        <v>34</v>
      </c>
    </row>
    <row r="1217" spans="1:5" x14ac:dyDescent="0.2">
      <c r="A1217" s="2" t="s">
        <v>2728</v>
      </c>
      <c r="B1217" s="2" t="s">
        <v>5001</v>
      </c>
      <c r="C1217" s="2" t="s">
        <v>4833</v>
      </c>
      <c r="D1217" s="2" t="s">
        <v>2724</v>
      </c>
      <c r="E1217" s="2" t="s">
        <v>34</v>
      </c>
    </row>
    <row r="1218" spans="1:5" x14ac:dyDescent="0.2">
      <c r="A1218" s="2" t="s">
        <v>428</v>
      </c>
      <c r="B1218" s="2" t="s">
        <v>5001</v>
      </c>
      <c r="C1218" s="2" t="s">
        <v>4833</v>
      </c>
      <c r="D1218" s="2" t="s">
        <v>423</v>
      </c>
      <c r="E1218" s="2" t="s">
        <v>34</v>
      </c>
    </row>
    <row r="1219" spans="1:5" x14ac:dyDescent="0.2">
      <c r="A1219" s="2" t="s">
        <v>1088</v>
      </c>
      <c r="B1219" s="2" t="s">
        <v>5001</v>
      </c>
      <c r="C1219" s="2" t="s">
        <v>4833</v>
      </c>
      <c r="D1219" s="2" t="s">
        <v>1084</v>
      </c>
      <c r="E1219" s="2" t="s">
        <v>34</v>
      </c>
    </row>
    <row r="1220" spans="1:5" x14ac:dyDescent="0.2">
      <c r="A1220" s="2" t="s">
        <v>2875</v>
      </c>
      <c r="B1220" s="2" t="s">
        <v>5001</v>
      </c>
      <c r="C1220" s="2" t="s">
        <v>4833</v>
      </c>
      <c r="D1220" s="2" t="s">
        <v>2870</v>
      </c>
      <c r="E1220" s="2" t="s">
        <v>34</v>
      </c>
    </row>
    <row r="1221" spans="1:5" x14ac:dyDescent="0.2">
      <c r="A1221" s="2" t="s">
        <v>408</v>
      </c>
      <c r="B1221" s="2" t="s">
        <v>5001</v>
      </c>
      <c r="C1221" s="2" t="s">
        <v>4833</v>
      </c>
      <c r="D1221" s="2" t="s">
        <v>404</v>
      </c>
      <c r="E1221" s="2" t="s">
        <v>34</v>
      </c>
    </row>
    <row r="1222" spans="1:5" x14ac:dyDescent="0.2">
      <c r="A1222" s="2" t="s">
        <v>5012</v>
      </c>
      <c r="B1222" s="2" t="s">
        <v>5001</v>
      </c>
      <c r="C1222" s="2" t="s">
        <v>4835</v>
      </c>
      <c r="D1222" s="2" t="s">
        <v>34</v>
      </c>
      <c r="E1222" s="2" t="s">
        <v>34</v>
      </c>
    </row>
    <row r="1223" spans="1:5" x14ac:dyDescent="0.2">
      <c r="A1223" s="2" t="s">
        <v>5013</v>
      </c>
      <c r="B1223" s="2" t="s">
        <v>5001</v>
      </c>
      <c r="C1223" s="2" t="s">
        <v>4835</v>
      </c>
      <c r="D1223" s="2" t="s">
        <v>34</v>
      </c>
      <c r="E1223" s="2" t="s">
        <v>34</v>
      </c>
    </row>
    <row r="1224" spans="1:5" x14ac:dyDescent="0.2">
      <c r="A1224" s="2" t="s">
        <v>2591</v>
      </c>
      <c r="B1224" s="2" t="s">
        <v>5001</v>
      </c>
      <c r="C1224" s="2" t="s">
        <v>4833</v>
      </c>
      <c r="D1224" s="2" t="s">
        <v>2586</v>
      </c>
      <c r="E1224" s="2" t="s">
        <v>34</v>
      </c>
    </row>
    <row r="1225" spans="1:5" x14ac:dyDescent="0.2">
      <c r="A1225" s="2" t="s">
        <v>110</v>
      </c>
      <c r="B1225" s="2" t="s">
        <v>5001</v>
      </c>
      <c r="C1225" s="2" t="s">
        <v>4833</v>
      </c>
      <c r="D1225" s="2" t="s">
        <v>105</v>
      </c>
      <c r="E1225" s="2" t="s">
        <v>34</v>
      </c>
    </row>
    <row r="1226" spans="1:5" x14ac:dyDescent="0.2">
      <c r="A1226" s="2" t="s">
        <v>3440</v>
      </c>
      <c r="B1226" s="2" t="s">
        <v>5001</v>
      </c>
      <c r="C1226" s="2" t="s">
        <v>4833</v>
      </c>
      <c r="D1226" s="2" t="s">
        <v>3437</v>
      </c>
      <c r="E1226" s="2" t="s">
        <v>34</v>
      </c>
    </row>
    <row r="1227" spans="1:5" x14ac:dyDescent="0.2">
      <c r="A1227" s="2" t="s">
        <v>4375</v>
      </c>
      <c r="B1227" s="2" t="s">
        <v>5001</v>
      </c>
      <c r="C1227" s="2" t="s">
        <v>4833</v>
      </c>
      <c r="D1227" s="2" t="s">
        <v>4372</v>
      </c>
      <c r="E1227" s="2" t="s">
        <v>34</v>
      </c>
    </row>
    <row r="1228" spans="1:5" x14ac:dyDescent="0.2">
      <c r="A1228" s="2" t="s">
        <v>5014</v>
      </c>
      <c r="B1228" s="2" t="s">
        <v>5001</v>
      </c>
      <c r="C1228" s="2" t="s">
        <v>4835</v>
      </c>
      <c r="D1228" s="2" t="s">
        <v>34</v>
      </c>
      <c r="E1228" s="2" t="s">
        <v>34</v>
      </c>
    </row>
    <row r="1229" spans="1:5" x14ac:dyDescent="0.2">
      <c r="A1229" s="2" t="s">
        <v>1932</v>
      </c>
      <c r="B1229" s="2" t="s">
        <v>5001</v>
      </c>
      <c r="C1229" s="2" t="s">
        <v>4833</v>
      </c>
      <c r="D1229" s="2" t="s">
        <v>1927</v>
      </c>
      <c r="E1229" s="2" t="s">
        <v>34</v>
      </c>
    </row>
    <row r="1230" spans="1:5" x14ac:dyDescent="0.2">
      <c r="A1230" s="2" t="s">
        <v>3869</v>
      </c>
      <c r="B1230" s="2" t="s">
        <v>5001</v>
      </c>
      <c r="C1230" s="2" t="s">
        <v>4833</v>
      </c>
      <c r="D1230" s="2" t="s">
        <v>3864</v>
      </c>
      <c r="E1230" s="2" t="s">
        <v>34</v>
      </c>
    </row>
    <row r="1231" spans="1:5" x14ac:dyDescent="0.2">
      <c r="A1231" s="2" t="s">
        <v>2098</v>
      </c>
      <c r="B1231" s="2" t="s">
        <v>5001</v>
      </c>
      <c r="C1231" s="2" t="s">
        <v>4833</v>
      </c>
      <c r="D1231" s="2" t="s">
        <v>2093</v>
      </c>
      <c r="E1231" s="2" t="s">
        <v>34</v>
      </c>
    </row>
    <row r="1232" spans="1:5" x14ac:dyDescent="0.2">
      <c r="A1232" s="2" t="s">
        <v>4748</v>
      </c>
      <c r="B1232" s="2" t="s">
        <v>5001</v>
      </c>
      <c r="C1232" s="2" t="s">
        <v>4833</v>
      </c>
      <c r="D1232" s="2" t="s">
        <v>4745</v>
      </c>
      <c r="E1232" s="2" t="s">
        <v>34</v>
      </c>
    </row>
    <row r="1233" spans="1:5" x14ac:dyDescent="0.2">
      <c r="A1233" s="2" t="s">
        <v>5015</v>
      </c>
      <c r="B1233" s="2" t="s">
        <v>5001</v>
      </c>
      <c r="C1233" s="2" t="s">
        <v>4835</v>
      </c>
      <c r="D1233" s="2" t="s">
        <v>34</v>
      </c>
      <c r="E1233" s="2" t="s">
        <v>34</v>
      </c>
    </row>
    <row r="1234" spans="1:5" x14ac:dyDescent="0.2">
      <c r="A1234" s="2" t="s">
        <v>5016</v>
      </c>
      <c r="B1234" s="2" t="s">
        <v>5001</v>
      </c>
      <c r="C1234" s="2" t="s">
        <v>4835</v>
      </c>
      <c r="D1234" s="2" t="s">
        <v>34</v>
      </c>
      <c r="E1234" s="2" t="s">
        <v>34</v>
      </c>
    </row>
    <row r="1235" spans="1:5" x14ac:dyDescent="0.2">
      <c r="A1235" s="2" t="s">
        <v>2221</v>
      </c>
      <c r="B1235" s="2" t="s">
        <v>5001</v>
      </c>
      <c r="C1235" s="2" t="s">
        <v>4833</v>
      </c>
      <c r="D1235" s="2" t="s">
        <v>2217</v>
      </c>
      <c r="E1235" s="2" t="s">
        <v>34</v>
      </c>
    </row>
    <row r="1236" spans="1:5" x14ac:dyDescent="0.2">
      <c r="A1236" s="2" t="s">
        <v>747</v>
      </c>
      <c r="B1236" s="2" t="s">
        <v>5001</v>
      </c>
      <c r="C1236" s="2" t="s">
        <v>4833</v>
      </c>
      <c r="D1236" s="2" t="s">
        <v>742</v>
      </c>
      <c r="E1236" s="2" t="s">
        <v>34</v>
      </c>
    </row>
    <row r="1237" spans="1:5" x14ac:dyDescent="0.2">
      <c r="A1237" s="2" t="s">
        <v>3873</v>
      </c>
      <c r="B1237" s="2" t="s">
        <v>5001</v>
      </c>
      <c r="C1237" s="2" t="s">
        <v>4833</v>
      </c>
      <c r="D1237" s="2" t="s">
        <v>3870</v>
      </c>
      <c r="E1237" s="2" t="s">
        <v>34</v>
      </c>
    </row>
    <row r="1238" spans="1:5" x14ac:dyDescent="0.2">
      <c r="A1238" s="2" t="s">
        <v>5017</v>
      </c>
      <c r="B1238" s="2" t="s">
        <v>5001</v>
      </c>
      <c r="C1238" s="2" t="s">
        <v>4835</v>
      </c>
      <c r="D1238" s="2" t="s">
        <v>34</v>
      </c>
      <c r="E1238" s="2" t="s">
        <v>34</v>
      </c>
    </row>
    <row r="1239" spans="1:5" x14ac:dyDescent="0.2">
      <c r="A1239" s="2" t="s">
        <v>2613</v>
      </c>
      <c r="B1239" s="2" t="s">
        <v>5001</v>
      </c>
      <c r="C1239" s="2" t="s">
        <v>4833</v>
      </c>
      <c r="D1239" s="2" t="s">
        <v>2609</v>
      </c>
      <c r="E1239" s="2" t="s">
        <v>34</v>
      </c>
    </row>
    <row r="1240" spans="1:5" x14ac:dyDescent="0.2">
      <c r="A1240" s="2" t="s">
        <v>2892</v>
      </c>
      <c r="B1240" s="2" t="s">
        <v>5001</v>
      </c>
      <c r="C1240" s="2" t="s">
        <v>4833</v>
      </c>
      <c r="D1240" s="2" t="s">
        <v>2887</v>
      </c>
      <c r="E1240" s="2" t="s">
        <v>34</v>
      </c>
    </row>
    <row r="1241" spans="1:5" x14ac:dyDescent="0.2">
      <c r="A1241" s="2" t="s">
        <v>2491</v>
      </c>
      <c r="B1241" s="2" t="s">
        <v>5001</v>
      </c>
      <c r="C1241" s="2" t="s">
        <v>4833</v>
      </c>
      <c r="D1241" s="2" t="s">
        <v>2488</v>
      </c>
      <c r="E1241" s="2" t="s">
        <v>34</v>
      </c>
    </row>
    <row r="1242" spans="1:5" x14ac:dyDescent="0.2">
      <c r="A1242" s="2" t="s">
        <v>251</v>
      </c>
      <c r="B1242" s="2" t="s">
        <v>5001</v>
      </c>
      <c r="C1242" s="2" t="s">
        <v>4833</v>
      </c>
      <c r="D1242" s="2" t="s">
        <v>246</v>
      </c>
      <c r="E1242" s="2" t="s">
        <v>34</v>
      </c>
    </row>
    <row r="1243" spans="1:5" x14ac:dyDescent="0.2">
      <c r="A1243" s="2" t="s">
        <v>3280</v>
      </c>
      <c r="B1243" s="2" t="s">
        <v>5001</v>
      </c>
      <c r="C1243" s="2" t="s">
        <v>4833</v>
      </c>
      <c r="D1243" s="2" t="s">
        <v>3276</v>
      </c>
      <c r="E1243" s="2" t="s">
        <v>34</v>
      </c>
    </row>
    <row r="1244" spans="1:5" x14ac:dyDescent="0.2">
      <c r="A1244" s="2" t="s">
        <v>3880</v>
      </c>
      <c r="B1244" s="2" t="s">
        <v>5001</v>
      </c>
      <c r="C1244" s="2" t="s">
        <v>4833</v>
      </c>
      <c r="D1244" s="2" t="s">
        <v>3875</v>
      </c>
      <c r="E1244" s="2" t="s">
        <v>34</v>
      </c>
    </row>
    <row r="1245" spans="1:5" x14ac:dyDescent="0.2">
      <c r="A1245" s="2" t="s">
        <v>860</v>
      </c>
      <c r="B1245" s="2" t="s">
        <v>5001</v>
      </c>
      <c r="C1245" s="2" t="s">
        <v>4833</v>
      </c>
      <c r="D1245" s="2" t="s">
        <v>855</v>
      </c>
      <c r="E1245" s="2" t="s">
        <v>34</v>
      </c>
    </row>
    <row r="1246" spans="1:5" x14ac:dyDescent="0.2">
      <c r="A1246" s="2" t="s">
        <v>1724</v>
      </c>
      <c r="B1246" s="2" t="s">
        <v>5001</v>
      </c>
      <c r="C1246" s="2" t="s">
        <v>4833</v>
      </c>
      <c r="D1246" s="2" t="s">
        <v>1721</v>
      </c>
      <c r="E1246" s="2" t="s">
        <v>34</v>
      </c>
    </row>
    <row r="1247" spans="1:5" x14ac:dyDescent="0.2">
      <c r="A1247" s="2" t="s">
        <v>303</v>
      </c>
      <c r="B1247" s="2" t="s">
        <v>5001</v>
      </c>
      <c r="C1247" s="2" t="s">
        <v>4833</v>
      </c>
      <c r="D1247" s="2" t="s">
        <v>298</v>
      </c>
      <c r="E1247" s="2" t="s">
        <v>34</v>
      </c>
    </row>
    <row r="1248" spans="1:5" x14ac:dyDescent="0.2">
      <c r="A1248" s="2" t="s">
        <v>238</v>
      </c>
      <c r="B1248" s="2" t="s">
        <v>5001</v>
      </c>
      <c r="C1248" s="2" t="s">
        <v>4833</v>
      </c>
      <c r="D1248" s="2" t="s">
        <v>232</v>
      </c>
      <c r="E1248" s="2" t="s">
        <v>34</v>
      </c>
    </row>
    <row r="1249" spans="1:5" x14ac:dyDescent="0.2">
      <c r="A1249" s="2" t="s">
        <v>5018</v>
      </c>
      <c r="B1249" s="2" t="s">
        <v>5001</v>
      </c>
      <c r="C1249" s="2" t="s">
        <v>4837</v>
      </c>
      <c r="D1249" s="2" t="s">
        <v>34</v>
      </c>
      <c r="E1249" s="2" t="s">
        <v>34</v>
      </c>
    </row>
    <row r="1250" spans="1:5" x14ac:dyDescent="0.2">
      <c r="A1250" s="2" t="s">
        <v>2345</v>
      </c>
      <c r="B1250" s="2" t="s">
        <v>5001</v>
      </c>
      <c r="C1250" s="2" t="s">
        <v>4833</v>
      </c>
      <c r="D1250" s="2" t="s">
        <v>2341</v>
      </c>
      <c r="E1250" s="2" t="s">
        <v>34</v>
      </c>
    </row>
    <row r="1251" spans="1:5" x14ac:dyDescent="0.2">
      <c r="A1251" s="2" t="s">
        <v>1688</v>
      </c>
      <c r="B1251" s="2" t="s">
        <v>5001</v>
      </c>
      <c r="C1251" s="2" t="s">
        <v>4833</v>
      </c>
      <c r="D1251" s="2" t="s">
        <v>1684</v>
      </c>
      <c r="E1251" s="2" t="s">
        <v>34</v>
      </c>
    </row>
    <row r="1252" spans="1:5" x14ac:dyDescent="0.2">
      <c r="A1252" s="2" t="s">
        <v>2092</v>
      </c>
      <c r="B1252" s="2" t="s">
        <v>5001</v>
      </c>
      <c r="C1252" s="2" t="s">
        <v>4833</v>
      </c>
      <c r="D1252" s="2" t="s">
        <v>2088</v>
      </c>
      <c r="E1252" s="2" t="s">
        <v>34</v>
      </c>
    </row>
    <row r="1253" spans="1:5" x14ac:dyDescent="0.2">
      <c r="A1253" s="2" t="s">
        <v>4265</v>
      </c>
      <c r="B1253" s="2" t="s">
        <v>5001</v>
      </c>
      <c r="C1253" s="2" t="s">
        <v>4833</v>
      </c>
      <c r="D1253" s="2" t="s">
        <v>4261</v>
      </c>
      <c r="E1253" s="2" t="s">
        <v>34</v>
      </c>
    </row>
    <row r="1254" spans="1:5" x14ac:dyDescent="0.2">
      <c r="A1254" s="2" t="s">
        <v>4142</v>
      </c>
      <c r="B1254" s="2" t="s">
        <v>5001</v>
      </c>
      <c r="C1254" s="2" t="s">
        <v>4833</v>
      </c>
      <c r="D1254" s="2" t="s">
        <v>4138</v>
      </c>
      <c r="E1254" s="2" t="s">
        <v>34</v>
      </c>
    </row>
    <row r="1255" spans="1:5" x14ac:dyDescent="0.2">
      <c r="A1255" s="2" t="s">
        <v>4314</v>
      </c>
      <c r="B1255" s="2" t="s">
        <v>5001</v>
      </c>
      <c r="C1255" s="2" t="s">
        <v>4833</v>
      </c>
      <c r="D1255" s="2" t="s">
        <v>4311</v>
      </c>
      <c r="E1255" s="2" t="s">
        <v>34</v>
      </c>
    </row>
    <row r="1256" spans="1:5" x14ac:dyDescent="0.2">
      <c r="A1256" s="2" t="s">
        <v>696</v>
      </c>
      <c r="B1256" s="2" t="s">
        <v>5001</v>
      </c>
      <c r="C1256" s="2" t="s">
        <v>4833</v>
      </c>
      <c r="D1256" s="2" t="s">
        <v>693</v>
      </c>
      <c r="E1256" s="2" t="s">
        <v>34</v>
      </c>
    </row>
    <row r="1257" spans="1:5" x14ac:dyDescent="0.2">
      <c r="A1257" s="2" t="s">
        <v>35</v>
      </c>
      <c r="B1257" s="2" t="s">
        <v>5001</v>
      </c>
      <c r="C1257" s="2" t="s">
        <v>4833</v>
      </c>
      <c r="D1257" s="2" t="s">
        <v>28</v>
      </c>
      <c r="E1257" s="2" t="s">
        <v>34</v>
      </c>
    </row>
    <row r="1258" spans="1:5" x14ac:dyDescent="0.2">
      <c r="A1258" s="2" t="s">
        <v>3936</v>
      </c>
      <c r="B1258" s="2" t="s">
        <v>5001</v>
      </c>
      <c r="C1258" s="2" t="s">
        <v>4833</v>
      </c>
      <c r="D1258" s="2" t="s">
        <v>3931</v>
      </c>
      <c r="E1258" s="2" t="s">
        <v>34</v>
      </c>
    </row>
    <row r="1259" spans="1:5" x14ac:dyDescent="0.2">
      <c r="A1259" s="2" t="s">
        <v>2471</v>
      </c>
      <c r="B1259" s="2" t="s">
        <v>5001</v>
      </c>
      <c r="C1259" s="2" t="s">
        <v>4833</v>
      </c>
      <c r="D1259" s="2" t="s">
        <v>2467</v>
      </c>
      <c r="E1259" s="2" t="s">
        <v>34</v>
      </c>
    </row>
    <row r="1260" spans="1:5" x14ac:dyDescent="0.2">
      <c r="A1260" s="2" t="s">
        <v>5019</v>
      </c>
      <c r="B1260" s="2" t="s">
        <v>5001</v>
      </c>
      <c r="C1260" s="2" t="s">
        <v>4835</v>
      </c>
      <c r="D1260" s="2" t="s">
        <v>34</v>
      </c>
      <c r="E1260" s="2" t="s">
        <v>34</v>
      </c>
    </row>
    <row r="1261" spans="1:5" x14ac:dyDescent="0.2">
      <c r="A1261" s="2" t="s">
        <v>4279</v>
      </c>
      <c r="B1261" s="2" t="s">
        <v>5001</v>
      </c>
      <c r="C1261" s="2" t="s">
        <v>4833</v>
      </c>
      <c r="D1261" s="2" t="s">
        <v>4276</v>
      </c>
      <c r="E1261" s="2" t="s">
        <v>34</v>
      </c>
    </row>
    <row r="1262" spans="1:5" x14ac:dyDescent="0.2">
      <c r="A1262" s="2" t="s">
        <v>2035</v>
      </c>
      <c r="B1262" s="2" t="s">
        <v>5001</v>
      </c>
      <c r="C1262" s="2" t="s">
        <v>4833</v>
      </c>
      <c r="D1262" s="2" t="s">
        <v>2030</v>
      </c>
      <c r="E1262" s="2" t="s">
        <v>34</v>
      </c>
    </row>
    <row r="1263" spans="1:5" x14ac:dyDescent="0.2">
      <c r="A1263" s="2" t="s">
        <v>2533</v>
      </c>
      <c r="B1263" s="2" t="s">
        <v>5001</v>
      </c>
      <c r="C1263" s="2" t="s">
        <v>4833</v>
      </c>
      <c r="D1263" s="2" t="s">
        <v>2530</v>
      </c>
      <c r="E1263" s="2" t="s">
        <v>34</v>
      </c>
    </row>
    <row r="1264" spans="1:5" x14ac:dyDescent="0.2">
      <c r="A1264" s="2" t="s">
        <v>434</v>
      </c>
      <c r="B1264" s="2" t="s">
        <v>5001</v>
      </c>
      <c r="C1264" s="2" t="s">
        <v>4833</v>
      </c>
      <c r="D1264" s="2" t="s">
        <v>429</v>
      </c>
      <c r="E1264" s="2" t="s">
        <v>34</v>
      </c>
    </row>
    <row r="1265" spans="1:5" x14ac:dyDescent="0.2">
      <c r="A1265" s="2" t="s">
        <v>4026</v>
      </c>
      <c r="B1265" s="2" t="s">
        <v>5001</v>
      </c>
      <c r="C1265" s="2" t="s">
        <v>4833</v>
      </c>
      <c r="D1265" s="2" t="s">
        <v>4023</v>
      </c>
      <c r="E1265" s="2" t="s">
        <v>34</v>
      </c>
    </row>
    <row r="1266" spans="1:5" x14ac:dyDescent="0.2">
      <c r="A1266" s="2" t="s">
        <v>3800</v>
      </c>
      <c r="B1266" s="2" t="s">
        <v>5001</v>
      </c>
      <c r="C1266" s="2" t="s">
        <v>4833</v>
      </c>
      <c r="D1266" s="2" t="s">
        <v>3797</v>
      </c>
      <c r="E1266" s="2" t="s">
        <v>34</v>
      </c>
    </row>
    <row r="1267" spans="1:5" x14ac:dyDescent="0.2">
      <c r="A1267" s="2" t="s">
        <v>329</v>
      </c>
      <c r="B1267" s="2" t="s">
        <v>5001</v>
      </c>
      <c r="C1267" s="2" t="s">
        <v>4833</v>
      </c>
      <c r="D1267" s="2" t="s">
        <v>324</v>
      </c>
      <c r="E1267" s="2" t="s">
        <v>34</v>
      </c>
    </row>
    <row r="1268" spans="1:5" x14ac:dyDescent="0.2">
      <c r="A1268" s="2" t="s">
        <v>5020</v>
      </c>
      <c r="B1268" s="2" t="s">
        <v>5001</v>
      </c>
      <c r="C1268" s="2" t="s">
        <v>4835</v>
      </c>
      <c r="D1268" s="2" t="s">
        <v>34</v>
      </c>
      <c r="E1268" s="2" t="s">
        <v>34</v>
      </c>
    </row>
    <row r="1269" spans="1:5" x14ac:dyDescent="0.2">
      <c r="A1269" s="2" t="s">
        <v>5021</v>
      </c>
      <c r="B1269" s="2" t="s">
        <v>5001</v>
      </c>
      <c r="C1269" s="2" t="s">
        <v>4835</v>
      </c>
      <c r="D1269" s="2" t="s">
        <v>34</v>
      </c>
      <c r="E1269" s="2" t="s">
        <v>34</v>
      </c>
    </row>
    <row r="1270" spans="1:5" x14ac:dyDescent="0.2">
      <c r="A1270" s="2" t="s">
        <v>1119</v>
      </c>
      <c r="B1270" s="2" t="s">
        <v>5001</v>
      </c>
      <c r="C1270" s="2" t="s">
        <v>4833</v>
      </c>
      <c r="D1270" s="2" t="s">
        <v>1115</v>
      </c>
      <c r="E1270" s="2" t="s">
        <v>34</v>
      </c>
    </row>
    <row r="1271" spans="1:5" x14ac:dyDescent="0.2">
      <c r="A1271" s="2" t="s">
        <v>1783</v>
      </c>
      <c r="B1271" s="2" t="s">
        <v>5001</v>
      </c>
      <c r="C1271" s="2" t="s">
        <v>4833</v>
      </c>
      <c r="D1271" s="2" t="s">
        <v>1778</v>
      </c>
      <c r="E1271" s="2" t="s">
        <v>34</v>
      </c>
    </row>
    <row r="1272" spans="1:5" x14ac:dyDescent="0.2">
      <c r="A1272" s="2" t="s">
        <v>264</v>
      </c>
      <c r="B1272" s="2" t="s">
        <v>5001</v>
      </c>
      <c r="C1272" s="2" t="s">
        <v>4833</v>
      </c>
      <c r="D1272" s="2" t="s">
        <v>259</v>
      </c>
      <c r="E1272" s="2" t="s">
        <v>34</v>
      </c>
    </row>
    <row r="1273" spans="1:5" x14ac:dyDescent="0.2">
      <c r="A1273" s="2" t="s">
        <v>3186</v>
      </c>
      <c r="B1273" s="2" t="s">
        <v>5001</v>
      </c>
      <c r="C1273" s="2" t="s">
        <v>4833</v>
      </c>
      <c r="D1273" s="2" t="s">
        <v>3181</v>
      </c>
      <c r="E1273" s="2" t="s">
        <v>34</v>
      </c>
    </row>
    <row r="1274" spans="1:5" x14ac:dyDescent="0.2">
      <c r="A1274" s="2" t="s">
        <v>141</v>
      </c>
      <c r="B1274" s="2" t="s">
        <v>5001</v>
      </c>
      <c r="C1274" s="2" t="s">
        <v>4833</v>
      </c>
      <c r="D1274" s="2" t="s">
        <v>136</v>
      </c>
      <c r="E1274" s="2" t="s">
        <v>34</v>
      </c>
    </row>
    <row r="1275" spans="1:5" x14ac:dyDescent="0.2">
      <c r="A1275" s="2" t="s">
        <v>4376</v>
      </c>
      <c r="B1275" s="2" t="s">
        <v>5001</v>
      </c>
      <c r="C1275" s="2" t="s">
        <v>4833</v>
      </c>
      <c r="D1275" s="2" t="s">
        <v>4372</v>
      </c>
      <c r="E1275" s="2" t="s">
        <v>34</v>
      </c>
    </row>
    <row r="1276" spans="1:5" x14ac:dyDescent="0.2">
      <c r="A1276" s="2" t="s">
        <v>1329</v>
      </c>
      <c r="B1276" s="2" t="s">
        <v>5001</v>
      </c>
      <c r="C1276" s="2" t="s">
        <v>4833</v>
      </c>
      <c r="D1276" s="2" t="s">
        <v>1325</v>
      </c>
      <c r="E1276" s="2" t="s">
        <v>34</v>
      </c>
    </row>
    <row r="1277" spans="1:5" x14ac:dyDescent="0.2">
      <c r="A1277" s="2" t="s">
        <v>840</v>
      </c>
      <c r="B1277" s="2" t="s">
        <v>5001</v>
      </c>
      <c r="C1277" s="2" t="s">
        <v>4833</v>
      </c>
      <c r="D1277" s="2" t="s">
        <v>836</v>
      </c>
      <c r="E1277" s="2" t="s">
        <v>34</v>
      </c>
    </row>
    <row r="1278" spans="1:5" x14ac:dyDescent="0.2">
      <c r="A1278" s="2" t="s">
        <v>4101</v>
      </c>
      <c r="B1278" s="2" t="s">
        <v>5001</v>
      </c>
      <c r="C1278" s="2" t="s">
        <v>4833</v>
      </c>
      <c r="D1278" s="2" t="s">
        <v>4097</v>
      </c>
      <c r="E1278" s="2" t="s">
        <v>34</v>
      </c>
    </row>
    <row r="1279" spans="1:5" x14ac:dyDescent="0.2">
      <c r="A1279" s="2" t="s">
        <v>360</v>
      </c>
      <c r="B1279" s="2" t="s">
        <v>5001</v>
      </c>
      <c r="C1279" s="2" t="s">
        <v>4833</v>
      </c>
      <c r="D1279" s="2" t="s">
        <v>355</v>
      </c>
      <c r="E1279" s="2" t="s">
        <v>34</v>
      </c>
    </row>
    <row r="1280" spans="1:5" x14ac:dyDescent="0.2">
      <c r="A1280" s="2" t="s">
        <v>4166</v>
      </c>
      <c r="B1280" s="2" t="s">
        <v>5001</v>
      </c>
      <c r="C1280" s="2" t="s">
        <v>4833</v>
      </c>
      <c r="D1280" s="2" t="s">
        <v>4162</v>
      </c>
      <c r="E1280" s="2" t="s">
        <v>34</v>
      </c>
    </row>
    <row r="1281" spans="1:5" x14ac:dyDescent="0.2">
      <c r="A1281" s="2" t="s">
        <v>4270</v>
      </c>
      <c r="B1281" s="2" t="s">
        <v>5001</v>
      </c>
      <c r="C1281" s="2" t="s">
        <v>4833</v>
      </c>
      <c r="D1281" s="2" t="s">
        <v>4267</v>
      </c>
      <c r="E1281" s="2" t="s">
        <v>34</v>
      </c>
    </row>
    <row r="1282" spans="1:5" x14ac:dyDescent="0.2">
      <c r="A1282" s="2" t="s">
        <v>852</v>
      </c>
      <c r="B1282" s="2" t="s">
        <v>5001</v>
      </c>
      <c r="C1282" s="2" t="s">
        <v>4833</v>
      </c>
      <c r="D1282" s="2" t="s">
        <v>848</v>
      </c>
      <c r="E1282" s="2" t="s">
        <v>34</v>
      </c>
    </row>
    <row r="1283" spans="1:5" x14ac:dyDescent="0.2">
      <c r="A1283" s="2" t="s">
        <v>1150</v>
      </c>
      <c r="B1283" s="2" t="s">
        <v>5001</v>
      </c>
      <c r="C1283" s="2" t="s">
        <v>4833</v>
      </c>
      <c r="D1283" s="2" t="s">
        <v>1145</v>
      </c>
      <c r="E1283" s="2" t="s">
        <v>34</v>
      </c>
    </row>
    <row r="1284" spans="1:5" x14ac:dyDescent="0.2">
      <c r="A1284" s="2" t="s">
        <v>3463</v>
      </c>
      <c r="B1284" s="2" t="s">
        <v>5001</v>
      </c>
      <c r="C1284" s="2" t="s">
        <v>4833</v>
      </c>
      <c r="D1284" s="2" t="s">
        <v>3458</v>
      </c>
      <c r="E1284" s="2" t="s">
        <v>34</v>
      </c>
    </row>
    <row r="1285" spans="1:5" x14ac:dyDescent="0.2">
      <c r="A1285" s="2" t="s">
        <v>4310</v>
      </c>
      <c r="B1285" s="2" t="s">
        <v>5001</v>
      </c>
      <c r="C1285" s="2" t="s">
        <v>4833</v>
      </c>
      <c r="D1285" s="2" t="s">
        <v>4306</v>
      </c>
      <c r="E1285" s="2" t="s">
        <v>34</v>
      </c>
    </row>
    <row r="1286" spans="1:5" x14ac:dyDescent="0.2">
      <c r="A1286" s="2" t="s">
        <v>4367</v>
      </c>
      <c r="B1286" s="2" t="s">
        <v>5001</v>
      </c>
      <c r="C1286" s="2" t="s">
        <v>4833</v>
      </c>
      <c r="D1286" s="2" t="s">
        <v>4364</v>
      </c>
      <c r="E1286" s="2" t="s">
        <v>34</v>
      </c>
    </row>
    <row r="1287" spans="1:5" x14ac:dyDescent="0.2">
      <c r="A1287" s="2" t="s">
        <v>5022</v>
      </c>
      <c r="B1287" s="2" t="s">
        <v>5001</v>
      </c>
      <c r="C1287" s="2" t="s">
        <v>4837</v>
      </c>
      <c r="D1287" s="2" t="s">
        <v>34</v>
      </c>
      <c r="E1287" s="2" t="s">
        <v>34</v>
      </c>
    </row>
    <row r="1288" spans="1:5" x14ac:dyDescent="0.2">
      <c r="A1288" s="2" t="s">
        <v>3377</v>
      </c>
      <c r="B1288" s="2" t="s">
        <v>5001</v>
      </c>
      <c r="C1288" s="2" t="s">
        <v>4833</v>
      </c>
      <c r="D1288" s="2" t="s">
        <v>3371</v>
      </c>
      <c r="E1288" s="2" t="s">
        <v>34</v>
      </c>
    </row>
    <row r="1289" spans="1:5" x14ac:dyDescent="0.2">
      <c r="A1289" s="2" t="s">
        <v>5023</v>
      </c>
      <c r="B1289" s="2" t="s">
        <v>5001</v>
      </c>
      <c r="C1289" s="2" t="s">
        <v>4835</v>
      </c>
      <c r="D1289" s="2" t="s">
        <v>34</v>
      </c>
      <c r="E1289" s="2" t="s">
        <v>34</v>
      </c>
    </row>
    <row r="1290" spans="1:5" x14ac:dyDescent="0.2">
      <c r="A1290" s="2" t="s">
        <v>3511</v>
      </c>
      <c r="B1290" s="2" t="s">
        <v>5001</v>
      </c>
      <c r="C1290" s="2" t="s">
        <v>4833</v>
      </c>
      <c r="D1290" s="2" t="s">
        <v>3507</v>
      </c>
      <c r="E1290" s="2" t="s">
        <v>34</v>
      </c>
    </row>
    <row r="1291" spans="1:5" x14ac:dyDescent="0.2">
      <c r="A1291" s="2" t="s">
        <v>3810</v>
      </c>
      <c r="B1291" s="2" t="s">
        <v>5001</v>
      </c>
      <c r="C1291" s="2" t="s">
        <v>4833</v>
      </c>
      <c r="D1291" s="2" t="s">
        <v>3806</v>
      </c>
      <c r="E1291" s="2" t="s">
        <v>34</v>
      </c>
    </row>
    <row r="1292" spans="1:5" x14ac:dyDescent="0.2">
      <c r="A1292" s="2" t="s">
        <v>529</v>
      </c>
      <c r="B1292" s="2" t="s">
        <v>5001</v>
      </c>
      <c r="C1292" s="2" t="s">
        <v>4833</v>
      </c>
      <c r="D1292" s="2" t="s">
        <v>524</v>
      </c>
      <c r="E1292" s="2" t="s">
        <v>34</v>
      </c>
    </row>
    <row r="1293" spans="1:5" x14ac:dyDescent="0.2">
      <c r="A1293" s="2" t="s">
        <v>4650</v>
      </c>
      <c r="B1293" s="2" t="s">
        <v>5001</v>
      </c>
      <c r="C1293" s="2" t="s">
        <v>4833</v>
      </c>
      <c r="D1293" s="2" t="s">
        <v>4647</v>
      </c>
      <c r="E1293" s="2" t="s">
        <v>34</v>
      </c>
    </row>
    <row r="1294" spans="1:5" x14ac:dyDescent="0.2">
      <c r="A1294" s="2" t="s">
        <v>3293</v>
      </c>
      <c r="B1294" s="2" t="s">
        <v>5001</v>
      </c>
      <c r="C1294" s="2" t="s">
        <v>4833</v>
      </c>
      <c r="D1294" s="2" t="s">
        <v>3289</v>
      </c>
      <c r="E1294" s="2" t="s">
        <v>34</v>
      </c>
    </row>
    <row r="1295" spans="1:5" x14ac:dyDescent="0.2">
      <c r="A1295" s="2" t="s">
        <v>1725</v>
      </c>
      <c r="B1295" s="2" t="s">
        <v>5001</v>
      </c>
      <c r="C1295" s="2" t="s">
        <v>4833</v>
      </c>
      <c r="D1295" s="2" t="s">
        <v>1721</v>
      </c>
      <c r="E1295" s="2" t="s">
        <v>34</v>
      </c>
    </row>
    <row r="1296" spans="1:5" x14ac:dyDescent="0.2">
      <c r="A1296" s="2" t="s">
        <v>5024</v>
      </c>
      <c r="B1296" s="2" t="s">
        <v>5001</v>
      </c>
      <c r="C1296" s="2" t="s">
        <v>4835</v>
      </c>
      <c r="D1296" s="2" t="s">
        <v>34</v>
      </c>
      <c r="E1296" s="2" t="s">
        <v>34</v>
      </c>
    </row>
    <row r="1297" spans="1:5" x14ac:dyDescent="0.2">
      <c r="A1297" s="2" t="s">
        <v>3499</v>
      </c>
      <c r="B1297" s="2" t="s">
        <v>5001</v>
      </c>
      <c r="C1297" s="2" t="s">
        <v>4833</v>
      </c>
      <c r="D1297" s="2" t="s">
        <v>3494</v>
      </c>
      <c r="E1297" s="2" t="s">
        <v>34</v>
      </c>
    </row>
    <row r="1298" spans="1:5" x14ac:dyDescent="0.2">
      <c r="A1298" s="2" t="s">
        <v>1671</v>
      </c>
      <c r="B1298" s="2" t="s">
        <v>5001</v>
      </c>
      <c r="C1298" s="2" t="s">
        <v>4833</v>
      </c>
      <c r="D1298" s="2" t="s">
        <v>1667</v>
      </c>
      <c r="E1298" s="2" t="s">
        <v>34</v>
      </c>
    </row>
    <row r="1299" spans="1:5" x14ac:dyDescent="0.2">
      <c r="A1299" s="2" t="s">
        <v>3032</v>
      </c>
      <c r="B1299" s="2" t="s">
        <v>5001</v>
      </c>
      <c r="C1299" s="2" t="s">
        <v>4833</v>
      </c>
      <c r="D1299" s="2" t="s">
        <v>3028</v>
      </c>
      <c r="E1299" s="2" t="s">
        <v>34</v>
      </c>
    </row>
    <row r="1300" spans="1:5" x14ac:dyDescent="0.2">
      <c r="A1300" s="2" t="s">
        <v>1049</v>
      </c>
      <c r="B1300" s="2" t="s">
        <v>5001</v>
      </c>
      <c r="C1300" s="2" t="s">
        <v>4833</v>
      </c>
      <c r="D1300" s="2" t="s">
        <v>1044</v>
      </c>
      <c r="E1300" s="2" t="s">
        <v>34</v>
      </c>
    </row>
    <row r="1301" spans="1:5" x14ac:dyDescent="0.2">
      <c r="A1301" s="2" t="s">
        <v>2534</v>
      </c>
      <c r="B1301" s="2" t="s">
        <v>5001</v>
      </c>
      <c r="C1301" s="2" t="s">
        <v>4833</v>
      </c>
      <c r="D1301" s="2" t="s">
        <v>2530</v>
      </c>
      <c r="E1301" s="2" t="s">
        <v>34</v>
      </c>
    </row>
    <row r="1302" spans="1:5" x14ac:dyDescent="0.2">
      <c r="A1302" s="2" t="s">
        <v>5025</v>
      </c>
      <c r="B1302" s="2" t="s">
        <v>5001</v>
      </c>
      <c r="C1302" s="2" t="s">
        <v>4837</v>
      </c>
      <c r="D1302" s="2" t="s">
        <v>34</v>
      </c>
      <c r="E1302" s="2" t="s">
        <v>34</v>
      </c>
    </row>
    <row r="1303" spans="1:5" x14ac:dyDescent="0.2">
      <c r="A1303" s="2" t="s">
        <v>5026</v>
      </c>
      <c r="B1303" s="2" t="s">
        <v>5001</v>
      </c>
      <c r="C1303" s="2" t="s">
        <v>4837</v>
      </c>
      <c r="D1303" s="2" t="s">
        <v>34</v>
      </c>
      <c r="E1303" s="2" t="s">
        <v>34</v>
      </c>
    </row>
    <row r="1304" spans="1:5" x14ac:dyDescent="0.2">
      <c r="A1304" s="2" t="s">
        <v>3101</v>
      </c>
      <c r="B1304" s="2" t="s">
        <v>5001</v>
      </c>
      <c r="C1304" s="2" t="s">
        <v>4833</v>
      </c>
      <c r="D1304" s="2" t="s">
        <v>3098</v>
      </c>
      <c r="E1304" s="2" t="s">
        <v>34</v>
      </c>
    </row>
    <row r="1305" spans="1:5" x14ac:dyDescent="0.2">
      <c r="A1305" s="2" t="s">
        <v>5027</v>
      </c>
      <c r="B1305" s="2" t="s">
        <v>5001</v>
      </c>
      <c r="C1305" s="2" t="s">
        <v>4835</v>
      </c>
      <c r="D1305" s="2" t="s">
        <v>34</v>
      </c>
      <c r="E1305" s="2" t="s">
        <v>34</v>
      </c>
    </row>
    <row r="1306" spans="1:5" x14ac:dyDescent="0.2">
      <c r="A1306" s="2" t="s">
        <v>4527</v>
      </c>
      <c r="B1306" s="2" t="s">
        <v>5001</v>
      </c>
      <c r="C1306" s="2" t="s">
        <v>4833</v>
      </c>
      <c r="D1306" s="2" t="s">
        <v>4523</v>
      </c>
      <c r="E1306" s="2" t="s">
        <v>34</v>
      </c>
    </row>
    <row r="1307" spans="1:5" x14ac:dyDescent="0.2">
      <c r="A1307" s="2" t="s">
        <v>3370</v>
      </c>
      <c r="B1307" s="2" t="s">
        <v>5001</v>
      </c>
      <c r="C1307" s="2" t="s">
        <v>4833</v>
      </c>
      <c r="D1307" s="2" t="s">
        <v>3366</v>
      </c>
      <c r="E1307" s="2" t="s">
        <v>34</v>
      </c>
    </row>
    <row r="1308" spans="1:5" x14ac:dyDescent="0.2">
      <c r="A1308" s="2" t="s">
        <v>2216</v>
      </c>
      <c r="B1308" s="2" t="s">
        <v>5001</v>
      </c>
      <c r="C1308" s="2" t="s">
        <v>4833</v>
      </c>
      <c r="D1308" s="2" t="s">
        <v>2212</v>
      </c>
      <c r="E1308" s="2" t="s">
        <v>34</v>
      </c>
    </row>
    <row r="1309" spans="1:5" x14ac:dyDescent="0.2">
      <c r="A1309" s="2" t="s">
        <v>1378</v>
      </c>
      <c r="B1309" s="2" t="s">
        <v>5001</v>
      </c>
      <c r="C1309" s="2" t="s">
        <v>4833</v>
      </c>
      <c r="D1309" s="2" t="s">
        <v>1374</v>
      </c>
      <c r="E1309" s="2" t="s">
        <v>34</v>
      </c>
    </row>
    <row r="1310" spans="1:5" x14ac:dyDescent="0.2">
      <c r="A1310" s="2" t="s">
        <v>2807</v>
      </c>
      <c r="B1310" s="2" t="s">
        <v>5001</v>
      </c>
      <c r="C1310" s="2" t="s">
        <v>4833</v>
      </c>
      <c r="D1310" s="2" t="s">
        <v>2804</v>
      </c>
      <c r="E1310" s="2" t="s">
        <v>34</v>
      </c>
    </row>
    <row r="1311" spans="1:5" x14ac:dyDescent="0.2">
      <c r="A1311" s="2" t="s">
        <v>5028</v>
      </c>
      <c r="B1311" s="2" t="s">
        <v>5001</v>
      </c>
      <c r="C1311" s="2" t="s">
        <v>4837</v>
      </c>
      <c r="D1311" s="2" t="s">
        <v>34</v>
      </c>
      <c r="E1311" s="2" t="s">
        <v>34</v>
      </c>
    </row>
    <row r="1312" spans="1:5" x14ac:dyDescent="0.2">
      <c r="A1312" s="2" t="s">
        <v>5029</v>
      </c>
      <c r="B1312" s="2" t="s">
        <v>5001</v>
      </c>
      <c r="C1312" s="2" t="s">
        <v>4837</v>
      </c>
      <c r="D1312" s="2" t="s">
        <v>34</v>
      </c>
      <c r="E1312" s="2" t="s">
        <v>34</v>
      </c>
    </row>
    <row r="1313" spans="1:5" x14ac:dyDescent="0.2">
      <c r="A1313" s="2" t="s">
        <v>4078</v>
      </c>
      <c r="B1313" s="2" t="s">
        <v>5001</v>
      </c>
      <c r="C1313" s="2" t="s">
        <v>4833</v>
      </c>
      <c r="D1313" s="2" t="s">
        <v>4075</v>
      </c>
      <c r="E1313" s="2" t="s">
        <v>34</v>
      </c>
    </row>
    <row r="1314" spans="1:5" x14ac:dyDescent="0.2">
      <c r="A1314" s="2" t="s">
        <v>5030</v>
      </c>
      <c r="B1314" s="2" t="s">
        <v>5001</v>
      </c>
      <c r="C1314" s="2" t="s">
        <v>4835</v>
      </c>
      <c r="D1314" s="2" t="s">
        <v>34</v>
      </c>
      <c r="E1314" s="2" t="s">
        <v>34</v>
      </c>
    </row>
    <row r="1315" spans="1:5" x14ac:dyDescent="0.2">
      <c r="A1315" s="2" t="s">
        <v>3305</v>
      </c>
      <c r="B1315" s="2" t="s">
        <v>5001</v>
      </c>
      <c r="C1315" s="2" t="s">
        <v>4833</v>
      </c>
      <c r="D1315" s="2" t="s">
        <v>3301</v>
      </c>
      <c r="E1315" s="2" t="s">
        <v>34</v>
      </c>
    </row>
    <row r="1316" spans="1:5" x14ac:dyDescent="0.2">
      <c r="A1316" s="2" t="s">
        <v>2011</v>
      </c>
      <c r="B1316" s="2" t="s">
        <v>5001</v>
      </c>
      <c r="C1316" s="2" t="s">
        <v>4833</v>
      </c>
      <c r="D1316" s="2" t="s">
        <v>2006</v>
      </c>
      <c r="E1316" s="2" t="s">
        <v>34</v>
      </c>
    </row>
    <row r="1317" spans="1:5" x14ac:dyDescent="0.2">
      <c r="A1317" s="2" t="s">
        <v>4440</v>
      </c>
      <c r="B1317" s="2" t="s">
        <v>5001</v>
      </c>
      <c r="C1317" s="2" t="s">
        <v>4833</v>
      </c>
      <c r="D1317" s="2" t="s">
        <v>4436</v>
      </c>
      <c r="E1317" s="2" t="s">
        <v>34</v>
      </c>
    </row>
    <row r="1318" spans="1:5" x14ac:dyDescent="0.2">
      <c r="A1318" s="2" t="s">
        <v>2924</v>
      </c>
      <c r="B1318" s="2" t="s">
        <v>5001</v>
      </c>
      <c r="C1318" s="2" t="s">
        <v>4833</v>
      </c>
      <c r="D1318" s="2" t="s">
        <v>2919</v>
      </c>
      <c r="E1318" s="2" t="s">
        <v>34</v>
      </c>
    </row>
    <row r="1319" spans="1:5" x14ac:dyDescent="0.2">
      <c r="A1319" s="2" t="s">
        <v>3505</v>
      </c>
      <c r="B1319" s="2" t="s">
        <v>5001</v>
      </c>
      <c r="C1319" s="2" t="s">
        <v>4833</v>
      </c>
      <c r="D1319" s="2" t="s">
        <v>3501</v>
      </c>
      <c r="E1319" s="2" t="s">
        <v>34</v>
      </c>
    </row>
    <row r="1320" spans="1:5" x14ac:dyDescent="0.2">
      <c r="A1320" s="2" t="s">
        <v>3576</v>
      </c>
      <c r="B1320" s="2" t="s">
        <v>5001</v>
      </c>
      <c r="C1320" s="2" t="s">
        <v>4833</v>
      </c>
      <c r="D1320" s="2" t="s">
        <v>3572</v>
      </c>
      <c r="E1320" s="2" t="s">
        <v>34</v>
      </c>
    </row>
    <row r="1321" spans="1:5" x14ac:dyDescent="0.2">
      <c r="A1321" s="2" t="s">
        <v>5031</v>
      </c>
      <c r="B1321" s="2" t="s">
        <v>5001</v>
      </c>
      <c r="C1321" s="2" t="s">
        <v>4835</v>
      </c>
      <c r="D1321" s="2" t="s">
        <v>34</v>
      </c>
      <c r="E1321" s="2" t="s">
        <v>34</v>
      </c>
    </row>
    <row r="1322" spans="1:5" x14ac:dyDescent="0.2">
      <c r="A1322" s="2" t="s">
        <v>991</v>
      </c>
      <c r="B1322" s="2" t="s">
        <v>5001</v>
      </c>
      <c r="C1322" s="2" t="s">
        <v>4833</v>
      </c>
      <c r="D1322" s="2" t="s">
        <v>987</v>
      </c>
      <c r="E1322" s="2" t="s">
        <v>34</v>
      </c>
    </row>
    <row r="1323" spans="1:5" x14ac:dyDescent="0.2">
      <c r="A1323" s="2" t="s">
        <v>2121</v>
      </c>
      <c r="B1323" s="2" t="s">
        <v>5001</v>
      </c>
      <c r="C1323" s="2" t="s">
        <v>4833</v>
      </c>
      <c r="D1323" s="2" t="s">
        <v>2118</v>
      </c>
      <c r="E1323" s="2" t="s">
        <v>34</v>
      </c>
    </row>
    <row r="1324" spans="1:5" x14ac:dyDescent="0.2">
      <c r="A1324" s="2" t="s">
        <v>2459</v>
      </c>
      <c r="B1324" s="2" t="s">
        <v>5001</v>
      </c>
      <c r="C1324" s="2" t="s">
        <v>4833</v>
      </c>
      <c r="D1324" s="2" t="s">
        <v>2455</v>
      </c>
      <c r="E1324" s="2" t="s">
        <v>34</v>
      </c>
    </row>
    <row r="1325" spans="1:5" x14ac:dyDescent="0.2">
      <c r="A1325" s="2" t="s">
        <v>4592</v>
      </c>
      <c r="B1325" s="2" t="s">
        <v>5001</v>
      </c>
      <c r="C1325" s="2" t="s">
        <v>4833</v>
      </c>
      <c r="D1325" s="2" t="s">
        <v>4589</v>
      </c>
      <c r="E1325" s="2" t="s">
        <v>34</v>
      </c>
    </row>
    <row r="1326" spans="1:5" x14ac:dyDescent="0.2">
      <c r="A1326" s="2" t="s">
        <v>348</v>
      </c>
      <c r="B1326" s="2" t="s">
        <v>5001</v>
      </c>
      <c r="C1326" s="2" t="s">
        <v>4833</v>
      </c>
      <c r="D1326" s="2" t="s">
        <v>344</v>
      </c>
      <c r="E1326" s="2" t="s">
        <v>34</v>
      </c>
    </row>
    <row r="1327" spans="1:5" x14ac:dyDescent="0.2">
      <c r="A1327" s="2" t="s">
        <v>3252</v>
      </c>
      <c r="B1327" s="2" t="s">
        <v>5001</v>
      </c>
      <c r="C1327" s="2" t="s">
        <v>4833</v>
      </c>
      <c r="D1327" s="2" t="s">
        <v>3249</v>
      </c>
      <c r="E1327" s="2" t="s">
        <v>34</v>
      </c>
    </row>
    <row r="1328" spans="1:5" x14ac:dyDescent="0.2">
      <c r="A1328" s="2" t="s">
        <v>359</v>
      </c>
      <c r="B1328" s="2" t="s">
        <v>5001</v>
      </c>
      <c r="C1328" s="2" t="s">
        <v>4833</v>
      </c>
      <c r="D1328" s="2" t="s">
        <v>355</v>
      </c>
      <c r="E1328" s="2" t="s">
        <v>34</v>
      </c>
    </row>
    <row r="1329" spans="1:5" x14ac:dyDescent="0.2">
      <c r="A1329" s="2" t="s">
        <v>5032</v>
      </c>
      <c r="B1329" s="2" t="s">
        <v>5001</v>
      </c>
      <c r="C1329" s="2" t="s">
        <v>4835</v>
      </c>
      <c r="D1329" s="2" t="s">
        <v>34</v>
      </c>
      <c r="E1329" s="2" t="s">
        <v>34</v>
      </c>
    </row>
    <row r="1330" spans="1:5" x14ac:dyDescent="0.2">
      <c r="A1330" s="2" t="s">
        <v>932</v>
      </c>
      <c r="B1330" s="2" t="s">
        <v>5001</v>
      </c>
      <c r="C1330" s="2" t="s">
        <v>4833</v>
      </c>
      <c r="D1330" s="2" t="s">
        <v>927</v>
      </c>
      <c r="E1330" s="2" t="s">
        <v>34</v>
      </c>
    </row>
    <row r="1331" spans="1:5" x14ac:dyDescent="0.2">
      <c r="A1331" s="2" t="s">
        <v>5033</v>
      </c>
      <c r="B1331" s="2" t="s">
        <v>5001</v>
      </c>
      <c r="C1331" s="2" t="s">
        <v>4835</v>
      </c>
      <c r="D1331" s="2" t="s">
        <v>34</v>
      </c>
      <c r="E1331" s="2" t="s">
        <v>34</v>
      </c>
    </row>
    <row r="1332" spans="1:5" x14ac:dyDescent="0.2">
      <c r="A1332" s="2" t="s">
        <v>5034</v>
      </c>
      <c r="B1332" s="2" t="s">
        <v>5001</v>
      </c>
      <c r="C1332" s="2" t="s">
        <v>4837</v>
      </c>
      <c r="D1332" s="2" t="s">
        <v>34</v>
      </c>
      <c r="E1332" s="2" t="s">
        <v>34</v>
      </c>
    </row>
    <row r="1333" spans="1:5" x14ac:dyDescent="0.2">
      <c r="A1333" s="2" t="s">
        <v>2023</v>
      </c>
      <c r="B1333" s="2" t="s">
        <v>5001</v>
      </c>
      <c r="C1333" s="2" t="s">
        <v>4833</v>
      </c>
      <c r="D1333" s="2" t="s">
        <v>2019</v>
      </c>
      <c r="E1333" s="2" t="s">
        <v>34</v>
      </c>
    </row>
    <row r="1334" spans="1:5" x14ac:dyDescent="0.2">
      <c r="A1334" s="2" t="s">
        <v>2975</v>
      </c>
      <c r="B1334" s="2" t="s">
        <v>5001</v>
      </c>
      <c r="C1334" s="2" t="s">
        <v>4833</v>
      </c>
      <c r="D1334" s="2" t="s">
        <v>2972</v>
      </c>
      <c r="E1334" s="2" t="s">
        <v>34</v>
      </c>
    </row>
    <row r="1335" spans="1:5" x14ac:dyDescent="0.2">
      <c r="A1335" s="2" t="s">
        <v>198</v>
      </c>
      <c r="B1335" s="2" t="s">
        <v>5001</v>
      </c>
      <c r="C1335" s="2" t="s">
        <v>4833</v>
      </c>
      <c r="D1335" s="2" t="s">
        <v>192</v>
      </c>
      <c r="E1335" s="2" t="s">
        <v>34</v>
      </c>
    </row>
    <row r="1336" spans="1:5" x14ac:dyDescent="0.2">
      <c r="A1336" s="2" t="s">
        <v>777</v>
      </c>
      <c r="B1336" s="2" t="s">
        <v>5001</v>
      </c>
      <c r="C1336" s="2" t="s">
        <v>4833</v>
      </c>
      <c r="D1336" s="2" t="s">
        <v>773</v>
      </c>
      <c r="E1336" s="2" t="s">
        <v>34</v>
      </c>
    </row>
    <row r="1337" spans="1:5" x14ac:dyDescent="0.2">
      <c r="A1337" s="2" t="s">
        <v>3829</v>
      </c>
      <c r="B1337" s="2" t="s">
        <v>5001</v>
      </c>
      <c r="C1337" s="2" t="s">
        <v>4833</v>
      </c>
      <c r="D1337" s="2" t="s">
        <v>3824</v>
      </c>
      <c r="E1337" s="2" t="s">
        <v>34</v>
      </c>
    </row>
    <row r="1338" spans="1:5" x14ac:dyDescent="0.2">
      <c r="A1338" s="2" t="s">
        <v>2758</v>
      </c>
      <c r="B1338" s="2" t="s">
        <v>5001</v>
      </c>
      <c r="C1338" s="2" t="s">
        <v>4833</v>
      </c>
      <c r="D1338" s="2" t="s">
        <v>2755</v>
      </c>
      <c r="E1338" s="2" t="s">
        <v>34</v>
      </c>
    </row>
    <row r="1339" spans="1:5" x14ac:dyDescent="0.2">
      <c r="A1339" s="2" t="s">
        <v>3435</v>
      </c>
      <c r="B1339" s="2" t="s">
        <v>5001</v>
      </c>
      <c r="C1339" s="2" t="s">
        <v>4833</v>
      </c>
      <c r="D1339" s="2" t="s">
        <v>3431</v>
      </c>
      <c r="E1339" s="2" t="s">
        <v>34</v>
      </c>
    </row>
    <row r="1340" spans="1:5" x14ac:dyDescent="0.2">
      <c r="A1340" s="2" t="s">
        <v>926</v>
      </c>
      <c r="B1340" s="2" t="s">
        <v>5001</v>
      </c>
      <c r="C1340" s="2" t="s">
        <v>4833</v>
      </c>
      <c r="D1340" s="2" t="s">
        <v>922</v>
      </c>
      <c r="E1340" s="2" t="s">
        <v>34</v>
      </c>
    </row>
    <row r="1341" spans="1:5" x14ac:dyDescent="0.2">
      <c r="A1341" s="2" t="s">
        <v>3353</v>
      </c>
      <c r="B1341" s="2" t="s">
        <v>5001</v>
      </c>
      <c r="C1341" s="2" t="s">
        <v>4833</v>
      </c>
      <c r="D1341" s="2" t="s">
        <v>3348</v>
      </c>
      <c r="E1341" s="2" t="s">
        <v>34</v>
      </c>
    </row>
    <row r="1342" spans="1:5" x14ac:dyDescent="0.2">
      <c r="A1342" s="2" t="s">
        <v>5035</v>
      </c>
      <c r="B1342" s="2" t="s">
        <v>5001</v>
      </c>
      <c r="C1342" s="2" t="s">
        <v>4835</v>
      </c>
      <c r="D1342" s="2" t="s">
        <v>34</v>
      </c>
      <c r="E1342" s="2" t="s">
        <v>34</v>
      </c>
    </row>
    <row r="1343" spans="1:5" x14ac:dyDescent="0.2">
      <c r="A1343" s="2" t="s">
        <v>920</v>
      </c>
      <c r="B1343" s="2" t="s">
        <v>5001</v>
      </c>
      <c r="C1343" s="2" t="s">
        <v>4833</v>
      </c>
      <c r="D1343" s="2" t="s">
        <v>915</v>
      </c>
      <c r="E1343" s="2" t="s">
        <v>34</v>
      </c>
    </row>
    <row r="1344" spans="1:5" x14ac:dyDescent="0.2">
      <c r="A1344" s="2" t="s">
        <v>125</v>
      </c>
      <c r="B1344" s="2" t="s">
        <v>5001</v>
      </c>
      <c r="C1344" s="2" t="s">
        <v>4833</v>
      </c>
      <c r="D1344" s="2" t="s">
        <v>121</v>
      </c>
      <c r="E1344" s="2" t="s">
        <v>34</v>
      </c>
    </row>
    <row r="1345" spans="1:5" x14ac:dyDescent="0.2">
      <c r="A1345" s="2" t="s">
        <v>5036</v>
      </c>
      <c r="B1345" s="2" t="s">
        <v>5001</v>
      </c>
      <c r="C1345" s="2" t="s">
        <v>4835</v>
      </c>
      <c r="D1345" s="2" t="s">
        <v>34</v>
      </c>
      <c r="E1345" s="2" t="s">
        <v>34</v>
      </c>
    </row>
    <row r="1346" spans="1:5" x14ac:dyDescent="0.2">
      <c r="A1346" s="2" t="s">
        <v>3175</v>
      </c>
      <c r="B1346" s="2" t="s">
        <v>5001</v>
      </c>
      <c r="C1346" s="2" t="s">
        <v>4833</v>
      </c>
      <c r="D1346" s="2" t="s">
        <v>3172</v>
      </c>
      <c r="E1346" s="2" t="s">
        <v>34</v>
      </c>
    </row>
    <row r="1347" spans="1:5" x14ac:dyDescent="0.2">
      <c r="A1347" s="2" t="s">
        <v>165</v>
      </c>
      <c r="B1347" s="2" t="s">
        <v>5001</v>
      </c>
      <c r="C1347" s="2" t="s">
        <v>4833</v>
      </c>
      <c r="D1347" s="2" t="s">
        <v>161</v>
      </c>
      <c r="E1347" s="2" t="s">
        <v>34</v>
      </c>
    </row>
    <row r="1348" spans="1:5" x14ac:dyDescent="0.2">
      <c r="A1348" s="2" t="s">
        <v>997</v>
      </c>
      <c r="B1348" s="2" t="s">
        <v>5001</v>
      </c>
      <c r="C1348" s="2" t="s">
        <v>4833</v>
      </c>
      <c r="D1348" s="2" t="s">
        <v>993</v>
      </c>
      <c r="E1348" s="2" t="s">
        <v>34</v>
      </c>
    </row>
    <row r="1349" spans="1:5" x14ac:dyDescent="0.2">
      <c r="A1349" s="2" t="s">
        <v>1841</v>
      </c>
      <c r="B1349" s="2" t="s">
        <v>5001</v>
      </c>
      <c r="C1349" s="2" t="s">
        <v>4833</v>
      </c>
      <c r="D1349" s="2" t="s">
        <v>1838</v>
      </c>
      <c r="E1349" s="2" t="s">
        <v>34</v>
      </c>
    </row>
    <row r="1350" spans="1:5" x14ac:dyDescent="0.2">
      <c r="A1350" s="2" t="s">
        <v>5037</v>
      </c>
      <c r="B1350" s="2" t="s">
        <v>5001</v>
      </c>
      <c r="C1350" s="2" t="s">
        <v>4835</v>
      </c>
      <c r="D1350" s="2" t="s">
        <v>34</v>
      </c>
      <c r="E1350" s="2" t="s">
        <v>34</v>
      </c>
    </row>
    <row r="1351" spans="1:5" x14ac:dyDescent="0.2">
      <c r="A1351" s="2" t="s">
        <v>1234</v>
      </c>
      <c r="B1351" s="2" t="s">
        <v>5001</v>
      </c>
      <c r="C1351" s="2" t="s">
        <v>4833</v>
      </c>
      <c r="D1351" s="2" t="s">
        <v>1230</v>
      </c>
      <c r="E1351" s="2" t="s">
        <v>34</v>
      </c>
    </row>
    <row r="1352" spans="1:5" x14ac:dyDescent="0.2">
      <c r="A1352" s="2" t="s">
        <v>377</v>
      </c>
      <c r="B1352" s="2" t="s">
        <v>5001</v>
      </c>
      <c r="C1352" s="2" t="s">
        <v>4833</v>
      </c>
      <c r="D1352" s="2" t="s">
        <v>373</v>
      </c>
      <c r="E1352" s="2" t="s">
        <v>34</v>
      </c>
    </row>
    <row r="1353" spans="1:5" x14ac:dyDescent="0.2">
      <c r="A1353" s="2" t="s">
        <v>2608</v>
      </c>
      <c r="B1353" s="2" t="s">
        <v>5001</v>
      </c>
      <c r="C1353" s="2" t="s">
        <v>4833</v>
      </c>
      <c r="D1353" s="2" t="s">
        <v>2604</v>
      </c>
      <c r="E1353" s="2" t="s">
        <v>34</v>
      </c>
    </row>
    <row r="1354" spans="1:5" x14ac:dyDescent="0.2">
      <c r="A1354" s="2" t="s">
        <v>2510</v>
      </c>
      <c r="B1354" s="2" t="s">
        <v>5001</v>
      </c>
      <c r="C1354" s="2" t="s">
        <v>4833</v>
      </c>
      <c r="D1354" s="2" t="s">
        <v>2505</v>
      </c>
      <c r="E1354" s="2" t="s">
        <v>34</v>
      </c>
    </row>
    <row r="1355" spans="1:5" x14ac:dyDescent="0.2">
      <c r="A1355" s="2" t="s">
        <v>1978</v>
      </c>
      <c r="B1355" s="2" t="s">
        <v>5001</v>
      </c>
      <c r="C1355" s="2" t="s">
        <v>4833</v>
      </c>
      <c r="D1355" s="2" t="s">
        <v>1975</v>
      </c>
      <c r="E1355" s="2" t="s">
        <v>34</v>
      </c>
    </row>
    <row r="1356" spans="1:5" x14ac:dyDescent="0.2">
      <c r="A1356" s="2" t="s">
        <v>5038</v>
      </c>
      <c r="B1356" s="2" t="s">
        <v>5001</v>
      </c>
      <c r="C1356" s="2" t="s">
        <v>4835</v>
      </c>
      <c r="D1356" s="2" t="s">
        <v>34</v>
      </c>
      <c r="E1356" s="2" t="s">
        <v>34</v>
      </c>
    </row>
    <row r="1357" spans="1:5" x14ac:dyDescent="0.2">
      <c r="A1357" s="2" t="s">
        <v>1036</v>
      </c>
      <c r="B1357" s="2" t="s">
        <v>5001</v>
      </c>
      <c r="C1357" s="2" t="s">
        <v>4833</v>
      </c>
      <c r="D1357" s="2" t="s">
        <v>1031</v>
      </c>
      <c r="E1357" s="2" t="s">
        <v>34</v>
      </c>
    </row>
    <row r="1358" spans="1:5" x14ac:dyDescent="0.2">
      <c r="A1358" s="2" t="s">
        <v>2859</v>
      </c>
      <c r="B1358" s="2" t="s">
        <v>5001</v>
      </c>
      <c r="C1358" s="2" t="s">
        <v>4833</v>
      </c>
      <c r="D1358" s="2" t="s">
        <v>2855</v>
      </c>
      <c r="E1358" s="2" t="s">
        <v>34</v>
      </c>
    </row>
    <row r="1359" spans="1:5" x14ac:dyDescent="0.2">
      <c r="A1359" s="2" t="s">
        <v>3581</v>
      </c>
      <c r="B1359" s="2" t="s">
        <v>5001</v>
      </c>
      <c r="C1359" s="2" t="s">
        <v>4833</v>
      </c>
      <c r="D1359" s="2" t="s">
        <v>3577</v>
      </c>
      <c r="E1359" s="2" t="s">
        <v>34</v>
      </c>
    </row>
    <row r="1360" spans="1:5" x14ac:dyDescent="0.2">
      <c r="A1360" s="2" t="s">
        <v>3711</v>
      </c>
      <c r="B1360" s="2" t="s">
        <v>5001</v>
      </c>
      <c r="C1360" s="2" t="s">
        <v>4833</v>
      </c>
      <c r="D1360" s="2" t="s">
        <v>3707</v>
      </c>
      <c r="E1360" s="2" t="s">
        <v>34</v>
      </c>
    </row>
    <row r="1361" spans="1:5" x14ac:dyDescent="0.2">
      <c r="A1361" s="2" t="s">
        <v>758</v>
      </c>
      <c r="B1361" s="2" t="s">
        <v>5001</v>
      </c>
      <c r="C1361" s="2" t="s">
        <v>4833</v>
      </c>
      <c r="D1361" s="2" t="s">
        <v>754</v>
      </c>
      <c r="E1361" s="2" t="s">
        <v>34</v>
      </c>
    </row>
    <row r="1362" spans="1:5" x14ac:dyDescent="0.2">
      <c r="A1362" s="2" t="s">
        <v>1832</v>
      </c>
      <c r="B1362" s="2" t="s">
        <v>5001</v>
      </c>
      <c r="C1362" s="2" t="s">
        <v>4833</v>
      </c>
      <c r="D1362" s="2" t="s">
        <v>1829</v>
      </c>
      <c r="E1362" s="2" t="s">
        <v>34</v>
      </c>
    </row>
    <row r="1363" spans="1:5" x14ac:dyDescent="0.2">
      <c r="A1363" s="2" t="s">
        <v>3551</v>
      </c>
      <c r="B1363" s="2" t="s">
        <v>5001</v>
      </c>
      <c r="C1363" s="2" t="s">
        <v>4833</v>
      </c>
      <c r="D1363" s="2" t="s">
        <v>3547</v>
      </c>
      <c r="E1363" s="2" t="s">
        <v>34</v>
      </c>
    </row>
    <row r="1364" spans="1:5" x14ac:dyDescent="0.2">
      <c r="A1364" s="2" t="s">
        <v>5039</v>
      </c>
      <c r="B1364" s="2" t="s">
        <v>5001</v>
      </c>
      <c r="C1364" s="2" t="s">
        <v>4835</v>
      </c>
      <c r="D1364" s="2" t="s">
        <v>34</v>
      </c>
      <c r="E1364" s="2" t="s">
        <v>34</v>
      </c>
    </row>
    <row r="1365" spans="1:5" x14ac:dyDescent="0.2">
      <c r="A1365" s="2" t="s">
        <v>212</v>
      </c>
      <c r="B1365" s="2" t="s">
        <v>5001</v>
      </c>
      <c r="C1365" s="2" t="s">
        <v>4833</v>
      </c>
      <c r="D1365" s="2" t="s">
        <v>207</v>
      </c>
      <c r="E1365" s="2" t="s">
        <v>34</v>
      </c>
    </row>
    <row r="1366" spans="1:5" x14ac:dyDescent="0.2">
      <c r="A1366" s="2" t="s">
        <v>2630</v>
      </c>
      <c r="B1366" s="2" t="s">
        <v>5001</v>
      </c>
      <c r="C1366" s="2" t="s">
        <v>4833</v>
      </c>
      <c r="D1366" s="2" t="s">
        <v>2626</v>
      </c>
      <c r="E1366" s="2" t="s">
        <v>34</v>
      </c>
    </row>
    <row r="1367" spans="1:5" x14ac:dyDescent="0.2">
      <c r="A1367" s="2" t="s">
        <v>1035</v>
      </c>
      <c r="B1367" s="2" t="s">
        <v>5001</v>
      </c>
      <c r="C1367" s="2" t="s">
        <v>4833</v>
      </c>
      <c r="D1367" s="2" t="s">
        <v>1031</v>
      </c>
      <c r="E1367" s="2" t="s">
        <v>34</v>
      </c>
    </row>
    <row r="1368" spans="1:5" x14ac:dyDescent="0.2">
      <c r="A1368" s="2" t="s">
        <v>507</v>
      </c>
      <c r="B1368" s="2" t="s">
        <v>5001</v>
      </c>
      <c r="C1368" s="2" t="s">
        <v>4833</v>
      </c>
      <c r="D1368" s="2" t="s">
        <v>503</v>
      </c>
      <c r="E1368" s="2" t="s">
        <v>34</v>
      </c>
    </row>
    <row r="1369" spans="1:5" x14ac:dyDescent="0.2">
      <c r="A1369" s="2" t="s">
        <v>2433</v>
      </c>
      <c r="B1369" s="2" t="s">
        <v>5001</v>
      </c>
      <c r="C1369" s="2" t="s">
        <v>4833</v>
      </c>
      <c r="D1369" s="2" t="s">
        <v>2430</v>
      </c>
      <c r="E1369" s="2" t="s">
        <v>34</v>
      </c>
    </row>
    <row r="1370" spans="1:5" x14ac:dyDescent="0.2">
      <c r="A1370" s="2" t="s">
        <v>5040</v>
      </c>
      <c r="B1370" s="2" t="s">
        <v>5001</v>
      </c>
      <c r="C1370" s="2" t="s">
        <v>4837</v>
      </c>
      <c r="D1370" s="2" t="s">
        <v>34</v>
      </c>
      <c r="E1370" s="2" t="s">
        <v>34</v>
      </c>
    </row>
    <row r="1371" spans="1:5" x14ac:dyDescent="0.2">
      <c r="A1371" s="2" t="s">
        <v>523</v>
      </c>
      <c r="B1371" s="2" t="s">
        <v>5001</v>
      </c>
      <c r="C1371" s="2" t="s">
        <v>4833</v>
      </c>
      <c r="D1371" s="2" t="s">
        <v>517</v>
      </c>
      <c r="E1371" s="2" t="s">
        <v>34</v>
      </c>
    </row>
    <row r="1372" spans="1:5" x14ac:dyDescent="0.2">
      <c r="A1372" s="2" t="s">
        <v>3470</v>
      </c>
      <c r="B1372" s="2" t="s">
        <v>5001</v>
      </c>
      <c r="C1372" s="2" t="s">
        <v>4833</v>
      </c>
      <c r="D1372" s="2" t="s">
        <v>3465</v>
      </c>
      <c r="E1372" s="2" t="s">
        <v>34</v>
      </c>
    </row>
    <row r="1373" spans="1:5" x14ac:dyDescent="0.2">
      <c r="A1373" s="2" t="s">
        <v>4663</v>
      </c>
      <c r="B1373" s="2" t="s">
        <v>5001</v>
      </c>
      <c r="C1373" s="2" t="s">
        <v>4833</v>
      </c>
      <c r="D1373" s="2" t="s">
        <v>4659</v>
      </c>
      <c r="E1373" s="2" t="s">
        <v>34</v>
      </c>
    </row>
    <row r="1374" spans="1:5" x14ac:dyDescent="0.2">
      <c r="A1374" s="2" t="s">
        <v>4125</v>
      </c>
      <c r="B1374" s="2" t="s">
        <v>5001</v>
      </c>
      <c r="C1374" s="2" t="s">
        <v>4833</v>
      </c>
      <c r="D1374" s="2" t="s">
        <v>4121</v>
      </c>
      <c r="E1374" s="2" t="s">
        <v>34</v>
      </c>
    </row>
    <row r="1375" spans="1:5" x14ac:dyDescent="0.2">
      <c r="A1375" s="2" t="s">
        <v>2685</v>
      </c>
      <c r="B1375" s="2" t="s">
        <v>5001</v>
      </c>
      <c r="C1375" s="2" t="s">
        <v>4833</v>
      </c>
      <c r="D1375" s="2" t="s">
        <v>2682</v>
      </c>
      <c r="E1375" s="2" t="s">
        <v>34</v>
      </c>
    </row>
    <row r="1376" spans="1:5" x14ac:dyDescent="0.2">
      <c r="A1376" s="2" t="s">
        <v>4352</v>
      </c>
      <c r="B1376" s="2" t="s">
        <v>5001</v>
      </c>
      <c r="C1376" s="2" t="s">
        <v>4833</v>
      </c>
      <c r="D1376" s="2" t="s">
        <v>4348</v>
      </c>
      <c r="E1376" s="2" t="s">
        <v>34</v>
      </c>
    </row>
    <row r="1377" spans="1:5" x14ac:dyDescent="0.2">
      <c r="A1377" s="2" t="s">
        <v>2317</v>
      </c>
      <c r="B1377" s="2" t="s">
        <v>5001</v>
      </c>
      <c r="C1377" s="2" t="s">
        <v>4833</v>
      </c>
      <c r="D1377" s="2" t="s">
        <v>2312</v>
      </c>
      <c r="E1377" s="2" t="s">
        <v>34</v>
      </c>
    </row>
    <row r="1378" spans="1:5" x14ac:dyDescent="0.2">
      <c r="A1378" s="2" t="s">
        <v>3527</v>
      </c>
      <c r="B1378" s="2" t="s">
        <v>5001</v>
      </c>
      <c r="C1378" s="2" t="s">
        <v>4833</v>
      </c>
      <c r="D1378" s="2" t="s">
        <v>3524</v>
      </c>
      <c r="E1378" s="2" t="s">
        <v>34</v>
      </c>
    </row>
    <row r="1379" spans="1:5" x14ac:dyDescent="0.2">
      <c r="A1379" s="2" t="s">
        <v>3560</v>
      </c>
      <c r="B1379" s="2" t="s">
        <v>5001</v>
      </c>
      <c r="C1379" s="2" t="s">
        <v>4833</v>
      </c>
      <c r="D1379" s="2" t="s">
        <v>3556</v>
      </c>
      <c r="E1379" s="2" t="s">
        <v>34</v>
      </c>
    </row>
    <row r="1380" spans="1:5" x14ac:dyDescent="0.2">
      <c r="A1380" s="2" t="s">
        <v>4714</v>
      </c>
      <c r="B1380" s="2" t="s">
        <v>5001</v>
      </c>
      <c r="C1380" s="2" t="s">
        <v>4833</v>
      </c>
      <c r="D1380" s="2" t="s">
        <v>4710</v>
      </c>
      <c r="E1380" s="2" t="s">
        <v>34</v>
      </c>
    </row>
    <row r="1381" spans="1:5" x14ac:dyDescent="0.2">
      <c r="A1381" s="2" t="s">
        <v>5041</v>
      </c>
      <c r="B1381" s="2" t="s">
        <v>5001</v>
      </c>
      <c r="C1381" s="2" t="s">
        <v>4835</v>
      </c>
      <c r="D1381" s="2" t="s">
        <v>34</v>
      </c>
      <c r="E1381" s="2" t="s">
        <v>34</v>
      </c>
    </row>
    <row r="1382" spans="1:5" x14ac:dyDescent="0.2">
      <c r="A1382" s="2" t="s">
        <v>4304</v>
      </c>
      <c r="B1382" s="2" t="s">
        <v>5001</v>
      </c>
      <c r="C1382" s="2" t="s">
        <v>4833</v>
      </c>
      <c r="D1382" s="2" t="s">
        <v>4300</v>
      </c>
      <c r="E1382" s="2" t="s">
        <v>34</v>
      </c>
    </row>
    <row r="1383" spans="1:5" x14ac:dyDescent="0.2">
      <c r="A1383" s="2" t="s">
        <v>2189</v>
      </c>
      <c r="B1383" s="2" t="s">
        <v>5001</v>
      </c>
      <c r="C1383" s="2" t="s">
        <v>4833</v>
      </c>
      <c r="D1383" s="2" t="s">
        <v>2185</v>
      </c>
      <c r="E1383" s="2" t="s">
        <v>34</v>
      </c>
    </row>
    <row r="1384" spans="1:5" x14ac:dyDescent="0.2">
      <c r="A1384" s="2" t="s">
        <v>2712</v>
      </c>
      <c r="B1384" s="2" t="s">
        <v>5001</v>
      </c>
      <c r="C1384" s="2" t="s">
        <v>4833</v>
      </c>
      <c r="D1384" s="2" t="s">
        <v>2709</v>
      </c>
      <c r="E1384" s="2" t="s">
        <v>34</v>
      </c>
    </row>
    <row r="1385" spans="1:5" x14ac:dyDescent="0.2">
      <c r="A1385" s="2" t="s">
        <v>3739</v>
      </c>
      <c r="B1385" s="2" t="s">
        <v>5001</v>
      </c>
      <c r="C1385" s="2" t="s">
        <v>4833</v>
      </c>
      <c r="D1385" s="2" t="s">
        <v>3736</v>
      </c>
      <c r="E1385" s="2" t="s">
        <v>34</v>
      </c>
    </row>
    <row r="1386" spans="1:5" x14ac:dyDescent="0.2">
      <c r="A1386" s="2" t="s">
        <v>4338</v>
      </c>
      <c r="B1386" s="2" t="s">
        <v>5001</v>
      </c>
      <c r="C1386" s="2" t="s">
        <v>4833</v>
      </c>
      <c r="D1386" s="2" t="s">
        <v>4334</v>
      </c>
      <c r="E1386" s="2" t="s">
        <v>34</v>
      </c>
    </row>
    <row r="1387" spans="1:5" x14ac:dyDescent="0.2">
      <c r="A1387" s="2" t="s">
        <v>5042</v>
      </c>
      <c r="B1387" s="2" t="s">
        <v>5001</v>
      </c>
      <c r="C1387" s="2" t="s">
        <v>4837</v>
      </c>
      <c r="D1387" s="2" t="s">
        <v>34</v>
      </c>
      <c r="E1387" s="2" t="s">
        <v>34</v>
      </c>
    </row>
    <row r="1388" spans="1:5" x14ac:dyDescent="0.2">
      <c r="A1388" s="2" t="s">
        <v>5043</v>
      </c>
      <c r="B1388" s="2" t="s">
        <v>5001</v>
      </c>
      <c r="C1388" s="2" t="s">
        <v>4835</v>
      </c>
      <c r="D1388" s="2" t="s">
        <v>34</v>
      </c>
      <c r="E1388" s="2" t="s">
        <v>34</v>
      </c>
    </row>
    <row r="1389" spans="1:5" x14ac:dyDescent="0.2">
      <c r="A1389" s="2" t="s">
        <v>5044</v>
      </c>
      <c r="B1389" s="2" t="s">
        <v>5001</v>
      </c>
      <c r="C1389" s="2" t="s">
        <v>4835</v>
      </c>
      <c r="D1389" s="2" t="s">
        <v>34</v>
      </c>
      <c r="E1389" s="2" t="s">
        <v>34</v>
      </c>
    </row>
    <row r="1390" spans="1:5" x14ac:dyDescent="0.2">
      <c r="A1390" s="2" t="s">
        <v>4160</v>
      </c>
      <c r="B1390" s="2" t="s">
        <v>5001</v>
      </c>
      <c r="C1390" s="2" t="s">
        <v>4833</v>
      </c>
      <c r="D1390" s="2" t="s">
        <v>4157</v>
      </c>
      <c r="E1390" s="2" t="s">
        <v>34</v>
      </c>
    </row>
    <row r="1391" spans="1:5" x14ac:dyDescent="0.2">
      <c r="A1391" s="2" t="s">
        <v>1926</v>
      </c>
      <c r="B1391" s="2" t="s">
        <v>5001</v>
      </c>
      <c r="C1391" s="2" t="s">
        <v>4833</v>
      </c>
      <c r="D1391" s="2" t="s">
        <v>1922</v>
      </c>
      <c r="E1391" s="2" t="s">
        <v>34</v>
      </c>
    </row>
    <row r="1392" spans="1:5" x14ac:dyDescent="0.2">
      <c r="A1392" s="2" t="s">
        <v>5045</v>
      </c>
      <c r="B1392" s="2" t="s">
        <v>5001</v>
      </c>
      <c r="C1392" s="2" t="s">
        <v>4835</v>
      </c>
      <c r="D1392" s="2" t="s">
        <v>34</v>
      </c>
      <c r="E1392" s="2" t="s">
        <v>34</v>
      </c>
    </row>
    <row r="1393" spans="1:5" x14ac:dyDescent="0.2">
      <c r="A1393" s="2" t="s">
        <v>1288</v>
      </c>
      <c r="B1393" s="2" t="s">
        <v>5001</v>
      </c>
      <c r="C1393" s="2" t="s">
        <v>4833</v>
      </c>
      <c r="D1393" s="2" t="s">
        <v>1283</v>
      </c>
      <c r="E1393" s="2" t="s">
        <v>34</v>
      </c>
    </row>
    <row r="1394" spans="1:5" x14ac:dyDescent="0.2">
      <c r="A1394" s="2" t="s">
        <v>1130</v>
      </c>
      <c r="B1394" s="2" t="s">
        <v>5001</v>
      </c>
      <c r="C1394" s="2" t="s">
        <v>4833</v>
      </c>
      <c r="D1394" s="2" t="s">
        <v>1126</v>
      </c>
      <c r="E1394" s="2" t="s">
        <v>34</v>
      </c>
    </row>
    <row r="1395" spans="1:5" x14ac:dyDescent="0.2">
      <c r="A1395" s="2" t="s">
        <v>4789</v>
      </c>
      <c r="B1395" s="2" t="s">
        <v>5001</v>
      </c>
      <c r="C1395" s="2" t="s">
        <v>4833</v>
      </c>
      <c r="D1395" s="2" t="s">
        <v>4785</v>
      </c>
      <c r="E1395" s="2" t="s">
        <v>34</v>
      </c>
    </row>
    <row r="1396" spans="1:5" x14ac:dyDescent="0.2">
      <c r="A1396" s="2" t="s">
        <v>3198</v>
      </c>
      <c r="B1396" s="2" t="s">
        <v>5001</v>
      </c>
      <c r="C1396" s="2" t="s">
        <v>4833</v>
      </c>
      <c r="D1396" s="2" t="s">
        <v>3194</v>
      </c>
      <c r="E1396" s="2" t="s">
        <v>34</v>
      </c>
    </row>
    <row r="1397" spans="1:5" x14ac:dyDescent="0.2">
      <c r="A1397" s="2" t="s">
        <v>1853</v>
      </c>
      <c r="B1397" s="2" t="s">
        <v>5001</v>
      </c>
      <c r="C1397" s="2" t="s">
        <v>4833</v>
      </c>
      <c r="D1397" s="2" t="s">
        <v>1849</v>
      </c>
      <c r="E1397" s="2" t="s">
        <v>34</v>
      </c>
    </row>
    <row r="1398" spans="1:5" x14ac:dyDescent="0.2">
      <c r="A1398" s="2" t="s">
        <v>692</v>
      </c>
      <c r="B1398" s="2" t="s">
        <v>5001</v>
      </c>
      <c r="C1398" s="2" t="s">
        <v>4833</v>
      </c>
      <c r="D1398" s="2" t="s">
        <v>688</v>
      </c>
      <c r="E1398" s="2" t="s">
        <v>34</v>
      </c>
    </row>
    <row r="1399" spans="1:5" x14ac:dyDescent="0.2">
      <c r="A1399" s="2" t="s">
        <v>5046</v>
      </c>
      <c r="B1399" s="2" t="s">
        <v>5001</v>
      </c>
      <c r="C1399" s="2" t="s">
        <v>4835</v>
      </c>
      <c r="D1399" s="2" t="s">
        <v>34</v>
      </c>
      <c r="E1399" s="2" t="s">
        <v>34</v>
      </c>
    </row>
    <row r="1400" spans="1:5" x14ac:dyDescent="0.2">
      <c r="A1400" s="2" t="s">
        <v>5047</v>
      </c>
      <c r="B1400" s="2" t="s">
        <v>5001</v>
      </c>
      <c r="C1400" s="2" t="s">
        <v>4835</v>
      </c>
      <c r="D1400" s="2" t="s">
        <v>34</v>
      </c>
      <c r="E1400" s="2" t="s">
        <v>34</v>
      </c>
    </row>
    <row r="1401" spans="1:5" x14ac:dyDescent="0.2">
      <c r="A1401" s="2" t="s">
        <v>2296</v>
      </c>
      <c r="B1401" s="2" t="s">
        <v>5001</v>
      </c>
      <c r="C1401" s="2" t="s">
        <v>4833</v>
      </c>
      <c r="D1401" s="2" t="s">
        <v>2292</v>
      </c>
      <c r="E1401" s="2" t="s">
        <v>34</v>
      </c>
    </row>
    <row r="1402" spans="1:5" x14ac:dyDescent="0.2">
      <c r="A1402" s="2" t="s">
        <v>4556</v>
      </c>
      <c r="B1402" s="2" t="s">
        <v>5001</v>
      </c>
      <c r="C1402" s="2" t="s">
        <v>4833</v>
      </c>
      <c r="D1402" s="2" t="s">
        <v>4551</v>
      </c>
      <c r="E1402" s="2" t="s">
        <v>34</v>
      </c>
    </row>
    <row r="1403" spans="1:5" x14ac:dyDescent="0.2">
      <c r="A1403" s="2" t="s">
        <v>3845</v>
      </c>
      <c r="B1403" s="2" t="s">
        <v>5001</v>
      </c>
      <c r="C1403" s="2" t="s">
        <v>4833</v>
      </c>
      <c r="D1403" s="2" t="s">
        <v>3842</v>
      </c>
      <c r="E1403" s="2" t="s">
        <v>34</v>
      </c>
    </row>
    <row r="1404" spans="1:5" x14ac:dyDescent="0.2">
      <c r="A1404" s="2" t="s">
        <v>5048</v>
      </c>
      <c r="B1404" s="2" t="s">
        <v>5001</v>
      </c>
      <c r="C1404" s="2" t="s">
        <v>4835</v>
      </c>
      <c r="D1404" s="2" t="s">
        <v>34</v>
      </c>
      <c r="E1404" s="2" t="s">
        <v>34</v>
      </c>
    </row>
    <row r="1405" spans="1:5" x14ac:dyDescent="0.2">
      <c r="A1405" s="2" t="s">
        <v>1865</v>
      </c>
      <c r="B1405" s="2" t="s">
        <v>5001</v>
      </c>
      <c r="C1405" s="2" t="s">
        <v>4833</v>
      </c>
      <c r="D1405" s="2" t="s">
        <v>1860</v>
      </c>
      <c r="E1405" s="2" t="s">
        <v>34</v>
      </c>
    </row>
    <row r="1406" spans="1:5" x14ac:dyDescent="0.2">
      <c r="A1406" s="2" t="s">
        <v>4619</v>
      </c>
      <c r="B1406" s="2" t="s">
        <v>5001</v>
      </c>
      <c r="C1406" s="2" t="s">
        <v>4833</v>
      </c>
      <c r="D1406" s="2" t="s">
        <v>4616</v>
      </c>
      <c r="E1406" s="2" t="s">
        <v>34</v>
      </c>
    </row>
    <row r="1407" spans="1:5" x14ac:dyDescent="0.2">
      <c r="A1407" s="2" t="s">
        <v>2233</v>
      </c>
      <c r="B1407" s="2" t="s">
        <v>5001</v>
      </c>
      <c r="C1407" s="2" t="s">
        <v>4833</v>
      </c>
      <c r="D1407" s="2" t="s">
        <v>2229</v>
      </c>
      <c r="E1407" s="2" t="s">
        <v>34</v>
      </c>
    </row>
    <row r="1408" spans="1:5" x14ac:dyDescent="0.2">
      <c r="A1408" s="2" t="s">
        <v>5049</v>
      </c>
      <c r="B1408" s="2" t="s">
        <v>5001</v>
      </c>
      <c r="C1408" s="2" t="s">
        <v>4835</v>
      </c>
      <c r="D1408" s="2" t="s">
        <v>34</v>
      </c>
      <c r="E1408" s="2" t="s">
        <v>34</v>
      </c>
    </row>
    <row r="1409" spans="1:5" x14ac:dyDescent="0.2">
      <c r="A1409" s="2" t="s">
        <v>5050</v>
      </c>
      <c r="B1409" s="2" t="s">
        <v>5001</v>
      </c>
      <c r="C1409" s="2" t="s">
        <v>4837</v>
      </c>
      <c r="D1409" s="2" t="s">
        <v>34</v>
      </c>
      <c r="E1409" s="2" t="s">
        <v>34</v>
      </c>
    </row>
    <row r="1410" spans="1:5" x14ac:dyDescent="0.2">
      <c r="A1410" s="2" t="s">
        <v>4588</v>
      </c>
      <c r="B1410" s="2" t="s">
        <v>5001</v>
      </c>
      <c r="C1410" s="2" t="s">
        <v>4833</v>
      </c>
      <c r="D1410" s="2" t="s">
        <v>4585</v>
      </c>
      <c r="E1410" s="2" t="s">
        <v>34</v>
      </c>
    </row>
    <row r="1411" spans="1:5" x14ac:dyDescent="0.2">
      <c r="A1411" s="2" t="s">
        <v>3779</v>
      </c>
      <c r="B1411" s="2" t="s">
        <v>5001</v>
      </c>
      <c r="C1411" s="2" t="s">
        <v>4833</v>
      </c>
      <c r="D1411" s="2" t="s">
        <v>3775</v>
      </c>
      <c r="E1411" s="2" t="s">
        <v>34</v>
      </c>
    </row>
    <row r="1412" spans="1:5" x14ac:dyDescent="0.2">
      <c r="A1412" s="2" t="s">
        <v>5051</v>
      </c>
      <c r="B1412" s="2" t="s">
        <v>5001</v>
      </c>
      <c r="C1412" s="2" t="s">
        <v>4835</v>
      </c>
      <c r="D1412" s="2" t="s">
        <v>34</v>
      </c>
      <c r="E1412" s="2" t="s">
        <v>34</v>
      </c>
    </row>
    <row r="1413" spans="1:5" x14ac:dyDescent="0.2">
      <c r="A1413" s="2" t="s">
        <v>5052</v>
      </c>
      <c r="B1413" s="2" t="s">
        <v>5001</v>
      </c>
      <c r="C1413" s="2" t="s">
        <v>4837</v>
      </c>
      <c r="D1413" s="2" t="s">
        <v>34</v>
      </c>
      <c r="E1413" s="2" t="s">
        <v>34</v>
      </c>
    </row>
    <row r="1414" spans="1:5" x14ac:dyDescent="0.2">
      <c r="A1414" s="2" t="s">
        <v>5053</v>
      </c>
      <c r="B1414" s="2" t="s">
        <v>5001</v>
      </c>
      <c r="C1414" s="2" t="s">
        <v>4835</v>
      </c>
      <c r="D1414" s="2" t="s">
        <v>34</v>
      </c>
      <c r="E1414" s="2" t="s">
        <v>34</v>
      </c>
    </row>
    <row r="1415" spans="1:5" x14ac:dyDescent="0.2">
      <c r="A1415" s="2" t="s">
        <v>5054</v>
      </c>
      <c r="B1415" s="2" t="s">
        <v>5001</v>
      </c>
      <c r="C1415" s="2" t="s">
        <v>4835</v>
      </c>
      <c r="D1415" s="2" t="s">
        <v>34</v>
      </c>
      <c r="E1415" s="2" t="s">
        <v>34</v>
      </c>
    </row>
    <row r="1416" spans="1:5" x14ac:dyDescent="0.2">
      <c r="A1416" s="2" t="s">
        <v>853</v>
      </c>
      <c r="B1416" s="2" t="s">
        <v>5001</v>
      </c>
      <c r="C1416" s="2" t="s">
        <v>4833</v>
      </c>
      <c r="D1416" s="2" t="s">
        <v>848</v>
      </c>
      <c r="E1416" s="2" t="s">
        <v>34</v>
      </c>
    </row>
    <row r="1417" spans="1:5" x14ac:dyDescent="0.2">
      <c r="A1417" s="2" t="s">
        <v>5055</v>
      </c>
      <c r="B1417" s="2" t="s">
        <v>5001</v>
      </c>
      <c r="C1417" s="2" t="s">
        <v>4835</v>
      </c>
      <c r="D1417" s="2" t="s">
        <v>34</v>
      </c>
      <c r="E1417" s="2" t="s">
        <v>34</v>
      </c>
    </row>
    <row r="1418" spans="1:5" x14ac:dyDescent="0.2">
      <c r="A1418" s="2" t="s">
        <v>2511</v>
      </c>
      <c r="B1418" s="2" t="s">
        <v>5001</v>
      </c>
      <c r="C1418" s="2" t="s">
        <v>4833</v>
      </c>
      <c r="D1418" s="2" t="s">
        <v>2505</v>
      </c>
      <c r="E1418" s="2" t="s">
        <v>34</v>
      </c>
    </row>
    <row r="1419" spans="1:5" x14ac:dyDescent="0.2">
      <c r="A1419" s="2" t="s">
        <v>3477</v>
      </c>
      <c r="B1419" s="2" t="s">
        <v>5001</v>
      </c>
      <c r="C1419" s="2" t="s">
        <v>4833</v>
      </c>
      <c r="D1419" s="2" t="s">
        <v>3473</v>
      </c>
      <c r="E1419" s="2" t="s">
        <v>34</v>
      </c>
    </row>
    <row r="1420" spans="1:5" x14ac:dyDescent="0.2">
      <c r="A1420" s="2" t="s">
        <v>5056</v>
      </c>
      <c r="B1420" s="2" t="s">
        <v>5001</v>
      </c>
      <c r="C1420" s="2" t="s">
        <v>4835</v>
      </c>
      <c r="D1420" s="2" t="s">
        <v>34</v>
      </c>
      <c r="E1420" s="2" t="s">
        <v>34</v>
      </c>
    </row>
    <row r="1421" spans="1:5" x14ac:dyDescent="0.2">
      <c r="A1421" s="2" t="s">
        <v>244</v>
      </c>
      <c r="B1421" s="2" t="s">
        <v>5001</v>
      </c>
      <c r="C1421" s="2" t="s">
        <v>4833</v>
      </c>
      <c r="D1421" s="2" t="s">
        <v>240</v>
      </c>
      <c r="E1421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7"/>
  <sheetViews>
    <sheetView showGridLines="0" workbookViewId="0">
      <selection activeCell="E1" sqref="E1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4" width="16" customWidth="1"/>
    <col min="5" max="5" width="10" customWidth="1"/>
  </cols>
  <sheetData>
    <row r="1" spans="1:5" ht="22" customHeight="1" x14ac:dyDescent="0.2">
      <c r="A1" s="1" t="s">
        <v>5057</v>
      </c>
      <c r="B1" s="1" t="s">
        <v>4831</v>
      </c>
      <c r="C1" s="1" t="s">
        <v>5694</v>
      </c>
      <c r="D1" s="1" t="s">
        <v>5695</v>
      </c>
      <c r="E1" s="1" t="s">
        <v>5058</v>
      </c>
    </row>
    <row r="2" spans="1:5" x14ac:dyDescent="0.2">
      <c r="A2" s="2" t="s">
        <v>846</v>
      </c>
      <c r="B2" s="2" t="s">
        <v>841</v>
      </c>
      <c r="C2" s="2">
        <v>45</v>
      </c>
      <c r="D2" s="4">
        <v>707.31</v>
      </c>
      <c r="E2" s="2" t="s">
        <v>78</v>
      </c>
    </row>
    <row r="3" spans="1:5" x14ac:dyDescent="0.2">
      <c r="A3" s="2" t="s">
        <v>2649</v>
      </c>
      <c r="B3" s="2" t="s">
        <v>2643</v>
      </c>
      <c r="C3" s="2">
        <v>45</v>
      </c>
      <c r="D3" s="4">
        <v>514.02</v>
      </c>
      <c r="E3" s="2" t="s">
        <v>78</v>
      </c>
    </row>
    <row r="4" spans="1:5" x14ac:dyDescent="0.2">
      <c r="A4" s="2" t="s">
        <v>1102</v>
      </c>
      <c r="B4" s="2" t="s">
        <v>1096</v>
      </c>
      <c r="C4" s="2">
        <v>32</v>
      </c>
      <c r="D4" s="4">
        <v>808.83</v>
      </c>
      <c r="E4" s="2" t="s">
        <v>78</v>
      </c>
    </row>
    <row r="5" spans="1:5" x14ac:dyDescent="0.2">
      <c r="A5" s="2" t="s">
        <v>2024</v>
      </c>
      <c r="B5" s="2" t="s">
        <v>2019</v>
      </c>
      <c r="C5" s="2">
        <v>45</v>
      </c>
      <c r="D5" s="4">
        <v>845.25</v>
      </c>
      <c r="E5" s="2" t="s">
        <v>78</v>
      </c>
    </row>
    <row r="6" spans="1:5" x14ac:dyDescent="0.2">
      <c r="A6" s="2" t="s">
        <v>2235</v>
      </c>
      <c r="B6" s="2" t="s">
        <v>2229</v>
      </c>
      <c r="C6" s="2">
        <v>32</v>
      </c>
      <c r="D6" s="4">
        <v>543.76</v>
      </c>
      <c r="E6" s="2" t="s">
        <v>78</v>
      </c>
    </row>
    <row r="7" spans="1:5" x14ac:dyDescent="0.2">
      <c r="A7" s="2" t="s">
        <v>2880</v>
      </c>
      <c r="B7" s="2" t="s">
        <v>2876</v>
      </c>
      <c r="C7" s="2">
        <v>28</v>
      </c>
      <c r="D7" s="4">
        <v>624.77</v>
      </c>
      <c r="E7" s="2" t="s">
        <v>78</v>
      </c>
    </row>
    <row r="8" spans="1:5" x14ac:dyDescent="0.2">
      <c r="A8" s="2" t="s">
        <v>4161</v>
      </c>
      <c r="B8" s="2" t="s">
        <v>4157</v>
      </c>
      <c r="C8" s="2">
        <v>50</v>
      </c>
      <c r="D8" s="4">
        <v>937.44</v>
      </c>
      <c r="E8" s="2" t="s">
        <v>78</v>
      </c>
    </row>
    <row r="9" spans="1:5" x14ac:dyDescent="0.2">
      <c r="A9" s="2" t="s">
        <v>854</v>
      </c>
      <c r="B9" s="2" t="s">
        <v>848</v>
      </c>
      <c r="C9" s="2">
        <v>45</v>
      </c>
      <c r="D9" s="4">
        <v>769.1</v>
      </c>
      <c r="E9" s="2" t="s">
        <v>78</v>
      </c>
    </row>
    <row r="10" spans="1:5" x14ac:dyDescent="0.2">
      <c r="A10" s="2" t="s">
        <v>4022</v>
      </c>
      <c r="B10" s="2" t="s">
        <v>4017</v>
      </c>
      <c r="C10" s="2">
        <v>50</v>
      </c>
      <c r="D10" s="4">
        <v>601.28</v>
      </c>
      <c r="E10" s="2" t="s">
        <v>78</v>
      </c>
    </row>
    <row r="11" spans="1:5" x14ac:dyDescent="0.2">
      <c r="A11" s="2" t="s">
        <v>2287</v>
      </c>
      <c r="B11" s="2" t="s">
        <v>2283</v>
      </c>
      <c r="C11" s="2">
        <v>30</v>
      </c>
      <c r="D11" s="4">
        <v>481.45</v>
      </c>
      <c r="E11" s="2" t="s">
        <v>78</v>
      </c>
    </row>
    <row r="12" spans="1:5" x14ac:dyDescent="0.2">
      <c r="A12" s="2" t="s">
        <v>3603</v>
      </c>
      <c r="B12" s="2" t="s">
        <v>3598</v>
      </c>
      <c r="C12" s="2">
        <v>28</v>
      </c>
      <c r="D12" s="4">
        <v>434.99</v>
      </c>
      <c r="E12" s="2" t="s">
        <v>78</v>
      </c>
    </row>
    <row r="13" spans="1:5" x14ac:dyDescent="0.2">
      <c r="A13" s="2" t="s">
        <v>2568</v>
      </c>
      <c r="B13" s="2" t="s">
        <v>2564</v>
      </c>
      <c r="C13" s="2">
        <v>40</v>
      </c>
      <c r="D13" s="4">
        <v>539.03</v>
      </c>
      <c r="E13" s="2" t="s">
        <v>78</v>
      </c>
    </row>
    <row r="14" spans="1:5" x14ac:dyDescent="0.2">
      <c r="A14" s="2" t="s">
        <v>3948</v>
      </c>
      <c r="B14" s="2" t="s">
        <v>3943</v>
      </c>
      <c r="C14" s="2">
        <v>50</v>
      </c>
      <c r="D14" s="4">
        <v>857.45</v>
      </c>
      <c r="E14" s="2" t="s">
        <v>78</v>
      </c>
    </row>
    <row r="15" spans="1:5" x14ac:dyDescent="0.2">
      <c r="A15" s="2" t="s">
        <v>2540</v>
      </c>
      <c r="B15" s="2" t="s">
        <v>2535</v>
      </c>
      <c r="C15" s="2">
        <v>45</v>
      </c>
      <c r="D15" s="4">
        <v>655.81</v>
      </c>
      <c r="E15" s="2" t="s">
        <v>78</v>
      </c>
    </row>
    <row r="16" spans="1:5" x14ac:dyDescent="0.2">
      <c r="A16" s="2" t="s">
        <v>2324</v>
      </c>
      <c r="B16" s="2" t="s">
        <v>2318</v>
      </c>
      <c r="C16" s="2">
        <v>28</v>
      </c>
      <c r="D16" s="4">
        <v>403.02</v>
      </c>
      <c r="E16" s="2" t="s">
        <v>78</v>
      </c>
    </row>
    <row r="17" spans="1:5" x14ac:dyDescent="0.2">
      <c r="A17" s="2" t="s">
        <v>554</v>
      </c>
      <c r="B17" s="2" t="s">
        <v>548</v>
      </c>
      <c r="C17" s="2">
        <v>45</v>
      </c>
      <c r="D17" s="4">
        <v>514.85</v>
      </c>
      <c r="E17" s="2" t="s">
        <v>78</v>
      </c>
    </row>
    <row r="18" spans="1:5" x14ac:dyDescent="0.2">
      <c r="A18" s="2" t="s">
        <v>3400</v>
      </c>
      <c r="B18" s="2" t="s">
        <v>3395</v>
      </c>
      <c r="C18" s="2">
        <v>28</v>
      </c>
      <c r="D18" s="4">
        <v>621.80999999999995</v>
      </c>
      <c r="E18" s="2" t="s">
        <v>78</v>
      </c>
    </row>
    <row r="19" spans="1:5" x14ac:dyDescent="0.2">
      <c r="A19" s="2" t="s">
        <v>1842</v>
      </c>
      <c r="B19" s="2" t="s">
        <v>1838</v>
      </c>
      <c r="C19" s="2">
        <v>35</v>
      </c>
      <c r="D19" s="4">
        <v>555.64</v>
      </c>
      <c r="E19" s="2" t="s">
        <v>78</v>
      </c>
    </row>
    <row r="20" spans="1:5" x14ac:dyDescent="0.2">
      <c r="A20" s="2" t="s">
        <v>3591</v>
      </c>
      <c r="B20" s="2" t="s">
        <v>3586</v>
      </c>
      <c r="C20" s="2">
        <v>30</v>
      </c>
      <c r="D20" s="4">
        <v>487.88</v>
      </c>
      <c r="E20" s="2" t="s">
        <v>78</v>
      </c>
    </row>
    <row r="21" spans="1:5" x14ac:dyDescent="0.2">
      <c r="A21" s="2" t="s">
        <v>3656</v>
      </c>
      <c r="B21" s="2" t="s">
        <v>3651</v>
      </c>
      <c r="C21" s="2">
        <v>40</v>
      </c>
      <c r="D21" s="4">
        <v>691.01</v>
      </c>
      <c r="E21" s="2" t="s">
        <v>78</v>
      </c>
    </row>
    <row r="22" spans="1:5" x14ac:dyDescent="0.2">
      <c r="A22" s="2" t="s">
        <v>5059</v>
      </c>
      <c r="B22" s="2" t="s">
        <v>34</v>
      </c>
      <c r="C22" s="2">
        <v>28</v>
      </c>
      <c r="D22" s="4">
        <v>627.94000000000005</v>
      </c>
      <c r="E22" s="2" t="s">
        <v>78</v>
      </c>
    </row>
    <row r="23" spans="1:5" x14ac:dyDescent="0.2">
      <c r="A23" s="2" t="s">
        <v>3171</v>
      </c>
      <c r="B23" s="2" t="s">
        <v>3165</v>
      </c>
      <c r="C23" s="2">
        <v>35</v>
      </c>
      <c r="D23" s="4">
        <v>677.37</v>
      </c>
      <c r="E23" s="2" t="s">
        <v>78</v>
      </c>
    </row>
    <row r="24" spans="1:5" x14ac:dyDescent="0.2">
      <c r="A24" s="2" t="s">
        <v>441</v>
      </c>
      <c r="B24" s="2" t="s">
        <v>436</v>
      </c>
      <c r="C24" s="2">
        <v>28</v>
      </c>
      <c r="D24" s="4">
        <v>690.95</v>
      </c>
      <c r="E24" s="2" t="s">
        <v>78</v>
      </c>
    </row>
    <row r="25" spans="1:5" x14ac:dyDescent="0.2">
      <c r="A25" s="2" t="s">
        <v>2696</v>
      </c>
      <c r="B25" s="2" t="s">
        <v>2692</v>
      </c>
      <c r="C25" s="2">
        <v>30</v>
      </c>
      <c r="D25" s="4">
        <v>764.79</v>
      </c>
      <c r="E25" s="2" t="s">
        <v>78</v>
      </c>
    </row>
    <row r="26" spans="1:5" x14ac:dyDescent="0.2">
      <c r="A26" s="2" t="s">
        <v>3233</v>
      </c>
      <c r="B26" s="2" t="s">
        <v>3229</v>
      </c>
      <c r="C26" s="2">
        <v>32</v>
      </c>
      <c r="D26" s="4">
        <v>635.04</v>
      </c>
      <c r="E26" s="2" t="s">
        <v>78</v>
      </c>
    </row>
    <row r="27" spans="1:5" x14ac:dyDescent="0.2">
      <c r="A27" s="2" t="s">
        <v>2065</v>
      </c>
      <c r="B27" s="2" t="s">
        <v>2059</v>
      </c>
      <c r="C27" s="2">
        <v>32</v>
      </c>
      <c r="D27" s="4">
        <v>530.66</v>
      </c>
      <c r="E27" s="2" t="s">
        <v>78</v>
      </c>
    </row>
    <row r="28" spans="1:5" x14ac:dyDescent="0.2">
      <c r="A28" s="2" t="s">
        <v>84</v>
      </c>
      <c r="B28" s="2" t="s">
        <v>79</v>
      </c>
      <c r="C28" s="2">
        <v>32</v>
      </c>
      <c r="D28" s="4">
        <v>673.97</v>
      </c>
      <c r="E28" s="2" t="s">
        <v>78</v>
      </c>
    </row>
    <row r="29" spans="1:5" x14ac:dyDescent="0.2">
      <c r="A29" s="2" t="s">
        <v>2831</v>
      </c>
      <c r="B29" s="2" t="s">
        <v>2825</v>
      </c>
      <c r="C29" s="2">
        <v>32</v>
      </c>
      <c r="D29" s="4">
        <v>636.82000000000005</v>
      </c>
      <c r="E29" s="2" t="s">
        <v>78</v>
      </c>
    </row>
    <row r="30" spans="1:5" x14ac:dyDescent="0.2">
      <c r="A30" s="2" t="s">
        <v>396</v>
      </c>
      <c r="B30" s="2" t="s">
        <v>390</v>
      </c>
      <c r="C30" s="2">
        <v>35</v>
      </c>
      <c r="D30" s="4">
        <v>504.51</v>
      </c>
      <c r="E30" s="2" t="s">
        <v>78</v>
      </c>
    </row>
    <row r="31" spans="1:5" x14ac:dyDescent="0.2">
      <c r="A31" s="2" t="s">
        <v>134</v>
      </c>
      <c r="B31" s="2" t="s">
        <v>127</v>
      </c>
      <c r="C31" s="2">
        <v>40</v>
      </c>
      <c r="D31" s="4">
        <v>918.52</v>
      </c>
      <c r="E31" s="2" t="s">
        <v>78</v>
      </c>
    </row>
    <row r="32" spans="1:5" x14ac:dyDescent="0.2">
      <c r="A32" s="2" t="s">
        <v>1784</v>
      </c>
      <c r="B32" s="2" t="s">
        <v>1778</v>
      </c>
      <c r="C32" s="2">
        <v>32</v>
      </c>
      <c r="D32" s="4">
        <v>474.66</v>
      </c>
      <c r="E32" s="2" t="s">
        <v>78</v>
      </c>
    </row>
    <row r="33" spans="1:5" x14ac:dyDescent="0.2">
      <c r="A33" s="2" t="s">
        <v>2503</v>
      </c>
      <c r="B33" s="2" t="s">
        <v>2498</v>
      </c>
      <c r="C33" s="2">
        <v>28</v>
      </c>
      <c r="D33" s="4">
        <v>617.69000000000005</v>
      </c>
      <c r="E33" s="2" t="s">
        <v>78</v>
      </c>
    </row>
    <row r="34" spans="1:5" x14ac:dyDescent="0.2">
      <c r="A34" s="2" t="s">
        <v>3681</v>
      </c>
      <c r="B34" s="2" t="s">
        <v>3675</v>
      </c>
      <c r="C34" s="2">
        <v>50</v>
      </c>
      <c r="D34" s="4">
        <v>957.07</v>
      </c>
      <c r="E34" s="2" t="s">
        <v>78</v>
      </c>
    </row>
    <row r="35" spans="1:5" x14ac:dyDescent="0.2">
      <c r="A35" s="2" t="s">
        <v>2918</v>
      </c>
      <c r="B35" s="2" t="s">
        <v>2912</v>
      </c>
      <c r="C35" s="2">
        <v>45</v>
      </c>
      <c r="D35" s="4">
        <v>726.45</v>
      </c>
      <c r="E35" s="2" t="s">
        <v>78</v>
      </c>
    </row>
    <row r="36" spans="1:5" x14ac:dyDescent="0.2">
      <c r="A36" s="2" t="s">
        <v>77</v>
      </c>
      <c r="B36" s="2" t="s">
        <v>70</v>
      </c>
      <c r="C36" s="2">
        <v>45</v>
      </c>
      <c r="D36" s="4">
        <v>774.05</v>
      </c>
      <c r="E36" s="2" t="s">
        <v>78</v>
      </c>
    </row>
    <row r="37" spans="1:5" x14ac:dyDescent="0.2">
      <c r="A37" s="2" t="s">
        <v>3263</v>
      </c>
      <c r="B37" s="2" t="s">
        <v>3258</v>
      </c>
      <c r="C37" s="2">
        <v>45</v>
      </c>
      <c r="D37" s="4">
        <v>559.57000000000005</v>
      </c>
      <c r="E37" s="2" t="s">
        <v>78</v>
      </c>
    </row>
    <row r="38" spans="1:5" x14ac:dyDescent="0.2">
      <c r="A38" s="2" t="s">
        <v>4363</v>
      </c>
      <c r="B38" s="2" t="s">
        <v>4358</v>
      </c>
      <c r="C38" s="2">
        <v>28</v>
      </c>
      <c r="D38" s="4">
        <v>635.95000000000005</v>
      </c>
      <c r="E38" s="2" t="s">
        <v>78</v>
      </c>
    </row>
    <row r="39" spans="1:5" x14ac:dyDescent="0.2">
      <c r="A39" s="2" t="s">
        <v>1317</v>
      </c>
      <c r="B39" s="2" t="s">
        <v>1312</v>
      </c>
      <c r="C39" s="2">
        <v>30</v>
      </c>
      <c r="D39" s="4">
        <v>732.19</v>
      </c>
      <c r="E39" s="2" t="s">
        <v>78</v>
      </c>
    </row>
    <row r="40" spans="1:5" x14ac:dyDescent="0.2">
      <c r="A40" s="2" t="s">
        <v>1654</v>
      </c>
      <c r="B40" s="2" t="s">
        <v>1649</v>
      </c>
      <c r="C40" s="2">
        <v>28</v>
      </c>
      <c r="D40" s="4">
        <v>681.57</v>
      </c>
      <c r="E40" s="2" t="s">
        <v>78</v>
      </c>
    </row>
    <row r="41" spans="1:5" x14ac:dyDescent="0.2">
      <c r="A41" s="2" t="s">
        <v>3492</v>
      </c>
      <c r="B41" s="2" t="s">
        <v>3487</v>
      </c>
      <c r="C41" s="2">
        <v>30</v>
      </c>
      <c r="D41" s="4">
        <v>421.08</v>
      </c>
      <c r="E41" s="2" t="s">
        <v>78</v>
      </c>
    </row>
    <row r="42" spans="1:5" x14ac:dyDescent="0.2">
      <c r="A42" s="2" t="s">
        <v>1004</v>
      </c>
      <c r="B42" s="2" t="s">
        <v>999</v>
      </c>
      <c r="C42" s="2">
        <v>45</v>
      </c>
      <c r="D42" s="4">
        <v>613.16</v>
      </c>
      <c r="E42" s="2" t="s">
        <v>78</v>
      </c>
    </row>
    <row r="43" spans="1:5" x14ac:dyDescent="0.2">
      <c r="A43" s="2" t="s">
        <v>3216</v>
      </c>
      <c r="B43" s="2" t="s">
        <v>3211</v>
      </c>
      <c r="C43" s="2">
        <v>35</v>
      </c>
      <c r="D43" s="4">
        <v>804.93</v>
      </c>
      <c r="E43" s="2" t="s">
        <v>78</v>
      </c>
    </row>
    <row r="44" spans="1:5" x14ac:dyDescent="0.2">
      <c r="A44" s="2" t="s">
        <v>4103</v>
      </c>
      <c r="B44" s="2" t="s">
        <v>4097</v>
      </c>
      <c r="C44" s="2">
        <v>45</v>
      </c>
      <c r="D44" s="4">
        <v>614.20000000000005</v>
      </c>
      <c r="E44" s="2" t="s">
        <v>78</v>
      </c>
    </row>
    <row r="45" spans="1:5" x14ac:dyDescent="0.2">
      <c r="A45" s="2" t="s">
        <v>4223</v>
      </c>
      <c r="B45" s="2" t="s">
        <v>4218</v>
      </c>
      <c r="C45" s="2">
        <v>40</v>
      </c>
      <c r="D45" s="4">
        <v>782.31</v>
      </c>
      <c r="E45" s="2" t="s">
        <v>78</v>
      </c>
    </row>
    <row r="46" spans="1:5" x14ac:dyDescent="0.2">
      <c r="A46" s="2" t="s">
        <v>3512</v>
      </c>
      <c r="B46" s="2" t="s">
        <v>3507</v>
      </c>
      <c r="C46" s="2">
        <v>30</v>
      </c>
      <c r="D46" s="4">
        <v>845.43</v>
      </c>
      <c r="E46" s="2" t="s">
        <v>78</v>
      </c>
    </row>
    <row r="47" spans="1:5" x14ac:dyDescent="0.2">
      <c r="A47" s="2" t="s">
        <v>1462</v>
      </c>
      <c r="B47" s="2" t="s">
        <v>1458</v>
      </c>
      <c r="C47" s="2">
        <v>28</v>
      </c>
      <c r="D47" s="4">
        <v>529.77</v>
      </c>
      <c r="E47" s="2" t="s">
        <v>78</v>
      </c>
    </row>
    <row r="48" spans="1:5" x14ac:dyDescent="0.2">
      <c r="A48" s="2" t="s">
        <v>4768</v>
      </c>
      <c r="B48" s="2" t="s">
        <v>4763</v>
      </c>
      <c r="C48" s="2">
        <v>30</v>
      </c>
      <c r="D48" s="4">
        <v>464.72</v>
      </c>
      <c r="E48" s="2" t="s">
        <v>78</v>
      </c>
    </row>
    <row r="49" spans="1:5" x14ac:dyDescent="0.2">
      <c r="A49" s="2" t="s">
        <v>4631</v>
      </c>
      <c r="B49" s="2" t="s">
        <v>4626</v>
      </c>
      <c r="C49" s="2">
        <v>40</v>
      </c>
      <c r="D49" s="4">
        <v>903.08</v>
      </c>
      <c r="E49" s="2" t="s">
        <v>78</v>
      </c>
    </row>
    <row r="50" spans="1:5" x14ac:dyDescent="0.2">
      <c r="A50" s="2" t="s">
        <v>1551</v>
      </c>
      <c r="B50" s="2" t="s">
        <v>1545</v>
      </c>
      <c r="C50" s="2">
        <v>30</v>
      </c>
      <c r="D50" s="4">
        <v>742.97</v>
      </c>
      <c r="E50" s="2" t="s">
        <v>78</v>
      </c>
    </row>
    <row r="51" spans="1:5" x14ac:dyDescent="0.2">
      <c r="A51" s="2" t="s">
        <v>4305</v>
      </c>
      <c r="B51" s="2" t="s">
        <v>4300</v>
      </c>
      <c r="C51" s="2">
        <v>30</v>
      </c>
      <c r="D51" s="4">
        <v>844.79</v>
      </c>
      <c r="E51" s="2" t="s">
        <v>78</v>
      </c>
    </row>
    <row r="52" spans="1:5" x14ac:dyDescent="0.2">
      <c r="A52" s="2" t="s">
        <v>3485</v>
      </c>
      <c r="B52" s="2" t="s">
        <v>3480</v>
      </c>
      <c r="C52" s="2">
        <v>45</v>
      </c>
      <c r="D52" s="4">
        <v>713.87</v>
      </c>
      <c r="E52" s="2" t="s">
        <v>78</v>
      </c>
    </row>
    <row r="53" spans="1:5" x14ac:dyDescent="0.2">
      <c r="A53" s="2" t="s">
        <v>1744</v>
      </c>
      <c r="B53" s="2" t="s">
        <v>1739</v>
      </c>
      <c r="C53" s="2">
        <v>32</v>
      </c>
      <c r="D53" s="4">
        <v>719.19</v>
      </c>
      <c r="E53" s="2" t="s">
        <v>78</v>
      </c>
    </row>
    <row r="54" spans="1:5" x14ac:dyDescent="0.2">
      <c r="A54" s="2" t="s">
        <v>4266</v>
      </c>
      <c r="B54" s="2" t="s">
        <v>4261</v>
      </c>
      <c r="C54" s="2">
        <v>40</v>
      </c>
      <c r="D54" s="4">
        <v>506.8</v>
      </c>
      <c r="E54" s="2" t="s">
        <v>78</v>
      </c>
    </row>
    <row r="55" spans="1:5" x14ac:dyDescent="0.2">
      <c r="A55" s="2" t="s">
        <v>2602</v>
      </c>
      <c r="B55" s="2" t="s">
        <v>2598</v>
      </c>
      <c r="C55" s="2">
        <v>32</v>
      </c>
      <c r="D55" s="4">
        <v>519.23</v>
      </c>
      <c r="E55" s="2" t="s">
        <v>78</v>
      </c>
    </row>
    <row r="56" spans="1:5" x14ac:dyDescent="0.2">
      <c r="A56" s="2" t="s">
        <v>2838</v>
      </c>
      <c r="B56" s="2" t="s">
        <v>2832</v>
      </c>
      <c r="C56" s="2">
        <v>40</v>
      </c>
      <c r="D56" s="4">
        <v>539.34</v>
      </c>
      <c r="E56" s="2" t="s">
        <v>78</v>
      </c>
    </row>
    <row r="57" spans="1:5" x14ac:dyDescent="0.2">
      <c r="A57" s="2" t="s">
        <v>2303</v>
      </c>
      <c r="B57" s="2" t="s">
        <v>2297</v>
      </c>
      <c r="C57" s="2">
        <v>30</v>
      </c>
      <c r="D57" s="4">
        <v>545.41999999999996</v>
      </c>
      <c r="E57" s="2" t="s">
        <v>78</v>
      </c>
    </row>
    <row r="58" spans="1:5" x14ac:dyDescent="0.2">
      <c r="A58" s="2" t="s">
        <v>5060</v>
      </c>
      <c r="B58" s="2" t="s">
        <v>34</v>
      </c>
      <c r="C58" s="2">
        <v>32</v>
      </c>
      <c r="D58" s="4">
        <v>740.67</v>
      </c>
      <c r="E58" s="2" t="s">
        <v>36</v>
      </c>
    </row>
    <row r="59" spans="1:5" x14ac:dyDescent="0.2">
      <c r="A59" s="2" t="s">
        <v>2512</v>
      </c>
      <c r="B59" s="2" t="s">
        <v>2505</v>
      </c>
      <c r="C59" s="2">
        <v>40</v>
      </c>
      <c r="D59" s="4">
        <v>877.46</v>
      </c>
      <c r="E59" s="2" t="s">
        <v>78</v>
      </c>
    </row>
    <row r="60" spans="1:5" x14ac:dyDescent="0.2">
      <c r="A60" s="2" t="s">
        <v>946</v>
      </c>
      <c r="B60" s="2" t="s">
        <v>940</v>
      </c>
      <c r="C60" s="2">
        <v>40</v>
      </c>
      <c r="D60" s="4">
        <v>567.51</v>
      </c>
      <c r="E60" s="2" t="s">
        <v>78</v>
      </c>
    </row>
    <row r="61" spans="1:5" x14ac:dyDescent="0.2">
      <c r="A61" s="2" t="s">
        <v>2844</v>
      </c>
      <c r="B61" s="2" t="s">
        <v>2839</v>
      </c>
      <c r="C61" s="2">
        <v>40</v>
      </c>
      <c r="D61" s="4">
        <v>917.36</v>
      </c>
      <c r="E61" s="2" t="s">
        <v>78</v>
      </c>
    </row>
    <row r="62" spans="1:5" x14ac:dyDescent="0.2">
      <c r="A62" s="2" t="s">
        <v>1871</v>
      </c>
      <c r="B62" s="2" t="s">
        <v>1867</v>
      </c>
      <c r="C62" s="2">
        <v>32</v>
      </c>
      <c r="D62" s="4">
        <v>605.49</v>
      </c>
      <c r="E62" s="2" t="s">
        <v>78</v>
      </c>
    </row>
    <row r="63" spans="1:5" x14ac:dyDescent="0.2">
      <c r="A63" s="2" t="s">
        <v>872</v>
      </c>
      <c r="B63" s="2" t="s">
        <v>866</v>
      </c>
      <c r="C63" s="2">
        <v>35</v>
      </c>
      <c r="D63" s="4">
        <v>775.27</v>
      </c>
      <c r="E63" s="2" t="s">
        <v>78</v>
      </c>
    </row>
    <row r="64" spans="1:5" x14ac:dyDescent="0.2">
      <c r="A64" s="2" t="s">
        <v>2576</v>
      </c>
      <c r="B64" s="2" t="s">
        <v>2570</v>
      </c>
      <c r="C64" s="2">
        <v>35</v>
      </c>
      <c r="D64" s="4">
        <v>781.13</v>
      </c>
      <c r="E64" s="2" t="s">
        <v>78</v>
      </c>
    </row>
    <row r="65" spans="1:5" x14ac:dyDescent="0.2">
      <c r="A65" s="2" t="s">
        <v>1636</v>
      </c>
      <c r="B65" s="2" t="s">
        <v>1631</v>
      </c>
      <c r="C65" s="2">
        <v>35</v>
      </c>
      <c r="D65" s="4">
        <v>534.96</v>
      </c>
      <c r="E65" s="2" t="s">
        <v>78</v>
      </c>
    </row>
    <row r="66" spans="1:5" x14ac:dyDescent="0.2">
      <c r="A66" s="2" t="s">
        <v>1903</v>
      </c>
      <c r="B66" s="2" t="s">
        <v>1898</v>
      </c>
      <c r="C66" s="2">
        <v>50</v>
      </c>
      <c r="D66" s="4">
        <v>737.71</v>
      </c>
      <c r="E66" s="2" t="s">
        <v>78</v>
      </c>
    </row>
    <row r="67" spans="1:5" x14ac:dyDescent="0.2">
      <c r="A67" s="2" t="s">
        <v>3204</v>
      </c>
      <c r="B67" s="2" t="s">
        <v>3200</v>
      </c>
      <c r="C67" s="2">
        <v>30</v>
      </c>
      <c r="D67" s="4">
        <v>838.4</v>
      </c>
      <c r="E67" s="2" t="s">
        <v>78</v>
      </c>
    </row>
    <row r="68" spans="1:5" x14ac:dyDescent="0.2">
      <c r="A68" s="2" t="s">
        <v>5061</v>
      </c>
      <c r="B68" s="2" t="s">
        <v>34</v>
      </c>
      <c r="C68" s="2">
        <v>40</v>
      </c>
      <c r="D68" s="4">
        <v>629</v>
      </c>
      <c r="E68" s="2" t="s">
        <v>78</v>
      </c>
    </row>
    <row r="69" spans="1:5" x14ac:dyDescent="0.2">
      <c r="A69" s="2" t="s">
        <v>5062</v>
      </c>
      <c r="B69" s="2" t="s">
        <v>34</v>
      </c>
      <c r="C69" s="2">
        <v>40</v>
      </c>
      <c r="D69" s="4">
        <v>856.11</v>
      </c>
      <c r="E69" s="2" t="s">
        <v>78</v>
      </c>
    </row>
    <row r="70" spans="1:5" x14ac:dyDescent="0.2">
      <c r="A70" s="2" t="s">
        <v>2222</v>
      </c>
      <c r="B70" s="2" t="s">
        <v>2217</v>
      </c>
      <c r="C70" s="2">
        <v>40</v>
      </c>
      <c r="D70" s="4">
        <v>810.86</v>
      </c>
      <c r="E70" s="2" t="s">
        <v>78</v>
      </c>
    </row>
    <row r="71" spans="1:5" x14ac:dyDescent="0.2">
      <c r="A71" s="2" t="s">
        <v>3365</v>
      </c>
      <c r="B71" s="2" t="s">
        <v>3361</v>
      </c>
      <c r="C71" s="2">
        <v>28</v>
      </c>
      <c r="D71" s="4">
        <v>460.72</v>
      </c>
      <c r="E71" s="2" t="s">
        <v>78</v>
      </c>
    </row>
    <row r="72" spans="1:5" x14ac:dyDescent="0.2">
      <c r="A72" s="2" t="s">
        <v>3107</v>
      </c>
      <c r="B72" s="2" t="s">
        <v>3102</v>
      </c>
      <c r="C72" s="2">
        <v>35</v>
      </c>
      <c r="D72" s="4">
        <v>717.71</v>
      </c>
      <c r="E72" s="2" t="s">
        <v>78</v>
      </c>
    </row>
    <row r="73" spans="1:5" x14ac:dyDescent="0.2">
      <c r="A73" s="2" t="s">
        <v>3930</v>
      </c>
      <c r="B73" s="2" t="s">
        <v>3924</v>
      </c>
      <c r="C73" s="2">
        <v>50</v>
      </c>
      <c r="D73" s="4">
        <v>959.79</v>
      </c>
      <c r="E73" s="2" t="s">
        <v>78</v>
      </c>
    </row>
    <row r="74" spans="1:5" x14ac:dyDescent="0.2">
      <c r="A74" s="2" t="s">
        <v>2759</v>
      </c>
      <c r="B74" s="2" t="s">
        <v>2755</v>
      </c>
      <c r="C74" s="2">
        <v>35</v>
      </c>
      <c r="D74" s="4">
        <v>432.28</v>
      </c>
      <c r="E74" s="2" t="s">
        <v>78</v>
      </c>
    </row>
    <row r="75" spans="1:5" x14ac:dyDescent="0.2">
      <c r="A75" s="2" t="s">
        <v>1356</v>
      </c>
      <c r="B75" s="2" t="s">
        <v>1351</v>
      </c>
      <c r="C75" s="2">
        <v>40</v>
      </c>
      <c r="D75" s="4">
        <v>553.80999999999995</v>
      </c>
      <c r="E75" s="2" t="s">
        <v>78</v>
      </c>
    </row>
    <row r="76" spans="1:5" x14ac:dyDescent="0.2">
      <c r="A76" s="2" t="s">
        <v>1114</v>
      </c>
      <c r="B76" s="2" t="s">
        <v>1110</v>
      </c>
      <c r="C76" s="2">
        <v>28</v>
      </c>
      <c r="D76" s="4">
        <v>451.99</v>
      </c>
      <c r="E76" s="2" t="s">
        <v>78</v>
      </c>
    </row>
    <row r="77" spans="1:5" x14ac:dyDescent="0.2">
      <c r="A77" s="2" t="s">
        <v>3318</v>
      </c>
      <c r="B77" s="2" t="s">
        <v>3313</v>
      </c>
      <c r="C77" s="2">
        <v>32</v>
      </c>
      <c r="D77" s="4">
        <v>524.08000000000004</v>
      </c>
      <c r="E77" s="2" t="s">
        <v>78</v>
      </c>
    </row>
    <row r="78" spans="1:5" x14ac:dyDescent="0.2">
      <c r="A78" s="2" t="s">
        <v>4175</v>
      </c>
      <c r="B78" s="2" t="s">
        <v>4171</v>
      </c>
      <c r="C78" s="2">
        <v>40</v>
      </c>
      <c r="D78" s="4">
        <v>693.54</v>
      </c>
      <c r="E78" s="2" t="s">
        <v>78</v>
      </c>
    </row>
    <row r="79" spans="1:5" x14ac:dyDescent="0.2">
      <c r="A79" s="2" t="s">
        <v>3618</v>
      </c>
      <c r="B79" s="2" t="s">
        <v>3614</v>
      </c>
      <c r="C79" s="2">
        <v>40</v>
      </c>
      <c r="D79" s="4">
        <v>903.57</v>
      </c>
      <c r="E79" s="2" t="s">
        <v>78</v>
      </c>
    </row>
    <row r="80" spans="1:5" x14ac:dyDescent="0.2">
      <c r="A80" s="2" t="s">
        <v>5063</v>
      </c>
      <c r="B80" s="2" t="s">
        <v>34</v>
      </c>
      <c r="C80" s="2">
        <v>45</v>
      </c>
      <c r="D80" s="4">
        <v>564.44000000000005</v>
      </c>
      <c r="E80" s="2" t="s">
        <v>78</v>
      </c>
    </row>
    <row r="81" spans="1:5" x14ac:dyDescent="0.2">
      <c r="A81" s="2" t="s">
        <v>3964</v>
      </c>
      <c r="B81" s="2" t="s">
        <v>3960</v>
      </c>
      <c r="C81" s="2">
        <v>50</v>
      </c>
      <c r="D81" s="4">
        <v>706.27</v>
      </c>
      <c r="E81" s="2" t="s">
        <v>78</v>
      </c>
    </row>
    <row r="82" spans="1:5" x14ac:dyDescent="0.2">
      <c r="A82" s="2" t="s">
        <v>4147</v>
      </c>
      <c r="B82" s="2" t="s">
        <v>4143</v>
      </c>
      <c r="C82" s="2">
        <v>40</v>
      </c>
      <c r="D82" s="4">
        <v>922.84</v>
      </c>
      <c r="E82" s="2" t="s">
        <v>78</v>
      </c>
    </row>
    <row r="83" spans="1:5" x14ac:dyDescent="0.2">
      <c r="A83" s="2" t="s">
        <v>568</v>
      </c>
      <c r="B83" s="2" t="s">
        <v>561</v>
      </c>
      <c r="C83" s="2">
        <v>40</v>
      </c>
      <c r="D83" s="4">
        <v>586.44000000000005</v>
      </c>
      <c r="E83" s="2" t="s">
        <v>78</v>
      </c>
    </row>
    <row r="84" spans="1:5" x14ac:dyDescent="0.2">
      <c r="A84" s="2" t="s">
        <v>2460</v>
      </c>
      <c r="B84" s="2" t="s">
        <v>2455</v>
      </c>
      <c r="C84" s="2">
        <v>30</v>
      </c>
      <c r="D84" s="4">
        <v>404.34</v>
      </c>
      <c r="E84" s="2" t="s">
        <v>78</v>
      </c>
    </row>
    <row r="85" spans="1:5" x14ac:dyDescent="0.2">
      <c r="A85" s="2" t="s">
        <v>2945</v>
      </c>
      <c r="B85" s="2" t="s">
        <v>2941</v>
      </c>
      <c r="C85" s="2">
        <v>45</v>
      </c>
      <c r="D85" s="4">
        <v>868.56</v>
      </c>
      <c r="E85" s="2" t="s">
        <v>78</v>
      </c>
    </row>
    <row r="86" spans="1:5" x14ac:dyDescent="0.2">
      <c r="A86" s="2" t="s">
        <v>3130</v>
      </c>
      <c r="B86" s="2" t="s">
        <v>3125</v>
      </c>
      <c r="C86" s="2">
        <v>28</v>
      </c>
      <c r="D86" s="4">
        <v>438.99</v>
      </c>
      <c r="E86" s="2" t="s">
        <v>78</v>
      </c>
    </row>
    <row r="87" spans="1:5" x14ac:dyDescent="0.2">
      <c r="A87" s="2" t="s">
        <v>3830</v>
      </c>
      <c r="B87" s="2" t="s">
        <v>3824</v>
      </c>
      <c r="C87" s="2">
        <v>32</v>
      </c>
      <c r="D87" s="4">
        <v>595.64</v>
      </c>
      <c r="E87" s="2" t="s">
        <v>78</v>
      </c>
    </row>
    <row r="88" spans="1:5" x14ac:dyDescent="0.2">
      <c r="A88" s="2" t="s">
        <v>3773</v>
      </c>
      <c r="B88" s="2" t="s">
        <v>3768</v>
      </c>
      <c r="C88" s="2">
        <v>50</v>
      </c>
      <c r="D88" s="4">
        <v>895.9</v>
      </c>
      <c r="E88" s="2" t="s">
        <v>78</v>
      </c>
    </row>
    <row r="89" spans="1:5" x14ac:dyDescent="0.2">
      <c r="A89" s="2" t="s">
        <v>2952</v>
      </c>
      <c r="B89" s="2" t="s">
        <v>2947</v>
      </c>
      <c r="C89" s="2">
        <v>28</v>
      </c>
      <c r="D89" s="4">
        <v>635.29</v>
      </c>
      <c r="E89" s="2" t="s">
        <v>78</v>
      </c>
    </row>
    <row r="90" spans="1:5" x14ac:dyDescent="0.2">
      <c r="A90" s="2" t="s">
        <v>2169</v>
      </c>
      <c r="B90" s="2" t="s">
        <v>2164</v>
      </c>
      <c r="C90" s="2">
        <v>30</v>
      </c>
      <c r="D90" s="4">
        <v>408.89</v>
      </c>
      <c r="E90" s="2" t="s">
        <v>78</v>
      </c>
    </row>
    <row r="91" spans="1:5" x14ac:dyDescent="0.2">
      <c r="A91" s="2" t="s">
        <v>560</v>
      </c>
      <c r="B91" s="2" t="s">
        <v>555</v>
      </c>
      <c r="C91" s="2">
        <v>28</v>
      </c>
      <c r="D91" s="4">
        <v>501.02</v>
      </c>
      <c r="E91" s="2" t="s">
        <v>78</v>
      </c>
    </row>
    <row r="92" spans="1:5" x14ac:dyDescent="0.2">
      <c r="A92" s="2" t="s">
        <v>5064</v>
      </c>
      <c r="B92" s="2" t="s">
        <v>34</v>
      </c>
      <c r="C92" s="2">
        <v>40</v>
      </c>
      <c r="D92" s="4">
        <v>703.25</v>
      </c>
      <c r="E92" s="2" t="s">
        <v>78</v>
      </c>
    </row>
    <row r="93" spans="1:5" x14ac:dyDescent="0.2">
      <c r="A93" s="2" t="s">
        <v>1019</v>
      </c>
      <c r="B93" s="2" t="s">
        <v>1015</v>
      </c>
      <c r="C93" s="2">
        <v>45</v>
      </c>
      <c r="D93" s="4">
        <v>931.29</v>
      </c>
      <c r="E93" s="2" t="s">
        <v>78</v>
      </c>
    </row>
    <row r="94" spans="1:5" x14ac:dyDescent="0.2">
      <c r="A94" s="2" t="s">
        <v>3056</v>
      </c>
      <c r="B94" s="2" t="s">
        <v>3050</v>
      </c>
      <c r="C94" s="2">
        <v>40</v>
      </c>
      <c r="D94" s="4">
        <v>710.14</v>
      </c>
      <c r="E94" s="2" t="s">
        <v>78</v>
      </c>
    </row>
    <row r="95" spans="1:5" x14ac:dyDescent="0.2">
      <c r="A95" s="2" t="s">
        <v>1805</v>
      </c>
      <c r="B95" s="2" t="s">
        <v>1800</v>
      </c>
      <c r="C95" s="2">
        <v>50</v>
      </c>
      <c r="D95" s="4">
        <v>821.24</v>
      </c>
      <c r="E95" s="2" t="s">
        <v>78</v>
      </c>
    </row>
    <row r="96" spans="1:5" x14ac:dyDescent="0.2">
      <c r="A96" s="2" t="s">
        <v>5065</v>
      </c>
      <c r="B96" s="2" t="s">
        <v>34</v>
      </c>
      <c r="C96" s="2">
        <v>32</v>
      </c>
      <c r="D96" s="4">
        <v>731.71</v>
      </c>
      <c r="E96" s="2" t="s">
        <v>78</v>
      </c>
    </row>
    <row r="97" spans="1:5" x14ac:dyDescent="0.2">
      <c r="A97" s="2" t="s">
        <v>3113</v>
      </c>
      <c r="B97" s="2" t="s">
        <v>3108</v>
      </c>
      <c r="C97" s="2">
        <v>45</v>
      </c>
      <c r="D97" s="4">
        <v>845.85</v>
      </c>
      <c r="E97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18" customWidth="1"/>
    <col min="3" max="3" width="22" customWidth="1"/>
    <col min="4" max="4" width="16" customWidth="1"/>
    <col min="5" max="5" width="28" customWidth="1"/>
    <col min="6" max="6" width="40" customWidth="1"/>
  </cols>
  <sheetData>
    <row r="1" spans="1:6" ht="22" customHeight="1" x14ac:dyDescent="0.2">
      <c r="A1" s="1" t="s">
        <v>5066</v>
      </c>
      <c r="B1" s="1" t="s">
        <v>5067</v>
      </c>
      <c r="C1" s="1" t="s">
        <v>5068</v>
      </c>
      <c r="D1" s="1" t="s">
        <v>5069</v>
      </c>
      <c r="E1" s="1" t="s">
        <v>5070</v>
      </c>
      <c r="F1" s="1" t="s">
        <v>0</v>
      </c>
    </row>
    <row r="2" spans="1:6" x14ac:dyDescent="0.2">
      <c r="A2" s="2" t="s">
        <v>5071</v>
      </c>
      <c r="B2" s="2" t="s">
        <v>5072</v>
      </c>
      <c r="C2" s="2" t="s">
        <v>662</v>
      </c>
      <c r="D2" s="2" t="s">
        <v>5073</v>
      </c>
      <c r="E2" s="2" t="s">
        <v>5074</v>
      </c>
      <c r="F2" s="2" t="s">
        <v>5075</v>
      </c>
    </row>
    <row r="3" spans="1:6" x14ac:dyDescent="0.2">
      <c r="A3" s="2" t="s">
        <v>5076</v>
      </c>
      <c r="B3" s="2" t="s">
        <v>5077</v>
      </c>
      <c r="C3" s="2" t="s">
        <v>770</v>
      </c>
      <c r="D3" s="2" t="s">
        <v>5078</v>
      </c>
      <c r="E3" s="2" t="s">
        <v>5079</v>
      </c>
      <c r="F3" s="2" t="s">
        <v>5080</v>
      </c>
    </row>
    <row r="4" spans="1:6" x14ac:dyDescent="0.2">
      <c r="A4" s="2" t="s">
        <v>5081</v>
      </c>
      <c r="B4" s="2" t="s">
        <v>5082</v>
      </c>
      <c r="C4" s="2" t="s">
        <v>5083</v>
      </c>
      <c r="D4" s="2" t="s">
        <v>5084</v>
      </c>
      <c r="E4" s="2" t="s">
        <v>5085</v>
      </c>
      <c r="F4" s="2" t="s">
        <v>5086</v>
      </c>
    </row>
    <row r="5" spans="1:6" x14ac:dyDescent="0.2">
      <c r="A5" s="2" t="s">
        <v>5087</v>
      </c>
      <c r="B5" s="2" t="s">
        <v>5088</v>
      </c>
      <c r="C5" s="2" t="s">
        <v>2293</v>
      </c>
      <c r="D5" s="2" t="s">
        <v>5089</v>
      </c>
      <c r="E5" s="2" t="s">
        <v>5090</v>
      </c>
      <c r="F5" s="2" t="s">
        <v>5091</v>
      </c>
    </row>
    <row r="6" spans="1:6" x14ac:dyDescent="0.2">
      <c r="A6" s="2" t="s">
        <v>5092</v>
      </c>
      <c r="B6" s="2" t="s">
        <v>5093</v>
      </c>
      <c r="C6" s="2" t="s">
        <v>4163</v>
      </c>
      <c r="D6" s="2" t="s">
        <v>5094</v>
      </c>
      <c r="E6" s="2" t="s">
        <v>5095</v>
      </c>
      <c r="F6" s="2" t="s">
        <v>5075</v>
      </c>
    </row>
    <row r="7" spans="1:6" x14ac:dyDescent="0.2">
      <c r="A7" s="2" t="s">
        <v>5096</v>
      </c>
      <c r="B7" s="2" t="s">
        <v>5088</v>
      </c>
      <c r="C7" s="2" t="s">
        <v>1055</v>
      </c>
      <c r="D7" s="2" t="s">
        <v>5097</v>
      </c>
      <c r="E7" s="2" t="s">
        <v>5098</v>
      </c>
      <c r="F7" s="2" t="s">
        <v>5080</v>
      </c>
    </row>
    <row r="8" spans="1:6" x14ac:dyDescent="0.2">
      <c r="A8" s="2" t="s">
        <v>5099</v>
      </c>
      <c r="B8" s="2" t="s">
        <v>5088</v>
      </c>
      <c r="C8" s="2" t="s">
        <v>5100</v>
      </c>
      <c r="D8" s="2" t="s">
        <v>5101</v>
      </c>
      <c r="E8" s="2" t="s">
        <v>5102</v>
      </c>
      <c r="F8" s="2" t="s">
        <v>34</v>
      </c>
    </row>
    <row r="9" spans="1:6" x14ac:dyDescent="0.2">
      <c r="A9" s="2" t="s">
        <v>5103</v>
      </c>
      <c r="B9" s="2" t="s">
        <v>5104</v>
      </c>
      <c r="C9" s="2" t="s">
        <v>5105</v>
      </c>
      <c r="D9" s="2" t="s">
        <v>5106</v>
      </c>
      <c r="E9" s="2" t="s">
        <v>5107</v>
      </c>
      <c r="F9" s="2" t="s">
        <v>5080</v>
      </c>
    </row>
    <row r="10" spans="1:6" x14ac:dyDescent="0.2">
      <c r="A10" s="2" t="s">
        <v>5108</v>
      </c>
      <c r="B10" s="2" t="s">
        <v>5093</v>
      </c>
      <c r="C10" s="2" t="s">
        <v>220</v>
      </c>
      <c r="D10" s="2" t="s">
        <v>5109</v>
      </c>
      <c r="E10" s="2" t="s">
        <v>5110</v>
      </c>
      <c r="F10" s="2" t="s">
        <v>34</v>
      </c>
    </row>
    <row r="11" spans="1:6" x14ac:dyDescent="0.2">
      <c r="A11" s="2" t="s">
        <v>5111</v>
      </c>
      <c r="B11" s="2" t="s">
        <v>5112</v>
      </c>
      <c r="C11" s="2" t="s">
        <v>5113</v>
      </c>
      <c r="D11" s="2" t="s">
        <v>5114</v>
      </c>
      <c r="E11" s="2" t="s">
        <v>5115</v>
      </c>
      <c r="F11" s="2" t="s">
        <v>5075</v>
      </c>
    </row>
    <row r="12" spans="1:6" x14ac:dyDescent="0.2">
      <c r="A12" s="2" t="s">
        <v>5116</v>
      </c>
      <c r="B12" s="2" t="s">
        <v>5077</v>
      </c>
      <c r="C12" s="2" t="s">
        <v>5117</v>
      </c>
      <c r="D12" s="2" t="s">
        <v>5118</v>
      </c>
      <c r="E12" s="2" t="s">
        <v>5119</v>
      </c>
      <c r="F12" s="2" t="s">
        <v>5075</v>
      </c>
    </row>
    <row r="13" spans="1:6" x14ac:dyDescent="0.2">
      <c r="A13" s="2" t="s">
        <v>5076</v>
      </c>
      <c r="B13" s="2" t="s">
        <v>5093</v>
      </c>
      <c r="C13" s="2" t="s">
        <v>5120</v>
      </c>
      <c r="D13" s="2" t="s">
        <v>5121</v>
      </c>
      <c r="E13" s="2" t="s">
        <v>5122</v>
      </c>
      <c r="F13" s="2" t="s">
        <v>5080</v>
      </c>
    </row>
    <row r="14" spans="1:6" x14ac:dyDescent="0.2">
      <c r="A14" s="2" t="s">
        <v>5123</v>
      </c>
      <c r="B14" s="2" t="s">
        <v>5112</v>
      </c>
      <c r="C14" s="2" t="s">
        <v>3369</v>
      </c>
      <c r="D14" s="2" t="s">
        <v>5124</v>
      </c>
      <c r="E14" s="2" t="s">
        <v>5125</v>
      </c>
      <c r="F14" s="2" t="s">
        <v>34</v>
      </c>
    </row>
    <row r="15" spans="1:6" x14ac:dyDescent="0.2">
      <c r="A15" s="2" t="s">
        <v>5081</v>
      </c>
      <c r="B15" s="2" t="s">
        <v>5126</v>
      </c>
      <c r="C15" s="2" t="s">
        <v>5127</v>
      </c>
      <c r="D15" s="2" t="s">
        <v>5128</v>
      </c>
      <c r="E15" s="2" t="s">
        <v>5129</v>
      </c>
      <c r="F15" s="2" t="s">
        <v>34</v>
      </c>
    </row>
    <row r="16" spans="1:6" x14ac:dyDescent="0.2">
      <c r="A16" s="2" t="s">
        <v>5130</v>
      </c>
      <c r="B16" s="2" t="s">
        <v>5077</v>
      </c>
      <c r="C16" s="2" t="s">
        <v>374</v>
      </c>
      <c r="D16" s="2" t="s">
        <v>5131</v>
      </c>
      <c r="E16" s="2" t="s">
        <v>5132</v>
      </c>
      <c r="F16" s="2" t="s">
        <v>34</v>
      </c>
    </row>
    <row r="17" spans="1:6" x14ac:dyDescent="0.2">
      <c r="A17" s="2" t="s">
        <v>5081</v>
      </c>
      <c r="B17" s="2" t="s">
        <v>5133</v>
      </c>
      <c r="C17" s="2" t="s">
        <v>5134</v>
      </c>
      <c r="D17" s="2" t="s">
        <v>5135</v>
      </c>
      <c r="E17" s="2" t="s">
        <v>5136</v>
      </c>
      <c r="F17" s="2" t="s">
        <v>34</v>
      </c>
    </row>
    <row r="18" spans="1:6" x14ac:dyDescent="0.2">
      <c r="A18" s="2" t="s">
        <v>5087</v>
      </c>
      <c r="B18" s="2" t="s">
        <v>5133</v>
      </c>
      <c r="C18" s="2" t="s">
        <v>270</v>
      </c>
      <c r="D18" s="2" t="s">
        <v>5137</v>
      </c>
      <c r="E18" s="2" t="s">
        <v>5138</v>
      </c>
      <c r="F18" s="2" t="s">
        <v>5086</v>
      </c>
    </row>
    <row r="19" spans="1:6" x14ac:dyDescent="0.2">
      <c r="A19" s="2" t="s">
        <v>5099</v>
      </c>
      <c r="B19" s="2" t="s">
        <v>5139</v>
      </c>
      <c r="C19" s="2" t="s">
        <v>2225</v>
      </c>
      <c r="D19" s="2" t="s">
        <v>5140</v>
      </c>
      <c r="E19" s="2" t="s">
        <v>5141</v>
      </c>
      <c r="F19" s="2" t="s">
        <v>5091</v>
      </c>
    </row>
    <row r="20" spans="1:6" x14ac:dyDescent="0.2">
      <c r="A20" s="2" t="s">
        <v>5087</v>
      </c>
      <c r="B20" s="2" t="s">
        <v>5093</v>
      </c>
      <c r="C20" s="2" t="s">
        <v>2420</v>
      </c>
      <c r="D20" s="2" t="s">
        <v>5142</v>
      </c>
      <c r="E20" s="2" t="s">
        <v>5143</v>
      </c>
      <c r="F20" s="2" t="s">
        <v>5144</v>
      </c>
    </row>
    <row r="21" spans="1:6" x14ac:dyDescent="0.2">
      <c r="A21" s="2" t="s">
        <v>5145</v>
      </c>
      <c r="B21" s="2" t="s">
        <v>5072</v>
      </c>
      <c r="C21" s="2" t="s">
        <v>106</v>
      </c>
      <c r="D21" s="2" t="s">
        <v>5146</v>
      </c>
      <c r="E21" s="2" t="s">
        <v>5147</v>
      </c>
      <c r="F21" s="2" t="s">
        <v>5075</v>
      </c>
    </row>
    <row r="22" spans="1:6" x14ac:dyDescent="0.2">
      <c r="A22" s="2" t="s">
        <v>5148</v>
      </c>
      <c r="B22" s="2" t="s">
        <v>5126</v>
      </c>
      <c r="C22" s="2" t="s">
        <v>1085</v>
      </c>
      <c r="D22" s="2" t="s">
        <v>5149</v>
      </c>
      <c r="E22" s="2" t="s">
        <v>5150</v>
      </c>
      <c r="F22" s="2" t="s">
        <v>5091</v>
      </c>
    </row>
    <row r="23" spans="1:6" x14ac:dyDescent="0.2">
      <c r="A23" s="2" t="s">
        <v>5123</v>
      </c>
      <c r="B23" s="2" t="s">
        <v>5077</v>
      </c>
      <c r="C23" s="2" t="s">
        <v>3015</v>
      </c>
      <c r="D23" s="2" t="s">
        <v>5151</v>
      </c>
      <c r="E23" s="2" t="s">
        <v>5152</v>
      </c>
      <c r="F23" s="2" t="s">
        <v>5091</v>
      </c>
    </row>
    <row r="24" spans="1:6" x14ac:dyDescent="0.2">
      <c r="A24" s="2" t="s">
        <v>5153</v>
      </c>
      <c r="B24" s="2" t="s">
        <v>5139</v>
      </c>
      <c r="C24" s="2" t="s">
        <v>3894</v>
      </c>
      <c r="D24" s="2" t="s">
        <v>5154</v>
      </c>
      <c r="E24" s="2" t="s">
        <v>5155</v>
      </c>
      <c r="F24" s="2" t="s">
        <v>34</v>
      </c>
    </row>
    <row r="25" spans="1:6" x14ac:dyDescent="0.2">
      <c r="A25" s="2" t="s">
        <v>5156</v>
      </c>
      <c r="B25" s="2" t="s">
        <v>5072</v>
      </c>
      <c r="C25" s="2" t="s">
        <v>267</v>
      </c>
      <c r="D25" s="2" t="s">
        <v>5157</v>
      </c>
      <c r="E25" s="2" t="s">
        <v>5158</v>
      </c>
      <c r="F25" s="2" t="s">
        <v>5144</v>
      </c>
    </row>
    <row r="26" spans="1:6" x14ac:dyDescent="0.2">
      <c r="A26" s="2" t="s">
        <v>5081</v>
      </c>
      <c r="B26" s="2" t="s">
        <v>5133</v>
      </c>
      <c r="C26" s="2" t="s">
        <v>3969</v>
      </c>
      <c r="D26" s="2" t="s">
        <v>5159</v>
      </c>
      <c r="E26" s="2" t="s">
        <v>5160</v>
      </c>
      <c r="F26" s="2" t="s">
        <v>5091</v>
      </c>
    </row>
    <row r="27" spans="1:6" x14ac:dyDescent="0.2">
      <c r="A27" s="2" t="s">
        <v>5130</v>
      </c>
      <c r="B27" s="2" t="s">
        <v>5072</v>
      </c>
      <c r="C27" s="2" t="s">
        <v>5161</v>
      </c>
      <c r="D27" s="2" t="s">
        <v>5162</v>
      </c>
      <c r="E27" s="2" t="s">
        <v>5163</v>
      </c>
      <c r="F27" s="2" t="s">
        <v>5144</v>
      </c>
    </row>
    <row r="28" spans="1:6" x14ac:dyDescent="0.2">
      <c r="A28" s="2" t="s">
        <v>5164</v>
      </c>
      <c r="B28" s="2" t="s">
        <v>5088</v>
      </c>
      <c r="C28" s="2" t="s">
        <v>1650</v>
      </c>
      <c r="D28" s="2" t="s">
        <v>5165</v>
      </c>
      <c r="E28" s="2" t="s">
        <v>5166</v>
      </c>
      <c r="F28" s="2" t="s">
        <v>5075</v>
      </c>
    </row>
    <row r="29" spans="1:6" x14ac:dyDescent="0.2">
      <c r="A29" s="2" t="s">
        <v>5148</v>
      </c>
      <c r="B29" s="2" t="s">
        <v>5082</v>
      </c>
      <c r="C29" s="2" t="s">
        <v>236</v>
      </c>
      <c r="D29" s="2" t="s">
        <v>5167</v>
      </c>
      <c r="E29" s="2" t="s">
        <v>5168</v>
      </c>
      <c r="F29" s="2" t="s">
        <v>5080</v>
      </c>
    </row>
    <row r="30" spans="1:6" x14ac:dyDescent="0.2">
      <c r="A30" s="2" t="s">
        <v>5169</v>
      </c>
      <c r="B30" s="2" t="s">
        <v>5126</v>
      </c>
      <c r="C30" s="2" t="s">
        <v>2238</v>
      </c>
      <c r="D30" s="2" t="s">
        <v>5170</v>
      </c>
      <c r="E30" s="2" t="s">
        <v>5171</v>
      </c>
      <c r="F30" s="2" t="s">
        <v>5144</v>
      </c>
    </row>
    <row r="31" spans="1:6" x14ac:dyDescent="0.2">
      <c r="A31" s="2" t="s">
        <v>5071</v>
      </c>
      <c r="B31" s="2" t="s">
        <v>5077</v>
      </c>
      <c r="C31" s="2" t="s">
        <v>3352</v>
      </c>
      <c r="D31" s="2" t="s">
        <v>5172</v>
      </c>
      <c r="E31" s="2" t="s">
        <v>5173</v>
      </c>
      <c r="F31" s="2" t="s">
        <v>5080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6"/>
  <sheetViews>
    <sheetView showGridLines="0" workbookViewId="0">
      <selection activeCell="C2" sqref="C2"/>
    </sheetView>
  </sheetViews>
  <sheetFormatPr baseColWidth="10" defaultColWidth="8.83203125" defaultRowHeight="15" x14ac:dyDescent="0.2"/>
  <cols>
    <col min="1" max="2" width="14" customWidth="1"/>
    <col min="3" max="3" width="16" customWidth="1"/>
    <col min="4" max="4" width="14" customWidth="1"/>
    <col min="5" max="5" width="10" customWidth="1"/>
    <col min="6" max="6" width="16" customWidth="1"/>
    <col min="7" max="7" width="24" customWidth="1"/>
    <col min="8" max="8" width="52" customWidth="1"/>
    <col min="9" max="9" width="14" customWidth="1"/>
  </cols>
  <sheetData>
    <row r="1" spans="1:9" ht="22" customHeight="1" x14ac:dyDescent="0.2">
      <c r="A1" s="1" t="s">
        <v>5174</v>
      </c>
      <c r="B1" s="1" t="s">
        <v>5175</v>
      </c>
      <c r="C1" s="1" t="s">
        <v>13</v>
      </c>
      <c r="D1" s="1" t="s">
        <v>5067</v>
      </c>
      <c r="E1" s="1" t="s">
        <v>5176</v>
      </c>
      <c r="F1" s="1" t="s">
        <v>5177</v>
      </c>
      <c r="G1" s="1" t="s">
        <v>5066</v>
      </c>
      <c r="H1" s="1" t="s">
        <v>5178</v>
      </c>
      <c r="I1" s="1" t="s">
        <v>5179</v>
      </c>
    </row>
    <row r="2" spans="1:9" x14ac:dyDescent="0.2">
      <c r="A2" s="2" t="s">
        <v>5180</v>
      </c>
      <c r="B2" s="3">
        <v>45972</v>
      </c>
      <c r="C2" s="2" t="s">
        <v>34</v>
      </c>
      <c r="D2" s="2" t="s">
        <v>5181</v>
      </c>
      <c r="E2" s="2" t="s">
        <v>5182</v>
      </c>
      <c r="F2" s="2" t="s">
        <v>5183</v>
      </c>
      <c r="G2" s="2" t="s">
        <v>5123</v>
      </c>
      <c r="H2" s="2" t="s">
        <v>5184</v>
      </c>
      <c r="I2" s="3">
        <v>45978</v>
      </c>
    </row>
    <row r="3" spans="1:9" x14ac:dyDescent="0.2">
      <c r="A3" s="2" t="s">
        <v>5185</v>
      </c>
      <c r="B3" s="3">
        <v>45976</v>
      </c>
      <c r="C3" s="2" t="s">
        <v>34</v>
      </c>
      <c r="D3" s="2" t="s">
        <v>5181</v>
      </c>
      <c r="E3" s="2" t="s">
        <v>5186</v>
      </c>
      <c r="F3" s="2" t="s">
        <v>5183</v>
      </c>
      <c r="G3" s="2" t="s">
        <v>5130</v>
      </c>
      <c r="H3" s="2" t="s">
        <v>5187</v>
      </c>
      <c r="I3" s="3">
        <v>45982</v>
      </c>
    </row>
    <row r="4" spans="1:9" x14ac:dyDescent="0.2">
      <c r="A4" s="2" t="s">
        <v>5188</v>
      </c>
      <c r="B4" s="3">
        <v>46040</v>
      </c>
      <c r="C4" s="2" t="s">
        <v>2217</v>
      </c>
      <c r="D4" s="2" t="s">
        <v>5133</v>
      </c>
      <c r="E4" s="2" t="s">
        <v>5189</v>
      </c>
      <c r="F4" s="2" t="s">
        <v>5190</v>
      </c>
      <c r="G4" s="2" t="s">
        <v>5123</v>
      </c>
      <c r="H4" s="2" t="s">
        <v>5191</v>
      </c>
      <c r="I4" s="3">
        <v>46046</v>
      </c>
    </row>
    <row r="5" spans="1:9" x14ac:dyDescent="0.2">
      <c r="A5" s="2" t="s">
        <v>5192</v>
      </c>
      <c r="B5" s="3">
        <v>46048</v>
      </c>
      <c r="C5" s="2" t="s">
        <v>34</v>
      </c>
      <c r="D5" s="2" t="s">
        <v>5181</v>
      </c>
      <c r="E5" s="2" t="s">
        <v>5186</v>
      </c>
      <c r="F5" s="2" t="s">
        <v>5193</v>
      </c>
      <c r="G5" s="2" t="s">
        <v>5092</v>
      </c>
      <c r="H5" s="2" t="s">
        <v>5187</v>
      </c>
      <c r="I5" s="3">
        <v>46054</v>
      </c>
    </row>
    <row r="6" spans="1:9" x14ac:dyDescent="0.2">
      <c r="A6" s="2" t="s">
        <v>5194</v>
      </c>
      <c r="B6" s="3">
        <v>46014</v>
      </c>
      <c r="C6" s="2" t="s">
        <v>34</v>
      </c>
      <c r="D6" s="2" t="s">
        <v>5181</v>
      </c>
      <c r="E6" s="2" t="s">
        <v>5186</v>
      </c>
      <c r="F6" s="2" t="s">
        <v>5183</v>
      </c>
      <c r="G6" s="2" t="s">
        <v>5103</v>
      </c>
      <c r="H6" s="2" t="s">
        <v>5195</v>
      </c>
      <c r="I6" s="3">
        <v>46024</v>
      </c>
    </row>
    <row r="7" spans="1:9" x14ac:dyDescent="0.2">
      <c r="A7" s="2" t="s">
        <v>5196</v>
      </c>
      <c r="B7" s="3">
        <v>46068</v>
      </c>
      <c r="C7" s="2" t="s">
        <v>3727</v>
      </c>
      <c r="D7" s="2" t="s">
        <v>5133</v>
      </c>
      <c r="E7" s="2" t="s">
        <v>5186</v>
      </c>
      <c r="F7" s="2" t="s">
        <v>5193</v>
      </c>
      <c r="G7" s="2" t="s">
        <v>5081</v>
      </c>
      <c r="H7" s="2" t="s">
        <v>5197</v>
      </c>
      <c r="I7" s="3">
        <v>46083</v>
      </c>
    </row>
    <row r="8" spans="1:9" x14ac:dyDescent="0.2">
      <c r="A8" s="2" t="s">
        <v>5198</v>
      </c>
      <c r="B8" s="3">
        <v>45965</v>
      </c>
      <c r="C8" s="2" t="s">
        <v>34</v>
      </c>
      <c r="D8" s="2" t="s">
        <v>5126</v>
      </c>
      <c r="E8" s="2" t="s">
        <v>5186</v>
      </c>
      <c r="F8" s="2" t="s">
        <v>5199</v>
      </c>
      <c r="G8" s="2" t="s">
        <v>5087</v>
      </c>
      <c r="H8" s="2" t="s">
        <v>5200</v>
      </c>
      <c r="I8" s="3" t="s">
        <v>34</v>
      </c>
    </row>
    <row r="9" spans="1:9" x14ac:dyDescent="0.2">
      <c r="A9" s="2" t="s">
        <v>5201</v>
      </c>
      <c r="B9" s="3">
        <v>46032</v>
      </c>
      <c r="C9" s="2" t="s">
        <v>1038</v>
      </c>
      <c r="D9" s="2" t="s">
        <v>5112</v>
      </c>
      <c r="E9" s="2" t="s">
        <v>5182</v>
      </c>
      <c r="F9" s="2" t="s">
        <v>5193</v>
      </c>
      <c r="G9" s="2" t="s">
        <v>5148</v>
      </c>
      <c r="H9" s="2" t="s">
        <v>5202</v>
      </c>
      <c r="I9" s="3">
        <v>46041</v>
      </c>
    </row>
    <row r="10" spans="1:9" x14ac:dyDescent="0.2">
      <c r="A10" s="2" t="s">
        <v>5203</v>
      </c>
      <c r="B10" s="3">
        <v>45986</v>
      </c>
      <c r="C10" s="2" t="s">
        <v>34</v>
      </c>
      <c r="D10" s="2" t="s">
        <v>5181</v>
      </c>
      <c r="E10" s="2" t="s">
        <v>5186</v>
      </c>
      <c r="F10" s="2" t="s">
        <v>5183</v>
      </c>
      <c r="G10" s="2" t="s">
        <v>5145</v>
      </c>
      <c r="H10" s="2" t="s">
        <v>5184</v>
      </c>
      <c r="I10" s="3">
        <v>46000</v>
      </c>
    </row>
    <row r="11" spans="1:9" x14ac:dyDescent="0.2">
      <c r="A11" s="2" t="s">
        <v>5204</v>
      </c>
      <c r="B11" s="3">
        <v>46012</v>
      </c>
      <c r="C11" s="2" t="s">
        <v>2761</v>
      </c>
      <c r="D11" s="2" t="s">
        <v>5126</v>
      </c>
      <c r="E11" s="2" t="s">
        <v>5186</v>
      </c>
      <c r="F11" s="2" t="s">
        <v>5199</v>
      </c>
      <c r="G11" s="2" t="s">
        <v>5111</v>
      </c>
      <c r="H11" s="2" t="s">
        <v>5200</v>
      </c>
      <c r="I11" s="3" t="s">
        <v>34</v>
      </c>
    </row>
    <row r="12" spans="1:9" x14ac:dyDescent="0.2">
      <c r="A12" s="2" t="s">
        <v>5205</v>
      </c>
      <c r="B12" s="3">
        <v>46028</v>
      </c>
      <c r="C12" s="2" t="s">
        <v>4042</v>
      </c>
      <c r="D12" s="2" t="s">
        <v>5139</v>
      </c>
      <c r="E12" s="2" t="s">
        <v>5182</v>
      </c>
      <c r="F12" s="2" t="s">
        <v>5190</v>
      </c>
      <c r="G12" s="2" t="s">
        <v>5111</v>
      </c>
      <c r="H12" s="2" t="s">
        <v>5206</v>
      </c>
      <c r="I12" s="3">
        <v>46035</v>
      </c>
    </row>
    <row r="13" spans="1:9" x14ac:dyDescent="0.2">
      <c r="A13" s="2" t="s">
        <v>5207</v>
      </c>
      <c r="B13" s="3">
        <v>46044</v>
      </c>
      <c r="C13" s="2" t="s">
        <v>710</v>
      </c>
      <c r="D13" s="2" t="s">
        <v>5112</v>
      </c>
      <c r="E13" s="2" t="s">
        <v>5186</v>
      </c>
      <c r="F13" s="2" t="s">
        <v>5199</v>
      </c>
      <c r="G13" s="2" t="s">
        <v>5130</v>
      </c>
      <c r="H13" s="2" t="s">
        <v>5208</v>
      </c>
      <c r="I13" s="3" t="s">
        <v>34</v>
      </c>
    </row>
    <row r="14" spans="1:9" x14ac:dyDescent="0.2">
      <c r="A14" s="2" t="s">
        <v>5209</v>
      </c>
      <c r="B14" s="3">
        <v>46075</v>
      </c>
      <c r="C14" s="2" t="s">
        <v>3366</v>
      </c>
      <c r="D14" s="2" t="s">
        <v>5133</v>
      </c>
      <c r="E14" s="2" t="s">
        <v>5186</v>
      </c>
      <c r="F14" s="2" t="s">
        <v>5183</v>
      </c>
      <c r="G14" s="2" t="s">
        <v>5130</v>
      </c>
      <c r="H14" s="2" t="s">
        <v>5210</v>
      </c>
      <c r="I14" s="3">
        <v>46078</v>
      </c>
    </row>
    <row r="15" spans="1:9" x14ac:dyDescent="0.2">
      <c r="A15" s="2" t="s">
        <v>5211</v>
      </c>
      <c r="B15" s="3">
        <v>46049</v>
      </c>
      <c r="C15" s="2" t="s">
        <v>4348</v>
      </c>
      <c r="D15" s="2" t="s">
        <v>5133</v>
      </c>
      <c r="E15" s="2" t="s">
        <v>5182</v>
      </c>
      <c r="F15" s="2" t="s">
        <v>5193</v>
      </c>
      <c r="G15" s="2" t="s">
        <v>5087</v>
      </c>
      <c r="H15" s="2" t="s">
        <v>5197</v>
      </c>
      <c r="I15" s="3">
        <v>46063</v>
      </c>
    </row>
    <row r="16" spans="1:9" x14ac:dyDescent="0.2">
      <c r="A16" s="2" t="s">
        <v>5212</v>
      </c>
      <c r="B16" s="3">
        <v>46040</v>
      </c>
      <c r="C16" s="2" t="s">
        <v>34</v>
      </c>
      <c r="D16" s="2" t="s">
        <v>5181</v>
      </c>
      <c r="E16" s="2" t="s">
        <v>5186</v>
      </c>
      <c r="F16" s="2" t="s">
        <v>5190</v>
      </c>
      <c r="G16" s="2" t="s">
        <v>5099</v>
      </c>
      <c r="H16" s="2" t="s">
        <v>5187</v>
      </c>
      <c r="I16" s="3">
        <v>46058</v>
      </c>
    </row>
    <row r="17" spans="1:9" x14ac:dyDescent="0.2">
      <c r="A17" s="2" t="s">
        <v>5213</v>
      </c>
      <c r="B17" s="3">
        <v>46063</v>
      </c>
      <c r="C17" s="2" t="s">
        <v>34</v>
      </c>
      <c r="D17" s="2" t="s">
        <v>5181</v>
      </c>
      <c r="E17" s="2" t="s">
        <v>5189</v>
      </c>
      <c r="F17" s="2" t="s">
        <v>5183</v>
      </c>
      <c r="G17" s="2" t="s">
        <v>5071</v>
      </c>
      <c r="H17" s="2" t="s">
        <v>5187</v>
      </c>
      <c r="I17" s="3">
        <v>46075</v>
      </c>
    </row>
    <row r="18" spans="1:9" x14ac:dyDescent="0.2">
      <c r="A18" s="2" t="s">
        <v>5214</v>
      </c>
      <c r="B18" s="3">
        <v>45985</v>
      </c>
      <c r="C18" s="2" t="s">
        <v>583</v>
      </c>
      <c r="D18" s="2" t="s">
        <v>5133</v>
      </c>
      <c r="E18" s="2" t="s">
        <v>5186</v>
      </c>
      <c r="F18" s="2" t="s">
        <v>5183</v>
      </c>
      <c r="G18" s="2" t="s">
        <v>5130</v>
      </c>
      <c r="H18" s="2" t="s">
        <v>5210</v>
      </c>
      <c r="I18" s="3">
        <v>45994</v>
      </c>
    </row>
    <row r="19" spans="1:9" x14ac:dyDescent="0.2">
      <c r="A19" s="2" t="s">
        <v>5215</v>
      </c>
      <c r="B19" s="3">
        <v>46069</v>
      </c>
      <c r="C19" s="2" t="s">
        <v>1463</v>
      </c>
      <c r="D19" s="2" t="s">
        <v>5139</v>
      </c>
      <c r="E19" s="2" t="s">
        <v>5186</v>
      </c>
      <c r="F19" s="2" t="s">
        <v>5199</v>
      </c>
      <c r="G19" s="2" t="s">
        <v>5164</v>
      </c>
      <c r="H19" s="2" t="s">
        <v>5216</v>
      </c>
      <c r="I19" s="3" t="s">
        <v>34</v>
      </c>
    </row>
    <row r="20" spans="1:9" x14ac:dyDescent="0.2">
      <c r="A20" s="2" t="s">
        <v>5217</v>
      </c>
      <c r="B20" s="3">
        <v>46029</v>
      </c>
      <c r="C20" s="2" t="s">
        <v>2989</v>
      </c>
      <c r="D20" s="2" t="s">
        <v>5181</v>
      </c>
      <c r="E20" s="2" t="s">
        <v>5186</v>
      </c>
      <c r="F20" s="2" t="s">
        <v>5199</v>
      </c>
      <c r="G20" s="2" t="s">
        <v>5096</v>
      </c>
      <c r="H20" s="2" t="s">
        <v>5187</v>
      </c>
      <c r="I20" s="3" t="s">
        <v>34</v>
      </c>
    </row>
    <row r="21" spans="1:9" x14ac:dyDescent="0.2">
      <c r="A21" s="2" t="s">
        <v>5218</v>
      </c>
      <c r="B21" s="3">
        <v>45985</v>
      </c>
      <c r="C21" s="2" t="s">
        <v>150</v>
      </c>
      <c r="D21" s="2" t="s">
        <v>5133</v>
      </c>
      <c r="E21" s="2" t="s">
        <v>5189</v>
      </c>
      <c r="F21" s="2" t="s">
        <v>5183</v>
      </c>
      <c r="G21" s="2" t="s">
        <v>5099</v>
      </c>
      <c r="H21" s="2" t="s">
        <v>5191</v>
      </c>
      <c r="I21" s="3">
        <v>46001</v>
      </c>
    </row>
    <row r="22" spans="1:9" x14ac:dyDescent="0.2">
      <c r="A22" s="2" t="s">
        <v>5219</v>
      </c>
      <c r="B22" s="3">
        <v>46021</v>
      </c>
      <c r="C22" s="2" t="s">
        <v>34</v>
      </c>
      <c r="D22" s="2" t="s">
        <v>5181</v>
      </c>
      <c r="E22" s="2" t="s">
        <v>5189</v>
      </c>
      <c r="F22" s="2" t="s">
        <v>5183</v>
      </c>
      <c r="G22" s="2" t="s">
        <v>5099</v>
      </c>
      <c r="H22" s="2" t="s">
        <v>5187</v>
      </c>
      <c r="I22" s="3">
        <v>46033</v>
      </c>
    </row>
    <row r="23" spans="1:9" x14ac:dyDescent="0.2">
      <c r="A23" s="2" t="s">
        <v>5220</v>
      </c>
      <c r="B23" s="3">
        <v>46050</v>
      </c>
      <c r="C23" s="2" t="s">
        <v>4545</v>
      </c>
      <c r="D23" s="2" t="s">
        <v>5181</v>
      </c>
      <c r="E23" s="2" t="s">
        <v>5186</v>
      </c>
      <c r="F23" s="2" t="s">
        <v>5190</v>
      </c>
      <c r="G23" s="2" t="s">
        <v>5164</v>
      </c>
      <c r="H23" s="2" t="s">
        <v>5195</v>
      </c>
      <c r="I23" s="3">
        <v>46060</v>
      </c>
    </row>
    <row r="24" spans="1:9" x14ac:dyDescent="0.2">
      <c r="A24" s="2" t="s">
        <v>5221</v>
      </c>
      <c r="B24" s="3">
        <v>45968</v>
      </c>
      <c r="C24" s="2" t="s">
        <v>2430</v>
      </c>
      <c r="D24" s="2" t="s">
        <v>5139</v>
      </c>
      <c r="E24" s="2" t="s">
        <v>5189</v>
      </c>
      <c r="F24" s="2" t="s">
        <v>5183</v>
      </c>
      <c r="G24" s="2" t="s">
        <v>5076</v>
      </c>
      <c r="H24" s="2" t="s">
        <v>5222</v>
      </c>
      <c r="I24" s="3">
        <v>45986</v>
      </c>
    </row>
    <row r="25" spans="1:9" x14ac:dyDescent="0.2">
      <c r="A25" s="2" t="s">
        <v>5223</v>
      </c>
      <c r="B25" s="3">
        <v>46045</v>
      </c>
      <c r="C25" s="2" t="s">
        <v>34</v>
      </c>
      <c r="D25" s="2" t="s">
        <v>5181</v>
      </c>
      <c r="E25" s="2" t="s">
        <v>5189</v>
      </c>
      <c r="F25" s="2" t="s">
        <v>5183</v>
      </c>
      <c r="G25" s="2" t="s">
        <v>5108</v>
      </c>
      <c r="H25" s="2" t="s">
        <v>5195</v>
      </c>
      <c r="I25" s="3">
        <v>46060</v>
      </c>
    </row>
    <row r="26" spans="1:9" x14ac:dyDescent="0.2">
      <c r="A26" s="2" t="s">
        <v>5224</v>
      </c>
      <c r="B26" s="3">
        <v>46021</v>
      </c>
      <c r="C26" s="2" t="s">
        <v>2054</v>
      </c>
      <c r="D26" s="2" t="s">
        <v>5133</v>
      </c>
      <c r="E26" s="2" t="s">
        <v>5189</v>
      </c>
      <c r="F26" s="2" t="s">
        <v>5183</v>
      </c>
      <c r="G26" s="2" t="s">
        <v>5081</v>
      </c>
      <c r="H26" s="2" t="s">
        <v>5210</v>
      </c>
      <c r="I26" s="3">
        <v>46024</v>
      </c>
    </row>
    <row r="27" spans="1:9" x14ac:dyDescent="0.2">
      <c r="A27" s="2" t="s">
        <v>5225</v>
      </c>
      <c r="B27" s="3">
        <v>46018</v>
      </c>
      <c r="C27" s="2" t="s">
        <v>34</v>
      </c>
      <c r="D27" s="2" t="s">
        <v>5126</v>
      </c>
      <c r="E27" s="2" t="s">
        <v>5186</v>
      </c>
      <c r="F27" s="2" t="s">
        <v>5190</v>
      </c>
      <c r="G27" s="2" t="s">
        <v>5071</v>
      </c>
      <c r="H27" s="2" t="s">
        <v>5226</v>
      </c>
      <c r="I27" s="3">
        <v>46038</v>
      </c>
    </row>
    <row r="28" spans="1:9" x14ac:dyDescent="0.2">
      <c r="A28" s="2" t="s">
        <v>5227</v>
      </c>
      <c r="B28" s="3">
        <v>46045</v>
      </c>
      <c r="C28" s="2" t="s">
        <v>3348</v>
      </c>
      <c r="D28" s="2" t="s">
        <v>5139</v>
      </c>
      <c r="E28" s="2" t="s">
        <v>5186</v>
      </c>
      <c r="F28" s="2" t="s">
        <v>5193</v>
      </c>
      <c r="G28" s="2" t="s">
        <v>5081</v>
      </c>
      <c r="H28" s="2" t="s">
        <v>5216</v>
      </c>
      <c r="I28" s="3">
        <v>46065</v>
      </c>
    </row>
    <row r="29" spans="1:9" x14ac:dyDescent="0.2">
      <c r="A29" s="2" t="s">
        <v>5228</v>
      </c>
      <c r="B29" s="3">
        <v>46075</v>
      </c>
      <c r="C29" s="2" t="s">
        <v>3994</v>
      </c>
      <c r="D29" s="2" t="s">
        <v>5112</v>
      </c>
      <c r="E29" s="2" t="s">
        <v>5229</v>
      </c>
      <c r="F29" s="2" t="s">
        <v>5183</v>
      </c>
      <c r="G29" s="2" t="s">
        <v>5130</v>
      </c>
      <c r="H29" s="2" t="s">
        <v>5230</v>
      </c>
      <c r="I29" s="3">
        <v>46078</v>
      </c>
    </row>
    <row r="30" spans="1:9" x14ac:dyDescent="0.2">
      <c r="A30" s="2" t="s">
        <v>5231</v>
      </c>
      <c r="B30" s="3">
        <v>46043</v>
      </c>
      <c r="C30" s="2" t="s">
        <v>34</v>
      </c>
      <c r="D30" s="2" t="s">
        <v>5126</v>
      </c>
      <c r="E30" s="2" t="s">
        <v>5182</v>
      </c>
      <c r="F30" s="2" t="s">
        <v>5190</v>
      </c>
      <c r="G30" s="2" t="s">
        <v>5164</v>
      </c>
      <c r="H30" s="2" t="s">
        <v>5232</v>
      </c>
      <c r="I30" s="3">
        <v>46057</v>
      </c>
    </row>
    <row r="31" spans="1:9" x14ac:dyDescent="0.2">
      <c r="A31" s="2" t="s">
        <v>5233</v>
      </c>
      <c r="B31" s="3">
        <v>45975</v>
      </c>
      <c r="C31" s="2" t="s">
        <v>3832</v>
      </c>
      <c r="D31" s="2" t="s">
        <v>5126</v>
      </c>
      <c r="E31" s="2" t="s">
        <v>5186</v>
      </c>
      <c r="F31" s="2" t="s">
        <v>5183</v>
      </c>
      <c r="G31" s="2" t="s">
        <v>5130</v>
      </c>
      <c r="H31" s="2" t="s">
        <v>5232</v>
      </c>
      <c r="I31" s="3">
        <v>45980</v>
      </c>
    </row>
    <row r="32" spans="1:9" x14ac:dyDescent="0.2">
      <c r="A32" s="2" t="s">
        <v>5234</v>
      </c>
      <c r="B32" s="3">
        <v>45971</v>
      </c>
      <c r="C32" s="2" t="s">
        <v>3638</v>
      </c>
      <c r="D32" s="2" t="s">
        <v>5112</v>
      </c>
      <c r="E32" s="2" t="s">
        <v>5189</v>
      </c>
      <c r="F32" s="2" t="s">
        <v>5190</v>
      </c>
      <c r="G32" s="2" t="s">
        <v>5081</v>
      </c>
      <c r="H32" s="2" t="s">
        <v>5208</v>
      </c>
      <c r="I32" s="3">
        <v>45976</v>
      </c>
    </row>
    <row r="33" spans="1:9" x14ac:dyDescent="0.2">
      <c r="A33" s="2" t="s">
        <v>5235</v>
      </c>
      <c r="B33" s="3">
        <v>46056</v>
      </c>
      <c r="C33" s="2" t="s">
        <v>1800</v>
      </c>
      <c r="D33" s="2" t="s">
        <v>5133</v>
      </c>
      <c r="E33" s="2" t="s">
        <v>5229</v>
      </c>
      <c r="F33" s="2" t="s">
        <v>5190</v>
      </c>
      <c r="G33" s="2" t="s">
        <v>5087</v>
      </c>
      <c r="H33" s="2" t="s">
        <v>5191</v>
      </c>
      <c r="I33" s="3">
        <v>46065</v>
      </c>
    </row>
    <row r="34" spans="1:9" x14ac:dyDescent="0.2">
      <c r="A34" s="2" t="s">
        <v>5236</v>
      </c>
      <c r="B34" s="3">
        <v>46046</v>
      </c>
      <c r="C34" s="2" t="s">
        <v>2675</v>
      </c>
      <c r="D34" s="2" t="s">
        <v>5181</v>
      </c>
      <c r="E34" s="2" t="s">
        <v>5186</v>
      </c>
      <c r="F34" s="2" t="s">
        <v>5193</v>
      </c>
      <c r="G34" s="2" t="s">
        <v>5087</v>
      </c>
      <c r="H34" s="2" t="s">
        <v>5184</v>
      </c>
      <c r="I34" s="3">
        <v>46066</v>
      </c>
    </row>
    <row r="35" spans="1:9" x14ac:dyDescent="0.2">
      <c r="A35" s="2" t="s">
        <v>5237</v>
      </c>
      <c r="B35" s="3">
        <v>46003</v>
      </c>
      <c r="C35" s="2" t="s">
        <v>2724</v>
      </c>
      <c r="D35" s="2" t="s">
        <v>5181</v>
      </c>
      <c r="E35" s="2" t="s">
        <v>5182</v>
      </c>
      <c r="F35" s="2" t="s">
        <v>5183</v>
      </c>
      <c r="G35" s="2" t="s">
        <v>5164</v>
      </c>
      <c r="H35" s="2" t="s">
        <v>5184</v>
      </c>
      <c r="I35" s="3">
        <v>46010</v>
      </c>
    </row>
    <row r="36" spans="1:9" x14ac:dyDescent="0.2">
      <c r="A36" s="2" t="s">
        <v>5238</v>
      </c>
      <c r="B36" s="3">
        <v>45962</v>
      </c>
      <c r="C36" s="2" t="s">
        <v>3954</v>
      </c>
      <c r="D36" s="2" t="s">
        <v>5139</v>
      </c>
      <c r="E36" s="2" t="s">
        <v>5186</v>
      </c>
      <c r="F36" s="2" t="s">
        <v>5183</v>
      </c>
      <c r="G36" s="2" t="s">
        <v>5076</v>
      </c>
      <c r="H36" s="2" t="s">
        <v>5206</v>
      </c>
      <c r="I36" s="3">
        <v>45981</v>
      </c>
    </row>
    <row r="37" spans="1:9" x14ac:dyDescent="0.2">
      <c r="A37" s="2" t="s">
        <v>5239</v>
      </c>
      <c r="B37" s="3">
        <v>45967</v>
      </c>
      <c r="C37" s="2" t="s">
        <v>611</v>
      </c>
      <c r="D37" s="2" t="s">
        <v>5133</v>
      </c>
      <c r="E37" s="2" t="s">
        <v>5189</v>
      </c>
      <c r="F37" s="2" t="s">
        <v>5199</v>
      </c>
      <c r="G37" s="2" t="s">
        <v>5123</v>
      </c>
      <c r="H37" s="2" t="s">
        <v>5210</v>
      </c>
      <c r="I37" s="3" t="s">
        <v>34</v>
      </c>
    </row>
    <row r="38" spans="1:9" x14ac:dyDescent="0.2">
      <c r="A38" s="2" t="s">
        <v>5240</v>
      </c>
      <c r="B38" s="3">
        <v>45995</v>
      </c>
      <c r="C38" s="2" t="s">
        <v>34</v>
      </c>
      <c r="D38" s="2" t="s">
        <v>5181</v>
      </c>
      <c r="E38" s="2" t="s">
        <v>5186</v>
      </c>
      <c r="F38" s="2" t="s">
        <v>5199</v>
      </c>
      <c r="G38" s="2" t="s">
        <v>5071</v>
      </c>
      <c r="H38" s="2" t="s">
        <v>5187</v>
      </c>
      <c r="I38" s="3" t="s">
        <v>34</v>
      </c>
    </row>
    <row r="39" spans="1:9" x14ac:dyDescent="0.2">
      <c r="A39" s="2" t="s">
        <v>5241</v>
      </c>
      <c r="B39" s="3">
        <v>46045</v>
      </c>
      <c r="C39" s="2" t="s">
        <v>4171</v>
      </c>
      <c r="D39" s="2" t="s">
        <v>5112</v>
      </c>
      <c r="E39" s="2" t="s">
        <v>5182</v>
      </c>
      <c r="F39" s="2" t="s">
        <v>5193</v>
      </c>
      <c r="G39" s="2" t="s">
        <v>5145</v>
      </c>
      <c r="H39" s="2" t="s">
        <v>5208</v>
      </c>
      <c r="I39" s="3">
        <v>46051</v>
      </c>
    </row>
    <row r="40" spans="1:9" x14ac:dyDescent="0.2">
      <c r="A40" s="2" t="s">
        <v>5242</v>
      </c>
      <c r="B40" s="3">
        <v>45961</v>
      </c>
      <c r="C40" s="2" t="s">
        <v>2720</v>
      </c>
      <c r="D40" s="2" t="s">
        <v>5133</v>
      </c>
      <c r="E40" s="2" t="s">
        <v>5229</v>
      </c>
      <c r="F40" s="2" t="s">
        <v>5193</v>
      </c>
      <c r="G40" s="2" t="s">
        <v>5099</v>
      </c>
      <c r="H40" s="2" t="s">
        <v>5191</v>
      </c>
      <c r="I40" s="3">
        <v>45979</v>
      </c>
    </row>
    <row r="41" spans="1:9" x14ac:dyDescent="0.2">
      <c r="A41" s="2" t="s">
        <v>5243</v>
      </c>
      <c r="B41" s="3">
        <v>46072</v>
      </c>
      <c r="C41" s="2" t="s">
        <v>3313</v>
      </c>
      <c r="D41" s="2" t="s">
        <v>5181</v>
      </c>
      <c r="E41" s="2" t="s">
        <v>5182</v>
      </c>
      <c r="F41" s="2" t="s">
        <v>5199</v>
      </c>
      <c r="G41" s="2" t="s">
        <v>5111</v>
      </c>
      <c r="H41" s="2" t="s">
        <v>5244</v>
      </c>
      <c r="I41" s="3" t="s">
        <v>34</v>
      </c>
    </row>
    <row r="42" spans="1:9" x14ac:dyDescent="0.2">
      <c r="A42" s="2" t="s">
        <v>5245</v>
      </c>
      <c r="B42" s="3">
        <v>46055</v>
      </c>
      <c r="C42" s="2" t="s">
        <v>34</v>
      </c>
      <c r="D42" s="2" t="s">
        <v>5181</v>
      </c>
      <c r="E42" s="2" t="s">
        <v>5182</v>
      </c>
      <c r="F42" s="2" t="s">
        <v>5190</v>
      </c>
      <c r="G42" s="2" t="s">
        <v>5087</v>
      </c>
      <c r="H42" s="2" t="s">
        <v>5244</v>
      </c>
      <c r="I42" s="3">
        <v>46075</v>
      </c>
    </row>
    <row r="43" spans="1:9" x14ac:dyDescent="0.2">
      <c r="A43" s="2" t="s">
        <v>5246</v>
      </c>
      <c r="B43" s="3">
        <v>46019</v>
      </c>
      <c r="C43" s="2" t="s">
        <v>34</v>
      </c>
      <c r="D43" s="2" t="s">
        <v>5181</v>
      </c>
      <c r="E43" s="2" t="s">
        <v>5182</v>
      </c>
      <c r="F43" s="2" t="s">
        <v>5190</v>
      </c>
      <c r="G43" s="2" t="s">
        <v>5076</v>
      </c>
      <c r="H43" s="2" t="s">
        <v>5187</v>
      </c>
      <c r="I43" s="3">
        <v>46029</v>
      </c>
    </row>
    <row r="44" spans="1:9" x14ac:dyDescent="0.2">
      <c r="A44" s="2" t="s">
        <v>5247</v>
      </c>
      <c r="B44" s="3">
        <v>46006</v>
      </c>
      <c r="C44" s="2" t="s">
        <v>2887</v>
      </c>
      <c r="D44" s="2" t="s">
        <v>5133</v>
      </c>
      <c r="E44" s="2" t="s">
        <v>5186</v>
      </c>
      <c r="F44" s="2" t="s">
        <v>5193</v>
      </c>
      <c r="G44" s="2" t="s">
        <v>5164</v>
      </c>
      <c r="H44" s="2" t="s">
        <v>5248</v>
      </c>
      <c r="I44" s="3">
        <v>46014</v>
      </c>
    </row>
    <row r="45" spans="1:9" x14ac:dyDescent="0.2">
      <c r="A45" s="2" t="s">
        <v>5249</v>
      </c>
      <c r="B45" s="3">
        <v>46027</v>
      </c>
      <c r="C45" s="2" t="s">
        <v>34</v>
      </c>
      <c r="D45" s="2" t="s">
        <v>5126</v>
      </c>
      <c r="E45" s="2" t="s">
        <v>5189</v>
      </c>
      <c r="F45" s="2" t="s">
        <v>5199</v>
      </c>
      <c r="G45" s="2" t="s">
        <v>5123</v>
      </c>
      <c r="H45" s="2" t="s">
        <v>5200</v>
      </c>
      <c r="I45" s="3" t="s">
        <v>34</v>
      </c>
    </row>
    <row r="46" spans="1:9" x14ac:dyDescent="0.2">
      <c r="A46" s="2" t="s">
        <v>5250</v>
      </c>
      <c r="B46" s="3">
        <v>45956</v>
      </c>
      <c r="C46" s="2" t="s">
        <v>3039</v>
      </c>
      <c r="D46" s="2" t="s">
        <v>5133</v>
      </c>
      <c r="E46" s="2" t="s">
        <v>5189</v>
      </c>
      <c r="F46" s="2" t="s">
        <v>5193</v>
      </c>
      <c r="G46" s="2" t="s">
        <v>5130</v>
      </c>
      <c r="H46" s="2" t="s">
        <v>5248</v>
      </c>
      <c r="I46" s="3">
        <v>45977</v>
      </c>
    </row>
    <row r="47" spans="1:9" x14ac:dyDescent="0.2">
      <c r="A47" s="2" t="s">
        <v>5251</v>
      </c>
      <c r="B47" s="3">
        <v>45990</v>
      </c>
      <c r="C47" s="2" t="s">
        <v>3068</v>
      </c>
      <c r="D47" s="2" t="s">
        <v>5139</v>
      </c>
      <c r="E47" s="2" t="s">
        <v>5186</v>
      </c>
      <c r="F47" s="2" t="s">
        <v>5193</v>
      </c>
      <c r="G47" s="2" t="s">
        <v>5123</v>
      </c>
      <c r="H47" s="2" t="s">
        <v>5206</v>
      </c>
      <c r="I47" s="3">
        <v>45993</v>
      </c>
    </row>
    <row r="48" spans="1:9" x14ac:dyDescent="0.2">
      <c r="A48" s="2" t="s">
        <v>5252</v>
      </c>
      <c r="B48" s="3">
        <v>46041</v>
      </c>
      <c r="C48" s="2" t="s">
        <v>2195</v>
      </c>
      <c r="D48" s="2" t="s">
        <v>5133</v>
      </c>
      <c r="E48" s="2" t="s">
        <v>5186</v>
      </c>
      <c r="F48" s="2" t="s">
        <v>5183</v>
      </c>
      <c r="G48" s="2" t="s">
        <v>5169</v>
      </c>
      <c r="H48" s="2" t="s">
        <v>5210</v>
      </c>
      <c r="I48" s="3">
        <v>46061</v>
      </c>
    </row>
    <row r="49" spans="1:9" x14ac:dyDescent="0.2">
      <c r="A49" s="2" t="s">
        <v>5253</v>
      </c>
      <c r="B49" s="3">
        <v>46021</v>
      </c>
      <c r="C49" s="2" t="s">
        <v>2621</v>
      </c>
      <c r="D49" s="2" t="s">
        <v>5133</v>
      </c>
      <c r="E49" s="2" t="s">
        <v>5186</v>
      </c>
      <c r="F49" s="2" t="s">
        <v>5199</v>
      </c>
      <c r="G49" s="2" t="s">
        <v>5148</v>
      </c>
      <c r="H49" s="2" t="s">
        <v>5248</v>
      </c>
      <c r="I49" s="3" t="s">
        <v>34</v>
      </c>
    </row>
    <row r="50" spans="1:9" x14ac:dyDescent="0.2">
      <c r="A50" s="2" t="s">
        <v>5254</v>
      </c>
      <c r="B50" s="3">
        <v>46053</v>
      </c>
      <c r="C50" s="2" t="s">
        <v>4028</v>
      </c>
      <c r="D50" s="2" t="s">
        <v>5139</v>
      </c>
      <c r="E50" s="2" t="s">
        <v>5182</v>
      </c>
      <c r="F50" s="2" t="s">
        <v>5193</v>
      </c>
      <c r="G50" s="2" t="s">
        <v>5099</v>
      </c>
      <c r="H50" s="2" t="s">
        <v>5255</v>
      </c>
      <c r="I50" s="3">
        <v>46065</v>
      </c>
    </row>
    <row r="51" spans="1:9" x14ac:dyDescent="0.2">
      <c r="A51" s="2" t="s">
        <v>5256</v>
      </c>
      <c r="B51" s="3">
        <v>45983</v>
      </c>
      <c r="C51" s="2" t="s">
        <v>717</v>
      </c>
      <c r="D51" s="2" t="s">
        <v>5112</v>
      </c>
      <c r="E51" s="2" t="s">
        <v>5182</v>
      </c>
      <c r="F51" s="2" t="s">
        <v>5190</v>
      </c>
      <c r="G51" s="2" t="s">
        <v>5130</v>
      </c>
      <c r="H51" s="2" t="s">
        <v>5208</v>
      </c>
      <c r="I51" s="3">
        <v>45990</v>
      </c>
    </row>
    <row r="52" spans="1:9" x14ac:dyDescent="0.2">
      <c r="A52" s="2" t="s">
        <v>5257</v>
      </c>
      <c r="B52" s="3">
        <v>46038</v>
      </c>
      <c r="C52" s="2" t="s">
        <v>2586</v>
      </c>
      <c r="D52" s="2" t="s">
        <v>5126</v>
      </c>
      <c r="E52" s="2" t="s">
        <v>5189</v>
      </c>
      <c r="F52" s="2" t="s">
        <v>5190</v>
      </c>
      <c r="G52" s="2" t="s">
        <v>5145</v>
      </c>
      <c r="H52" s="2" t="s">
        <v>5232</v>
      </c>
      <c r="I52" s="3">
        <v>46052</v>
      </c>
    </row>
    <row r="53" spans="1:9" x14ac:dyDescent="0.2">
      <c r="A53" s="2" t="s">
        <v>5258</v>
      </c>
      <c r="B53" s="3">
        <v>46006</v>
      </c>
      <c r="C53" s="2" t="s">
        <v>1673</v>
      </c>
      <c r="D53" s="2" t="s">
        <v>5112</v>
      </c>
      <c r="E53" s="2" t="s">
        <v>5182</v>
      </c>
      <c r="F53" s="2" t="s">
        <v>5190</v>
      </c>
      <c r="G53" s="2" t="s">
        <v>5108</v>
      </c>
      <c r="H53" s="2" t="s">
        <v>5208</v>
      </c>
      <c r="I53" s="3">
        <v>46024</v>
      </c>
    </row>
    <row r="54" spans="1:9" x14ac:dyDescent="0.2">
      <c r="A54" s="2" t="s">
        <v>5259</v>
      </c>
      <c r="B54" s="3">
        <v>46036</v>
      </c>
      <c r="C54" s="2" t="s">
        <v>2714</v>
      </c>
      <c r="D54" s="2" t="s">
        <v>5133</v>
      </c>
      <c r="E54" s="2" t="s">
        <v>5186</v>
      </c>
      <c r="F54" s="2" t="s">
        <v>5193</v>
      </c>
      <c r="G54" s="2" t="s">
        <v>5087</v>
      </c>
      <c r="H54" s="2" t="s">
        <v>5197</v>
      </c>
      <c r="I54" s="3">
        <v>46042</v>
      </c>
    </row>
    <row r="55" spans="1:9" x14ac:dyDescent="0.2">
      <c r="A55" s="2" t="s">
        <v>5260</v>
      </c>
      <c r="B55" s="3">
        <v>46055</v>
      </c>
      <c r="C55" s="2" t="s">
        <v>34</v>
      </c>
      <c r="D55" s="2" t="s">
        <v>5181</v>
      </c>
      <c r="E55" s="2" t="s">
        <v>5182</v>
      </c>
      <c r="F55" s="2" t="s">
        <v>5199</v>
      </c>
      <c r="G55" s="2" t="s">
        <v>5081</v>
      </c>
      <c r="H55" s="2" t="s">
        <v>5184</v>
      </c>
      <c r="I55" s="3" t="s">
        <v>34</v>
      </c>
    </row>
    <row r="56" spans="1:9" x14ac:dyDescent="0.2">
      <c r="A56" s="2" t="s">
        <v>5261</v>
      </c>
      <c r="B56" s="3">
        <v>46006</v>
      </c>
      <c r="C56" s="2" t="s">
        <v>28</v>
      </c>
      <c r="D56" s="2" t="s">
        <v>5139</v>
      </c>
      <c r="E56" s="2" t="s">
        <v>5189</v>
      </c>
      <c r="F56" s="2" t="s">
        <v>5193</v>
      </c>
      <c r="G56" s="2" t="s">
        <v>5130</v>
      </c>
      <c r="H56" s="2" t="s">
        <v>5255</v>
      </c>
      <c r="I56" s="3">
        <v>46016</v>
      </c>
    </row>
    <row r="57" spans="1:9" x14ac:dyDescent="0.2">
      <c r="A57" s="2" t="s">
        <v>5262</v>
      </c>
      <c r="B57" s="3">
        <v>46007</v>
      </c>
      <c r="C57" s="2" t="s">
        <v>4148</v>
      </c>
      <c r="D57" s="2" t="s">
        <v>5112</v>
      </c>
      <c r="E57" s="2" t="s">
        <v>5189</v>
      </c>
      <c r="F57" s="2" t="s">
        <v>5193</v>
      </c>
      <c r="G57" s="2" t="s">
        <v>5169</v>
      </c>
      <c r="H57" s="2" t="s">
        <v>5208</v>
      </c>
      <c r="I57" s="3">
        <v>46013</v>
      </c>
    </row>
    <row r="58" spans="1:9" x14ac:dyDescent="0.2">
      <c r="A58" s="2" t="s">
        <v>5263</v>
      </c>
      <c r="B58" s="3">
        <v>46042</v>
      </c>
      <c r="C58" s="2" t="s">
        <v>993</v>
      </c>
      <c r="D58" s="2" t="s">
        <v>5112</v>
      </c>
      <c r="E58" s="2" t="s">
        <v>5229</v>
      </c>
      <c r="F58" s="2" t="s">
        <v>5199</v>
      </c>
      <c r="G58" s="2" t="s">
        <v>5130</v>
      </c>
      <c r="H58" s="2" t="s">
        <v>5202</v>
      </c>
      <c r="I58" s="3" t="s">
        <v>34</v>
      </c>
    </row>
    <row r="59" spans="1:9" x14ac:dyDescent="0.2">
      <c r="A59" s="2" t="s">
        <v>5264</v>
      </c>
      <c r="B59" s="3">
        <v>46021</v>
      </c>
      <c r="C59" s="2" t="s">
        <v>442</v>
      </c>
      <c r="D59" s="2" t="s">
        <v>5133</v>
      </c>
      <c r="E59" s="2" t="s">
        <v>5186</v>
      </c>
      <c r="F59" s="2" t="s">
        <v>5183</v>
      </c>
      <c r="G59" s="2" t="s">
        <v>5164</v>
      </c>
      <c r="H59" s="2" t="s">
        <v>5210</v>
      </c>
      <c r="I59" s="3">
        <v>46041</v>
      </c>
    </row>
    <row r="60" spans="1:9" x14ac:dyDescent="0.2">
      <c r="A60" s="2" t="s">
        <v>5265</v>
      </c>
      <c r="B60" s="3">
        <v>45961</v>
      </c>
      <c r="C60" s="2" t="s">
        <v>2212</v>
      </c>
      <c r="D60" s="2" t="s">
        <v>5181</v>
      </c>
      <c r="E60" s="2" t="s">
        <v>5189</v>
      </c>
      <c r="F60" s="2" t="s">
        <v>5199</v>
      </c>
      <c r="G60" s="2" t="s">
        <v>5148</v>
      </c>
      <c r="H60" s="2" t="s">
        <v>5244</v>
      </c>
      <c r="I60" s="3" t="s">
        <v>34</v>
      </c>
    </row>
    <row r="61" spans="1:9" x14ac:dyDescent="0.2">
      <c r="A61" s="2" t="s">
        <v>5266</v>
      </c>
      <c r="B61" s="3">
        <v>45970</v>
      </c>
      <c r="C61" s="2" t="s">
        <v>722</v>
      </c>
      <c r="D61" s="2" t="s">
        <v>5181</v>
      </c>
      <c r="E61" s="2" t="s">
        <v>5186</v>
      </c>
      <c r="F61" s="2" t="s">
        <v>5190</v>
      </c>
      <c r="G61" s="2" t="s">
        <v>5081</v>
      </c>
      <c r="H61" s="2" t="s">
        <v>5187</v>
      </c>
      <c r="I61" s="3">
        <v>45982</v>
      </c>
    </row>
    <row r="62" spans="1:9" x14ac:dyDescent="0.2">
      <c r="A62" s="2" t="s">
        <v>5267</v>
      </c>
      <c r="B62" s="3">
        <v>46052</v>
      </c>
      <c r="C62" s="2" t="s">
        <v>34</v>
      </c>
      <c r="D62" s="2" t="s">
        <v>5181</v>
      </c>
      <c r="E62" s="2" t="s">
        <v>5186</v>
      </c>
      <c r="F62" s="2" t="s">
        <v>5193</v>
      </c>
      <c r="G62" s="2" t="s">
        <v>5087</v>
      </c>
      <c r="H62" s="2" t="s">
        <v>5195</v>
      </c>
      <c r="I62" s="3">
        <v>46064</v>
      </c>
    </row>
    <row r="63" spans="1:9" x14ac:dyDescent="0.2">
      <c r="A63" s="2" t="s">
        <v>5268</v>
      </c>
      <c r="B63" s="3">
        <v>45976</v>
      </c>
      <c r="C63" s="2" t="s">
        <v>34</v>
      </c>
      <c r="D63" s="2" t="s">
        <v>5181</v>
      </c>
      <c r="E63" s="2" t="s">
        <v>5186</v>
      </c>
      <c r="F63" s="2" t="s">
        <v>5199</v>
      </c>
      <c r="G63" s="2" t="s">
        <v>5108</v>
      </c>
      <c r="H63" s="2" t="s">
        <v>5184</v>
      </c>
      <c r="I63" s="3" t="s">
        <v>34</v>
      </c>
    </row>
    <row r="64" spans="1:9" x14ac:dyDescent="0.2">
      <c r="A64" s="2" t="s">
        <v>5269</v>
      </c>
      <c r="B64" s="3">
        <v>46012</v>
      </c>
      <c r="C64" s="2" t="s">
        <v>827</v>
      </c>
      <c r="D64" s="2" t="s">
        <v>5133</v>
      </c>
      <c r="E64" s="2" t="s">
        <v>5189</v>
      </c>
      <c r="F64" s="2" t="s">
        <v>5190</v>
      </c>
      <c r="G64" s="2" t="s">
        <v>5148</v>
      </c>
      <c r="H64" s="2" t="s">
        <v>5210</v>
      </c>
      <c r="I64" s="3">
        <v>46020</v>
      </c>
    </row>
    <row r="65" spans="1:9" x14ac:dyDescent="0.2">
      <c r="A65" s="2" t="s">
        <v>5270</v>
      </c>
      <c r="B65" s="3">
        <v>45986</v>
      </c>
      <c r="C65" s="2" t="s">
        <v>219</v>
      </c>
      <c r="D65" s="2" t="s">
        <v>5112</v>
      </c>
      <c r="E65" s="2" t="s">
        <v>5182</v>
      </c>
      <c r="F65" s="2" t="s">
        <v>5190</v>
      </c>
      <c r="G65" s="2" t="s">
        <v>5148</v>
      </c>
      <c r="H65" s="2" t="s">
        <v>5202</v>
      </c>
      <c r="I65" s="3">
        <v>46003</v>
      </c>
    </row>
    <row r="66" spans="1:9" x14ac:dyDescent="0.2">
      <c r="A66" s="2" t="s">
        <v>5271</v>
      </c>
      <c r="B66" s="3">
        <v>45979</v>
      </c>
      <c r="C66" s="2" t="s">
        <v>4402</v>
      </c>
      <c r="D66" s="2" t="s">
        <v>5181</v>
      </c>
      <c r="E66" s="2" t="s">
        <v>5186</v>
      </c>
      <c r="F66" s="2" t="s">
        <v>5190</v>
      </c>
      <c r="G66" s="2" t="s">
        <v>5153</v>
      </c>
      <c r="H66" s="2" t="s">
        <v>5184</v>
      </c>
      <c r="I66" s="3">
        <v>46000</v>
      </c>
    </row>
    <row r="67" spans="1:9" x14ac:dyDescent="0.2">
      <c r="A67" s="2" t="s">
        <v>5272</v>
      </c>
      <c r="B67" s="3">
        <v>46007</v>
      </c>
      <c r="C67" s="2" t="s">
        <v>34</v>
      </c>
      <c r="D67" s="2" t="s">
        <v>5126</v>
      </c>
      <c r="E67" s="2" t="s">
        <v>5186</v>
      </c>
      <c r="F67" s="2" t="s">
        <v>5190</v>
      </c>
      <c r="G67" s="2" t="s">
        <v>5071</v>
      </c>
      <c r="H67" s="2" t="s">
        <v>5200</v>
      </c>
      <c r="I67" s="3">
        <v>46021</v>
      </c>
    </row>
    <row r="68" spans="1:9" x14ac:dyDescent="0.2">
      <c r="A68" s="2" t="s">
        <v>5273</v>
      </c>
      <c r="B68" s="3">
        <v>46016</v>
      </c>
      <c r="C68" s="2" t="s">
        <v>34</v>
      </c>
      <c r="D68" s="2" t="s">
        <v>5181</v>
      </c>
      <c r="E68" s="2" t="s">
        <v>5186</v>
      </c>
      <c r="F68" s="2" t="s">
        <v>5190</v>
      </c>
      <c r="G68" s="2" t="s">
        <v>5081</v>
      </c>
      <c r="H68" s="2" t="s">
        <v>5187</v>
      </c>
      <c r="I68" s="3">
        <v>46025</v>
      </c>
    </row>
    <row r="69" spans="1:9" x14ac:dyDescent="0.2">
      <c r="A69" s="2" t="s">
        <v>5274</v>
      </c>
      <c r="B69" s="3">
        <v>45968</v>
      </c>
      <c r="C69" s="2" t="s">
        <v>1203</v>
      </c>
      <c r="D69" s="2" t="s">
        <v>5112</v>
      </c>
      <c r="E69" s="2" t="s">
        <v>5182</v>
      </c>
      <c r="F69" s="2" t="s">
        <v>5193</v>
      </c>
      <c r="G69" s="2" t="s">
        <v>5108</v>
      </c>
      <c r="H69" s="2" t="s">
        <v>5208</v>
      </c>
      <c r="I69" s="3">
        <v>45989</v>
      </c>
    </row>
    <row r="70" spans="1:9" x14ac:dyDescent="0.2">
      <c r="A70" s="2" t="s">
        <v>5275</v>
      </c>
      <c r="B70" s="3">
        <v>45991</v>
      </c>
      <c r="C70" s="2" t="s">
        <v>4682</v>
      </c>
      <c r="D70" s="2" t="s">
        <v>5139</v>
      </c>
      <c r="E70" s="2" t="s">
        <v>5182</v>
      </c>
      <c r="F70" s="2" t="s">
        <v>5193</v>
      </c>
      <c r="G70" s="2" t="s">
        <v>5087</v>
      </c>
      <c r="H70" s="2" t="s">
        <v>5206</v>
      </c>
      <c r="I70" s="3">
        <v>46012</v>
      </c>
    </row>
    <row r="71" spans="1:9" x14ac:dyDescent="0.2">
      <c r="A71" s="2" t="s">
        <v>5276</v>
      </c>
      <c r="B71" s="3">
        <v>46005</v>
      </c>
      <c r="C71" s="2" t="s">
        <v>3080</v>
      </c>
      <c r="D71" s="2" t="s">
        <v>5139</v>
      </c>
      <c r="E71" s="2" t="s">
        <v>5186</v>
      </c>
      <c r="F71" s="2" t="s">
        <v>5190</v>
      </c>
      <c r="G71" s="2" t="s">
        <v>5169</v>
      </c>
      <c r="H71" s="2" t="s">
        <v>5222</v>
      </c>
      <c r="I71" s="3">
        <v>46017</v>
      </c>
    </row>
    <row r="72" spans="1:9" x14ac:dyDescent="0.2">
      <c r="A72" s="2" t="s">
        <v>5277</v>
      </c>
      <c r="B72" s="3">
        <v>46032</v>
      </c>
      <c r="C72" s="2" t="s">
        <v>4672</v>
      </c>
      <c r="D72" s="2" t="s">
        <v>5126</v>
      </c>
      <c r="E72" s="2" t="s">
        <v>5189</v>
      </c>
      <c r="F72" s="2" t="s">
        <v>5183</v>
      </c>
      <c r="G72" s="2" t="s">
        <v>5145</v>
      </c>
      <c r="H72" s="2" t="s">
        <v>5278</v>
      </c>
      <c r="I72" s="3">
        <v>46053</v>
      </c>
    </row>
    <row r="73" spans="1:9" x14ac:dyDescent="0.2">
      <c r="A73" s="2" t="s">
        <v>5279</v>
      </c>
      <c r="B73" s="3">
        <v>45989</v>
      </c>
      <c r="C73" s="2" t="s">
        <v>4092</v>
      </c>
      <c r="D73" s="2" t="s">
        <v>5133</v>
      </c>
      <c r="E73" s="2" t="s">
        <v>5182</v>
      </c>
      <c r="F73" s="2" t="s">
        <v>5199</v>
      </c>
      <c r="G73" s="2" t="s">
        <v>5103</v>
      </c>
      <c r="H73" s="2" t="s">
        <v>5197</v>
      </c>
      <c r="I73" s="3" t="s">
        <v>34</v>
      </c>
    </row>
    <row r="74" spans="1:9" x14ac:dyDescent="0.2">
      <c r="A74" s="2" t="s">
        <v>5280</v>
      </c>
      <c r="B74" s="3">
        <v>45962</v>
      </c>
      <c r="C74" s="2" t="s">
        <v>34</v>
      </c>
      <c r="D74" s="2" t="s">
        <v>5181</v>
      </c>
      <c r="E74" s="2" t="s">
        <v>5186</v>
      </c>
      <c r="F74" s="2" t="s">
        <v>5183</v>
      </c>
      <c r="G74" s="2" t="s">
        <v>5123</v>
      </c>
      <c r="H74" s="2" t="s">
        <v>5187</v>
      </c>
      <c r="I74" s="3">
        <v>45971</v>
      </c>
    </row>
    <row r="75" spans="1:9" x14ac:dyDescent="0.2">
      <c r="A75" s="2" t="s">
        <v>5281</v>
      </c>
      <c r="B75" s="3">
        <v>45969</v>
      </c>
      <c r="C75" s="2" t="s">
        <v>3366</v>
      </c>
      <c r="D75" s="2" t="s">
        <v>5126</v>
      </c>
      <c r="E75" s="2" t="s">
        <v>5182</v>
      </c>
      <c r="F75" s="2" t="s">
        <v>5183</v>
      </c>
      <c r="G75" s="2" t="s">
        <v>5116</v>
      </c>
      <c r="H75" s="2" t="s">
        <v>5278</v>
      </c>
      <c r="I75" s="3">
        <v>45984</v>
      </c>
    </row>
    <row r="76" spans="1:9" x14ac:dyDescent="0.2">
      <c r="A76" s="2" t="s">
        <v>5282</v>
      </c>
      <c r="B76" s="3">
        <v>45985</v>
      </c>
      <c r="C76" s="2" t="s">
        <v>34</v>
      </c>
      <c r="D76" s="2" t="s">
        <v>5126</v>
      </c>
      <c r="E76" s="2" t="s">
        <v>5189</v>
      </c>
      <c r="F76" s="2" t="s">
        <v>5190</v>
      </c>
      <c r="G76" s="2" t="s">
        <v>5145</v>
      </c>
      <c r="H76" s="2" t="s">
        <v>5200</v>
      </c>
      <c r="I76" s="3">
        <v>45999</v>
      </c>
    </row>
    <row r="77" spans="1:9" x14ac:dyDescent="0.2">
      <c r="A77" s="2" t="s">
        <v>5283</v>
      </c>
      <c r="B77" s="3">
        <v>46013</v>
      </c>
      <c r="C77" s="2" t="s">
        <v>199</v>
      </c>
      <c r="D77" s="2" t="s">
        <v>5133</v>
      </c>
      <c r="E77" s="2" t="s">
        <v>5189</v>
      </c>
      <c r="F77" s="2" t="s">
        <v>5193</v>
      </c>
      <c r="G77" s="2" t="s">
        <v>5111</v>
      </c>
      <c r="H77" s="2" t="s">
        <v>5248</v>
      </c>
      <c r="I77" s="3">
        <v>46024</v>
      </c>
    </row>
    <row r="78" spans="1:9" x14ac:dyDescent="0.2">
      <c r="A78" s="2" t="s">
        <v>5284</v>
      </c>
      <c r="B78" s="3">
        <v>46008</v>
      </c>
      <c r="C78" s="2" t="s">
        <v>34</v>
      </c>
      <c r="D78" s="2" t="s">
        <v>5181</v>
      </c>
      <c r="E78" s="2" t="s">
        <v>5186</v>
      </c>
      <c r="F78" s="2" t="s">
        <v>5199</v>
      </c>
      <c r="G78" s="2" t="s">
        <v>5123</v>
      </c>
      <c r="H78" s="2" t="s">
        <v>5184</v>
      </c>
      <c r="I78" s="3" t="s">
        <v>34</v>
      </c>
    </row>
    <row r="79" spans="1:9" x14ac:dyDescent="0.2">
      <c r="A79" s="2" t="s">
        <v>5285</v>
      </c>
      <c r="B79" s="3">
        <v>45975</v>
      </c>
      <c r="C79" s="2" t="s">
        <v>3698</v>
      </c>
      <c r="D79" s="2" t="s">
        <v>5181</v>
      </c>
      <c r="E79" s="2" t="s">
        <v>5189</v>
      </c>
      <c r="F79" s="2" t="s">
        <v>5190</v>
      </c>
      <c r="G79" s="2" t="s">
        <v>5076</v>
      </c>
      <c r="H79" s="2" t="s">
        <v>5184</v>
      </c>
      <c r="I79" s="3">
        <v>45990</v>
      </c>
    </row>
    <row r="80" spans="1:9" x14ac:dyDescent="0.2">
      <c r="A80" s="2" t="s">
        <v>5286</v>
      </c>
      <c r="B80" s="3">
        <v>46042</v>
      </c>
      <c r="C80" s="2" t="s">
        <v>4758</v>
      </c>
      <c r="D80" s="2" t="s">
        <v>5133</v>
      </c>
      <c r="E80" s="2" t="s">
        <v>5182</v>
      </c>
      <c r="F80" s="2" t="s">
        <v>5190</v>
      </c>
      <c r="G80" s="2" t="s">
        <v>5081</v>
      </c>
      <c r="H80" s="2" t="s">
        <v>5191</v>
      </c>
      <c r="I80" s="3">
        <v>46059</v>
      </c>
    </row>
    <row r="81" spans="1:9" x14ac:dyDescent="0.2">
      <c r="A81" s="2" t="s">
        <v>5287</v>
      </c>
      <c r="B81" s="3">
        <v>45979</v>
      </c>
      <c r="C81" s="2" t="s">
        <v>3258</v>
      </c>
      <c r="D81" s="2" t="s">
        <v>5139</v>
      </c>
      <c r="E81" s="2" t="s">
        <v>5182</v>
      </c>
      <c r="F81" s="2" t="s">
        <v>5193</v>
      </c>
      <c r="G81" s="2" t="s">
        <v>5130</v>
      </c>
      <c r="H81" s="2" t="s">
        <v>5216</v>
      </c>
      <c r="I81" s="3">
        <v>45991</v>
      </c>
    </row>
    <row r="82" spans="1:9" x14ac:dyDescent="0.2">
      <c r="A82" s="2" t="s">
        <v>5288</v>
      </c>
      <c r="B82" s="3">
        <v>46047</v>
      </c>
      <c r="C82" s="2" t="s">
        <v>3080</v>
      </c>
      <c r="D82" s="2" t="s">
        <v>5133</v>
      </c>
      <c r="E82" s="2" t="s">
        <v>5182</v>
      </c>
      <c r="F82" s="2" t="s">
        <v>5183</v>
      </c>
      <c r="G82" s="2" t="s">
        <v>5092</v>
      </c>
      <c r="H82" s="2" t="s">
        <v>5248</v>
      </c>
      <c r="I82" s="3">
        <v>46060</v>
      </c>
    </row>
    <row r="83" spans="1:9" x14ac:dyDescent="0.2">
      <c r="A83" s="2" t="s">
        <v>5289</v>
      </c>
      <c r="B83" s="3">
        <v>46042</v>
      </c>
      <c r="C83" s="2" t="s">
        <v>4581</v>
      </c>
      <c r="D83" s="2" t="s">
        <v>5181</v>
      </c>
      <c r="E83" s="2" t="s">
        <v>5186</v>
      </c>
      <c r="F83" s="2" t="s">
        <v>5193</v>
      </c>
      <c r="G83" s="2" t="s">
        <v>5081</v>
      </c>
      <c r="H83" s="2" t="s">
        <v>5195</v>
      </c>
      <c r="I83" s="3">
        <v>46054</v>
      </c>
    </row>
    <row r="84" spans="1:9" x14ac:dyDescent="0.2">
      <c r="A84" s="2" t="s">
        <v>5290</v>
      </c>
      <c r="B84" s="3">
        <v>45986</v>
      </c>
      <c r="C84" s="2" t="s">
        <v>729</v>
      </c>
      <c r="D84" s="2" t="s">
        <v>5112</v>
      </c>
      <c r="E84" s="2" t="s">
        <v>5186</v>
      </c>
      <c r="F84" s="2" t="s">
        <v>5190</v>
      </c>
      <c r="G84" s="2" t="s">
        <v>5145</v>
      </c>
      <c r="H84" s="2" t="s">
        <v>5291</v>
      </c>
      <c r="I84" s="3">
        <v>45995</v>
      </c>
    </row>
    <row r="85" spans="1:9" x14ac:dyDescent="0.2">
      <c r="A85" s="2" t="s">
        <v>5292</v>
      </c>
      <c r="B85" s="3">
        <v>45957</v>
      </c>
      <c r="C85" s="2" t="s">
        <v>4138</v>
      </c>
      <c r="D85" s="2" t="s">
        <v>5133</v>
      </c>
      <c r="E85" s="2" t="s">
        <v>5182</v>
      </c>
      <c r="F85" s="2" t="s">
        <v>5190</v>
      </c>
      <c r="G85" s="2" t="s">
        <v>5148</v>
      </c>
      <c r="H85" s="2" t="s">
        <v>5248</v>
      </c>
      <c r="I85" s="3">
        <v>45962</v>
      </c>
    </row>
    <row r="86" spans="1:9" x14ac:dyDescent="0.2">
      <c r="A86" s="2" t="s">
        <v>5293</v>
      </c>
      <c r="B86" s="3">
        <v>46053</v>
      </c>
      <c r="C86" s="2" t="s">
        <v>1182</v>
      </c>
      <c r="D86" s="2" t="s">
        <v>5133</v>
      </c>
      <c r="E86" s="2" t="s">
        <v>5229</v>
      </c>
      <c r="F86" s="2" t="s">
        <v>5199</v>
      </c>
      <c r="G86" s="2" t="s">
        <v>5081</v>
      </c>
      <c r="H86" s="2" t="s">
        <v>5197</v>
      </c>
      <c r="I86" s="3" t="s">
        <v>34</v>
      </c>
    </row>
    <row r="87" spans="1:9" x14ac:dyDescent="0.2">
      <c r="A87" s="2" t="s">
        <v>5294</v>
      </c>
      <c r="B87" s="3">
        <v>45987</v>
      </c>
      <c r="C87" s="2" t="s">
        <v>34</v>
      </c>
      <c r="D87" s="2" t="s">
        <v>5126</v>
      </c>
      <c r="E87" s="2" t="s">
        <v>5186</v>
      </c>
      <c r="F87" s="2" t="s">
        <v>5190</v>
      </c>
      <c r="G87" s="2" t="s">
        <v>5081</v>
      </c>
      <c r="H87" s="2" t="s">
        <v>5232</v>
      </c>
      <c r="I87" s="3">
        <v>45989</v>
      </c>
    </row>
    <row r="88" spans="1:9" x14ac:dyDescent="0.2">
      <c r="A88" s="2" t="s">
        <v>5295</v>
      </c>
      <c r="B88" s="3">
        <v>46062</v>
      </c>
      <c r="C88" s="2" t="s">
        <v>1766</v>
      </c>
      <c r="D88" s="2" t="s">
        <v>5133</v>
      </c>
      <c r="E88" s="2" t="s">
        <v>5189</v>
      </c>
      <c r="F88" s="2" t="s">
        <v>5183</v>
      </c>
      <c r="G88" s="2" t="s">
        <v>5076</v>
      </c>
      <c r="H88" s="2" t="s">
        <v>5191</v>
      </c>
      <c r="I88" s="3">
        <v>46081</v>
      </c>
    </row>
    <row r="89" spans="1:9" x14ac:dyDescent="0.2">
      <c r="A89" s="2" t="s">
        <v>5296</v>
      </c>
      <c r="B89" s="3">
        <v>45973</v>
      </c>
      <c r="C89" s="2" t="s">
        <v>2392</v>
      </c>
      <c r="D89" s="2" t="s">
        <v>5139</v>
      </c>
      <c r="E89" s="2" t="s">
        <v>5229</v>
      </c>
      <c r="F89" s="2" t="s">
        <v>5183</v>
      </c>
      <c r="G89" s="2" t="s">
        <v>5169</v>
      </c>
      <c r="H89" s="2" t="s">
        <v>5222</v>
      </c>
      <c r="I89" s="3">
        <v>45978</v>
      </c>
    </row>
    <row r="90" spans="1:9" x14ac:dyDescent="0.2">
      <c r="A90" s="2" t="s">
        <v>5297</v>
      </c>
      <c r="B90" s="3">
        <v>46015</v>
      </c>
      <c r="C90" s="2" t="s">
        <v>2931</v>
      </c>
      <c r="D90" s="2" t="s">
        <v>5126</v>
      </c>
      <c r="E90" s="2" t="s">
        <v>5189</v>
      </c>
      <c r="F90" s="2" t="s">
        <v>5199</v>
      </c>
      <c r="G90" s="2" t="s">
        <v>5092</v>
      </c>
      <c r="H90" s="2" t="s">
        <v>5278</v>
      </c>
      <c r="I90" s="3" t="s">
        <v>34</v>
      </c>
    </row>
    <row r="91" spans="1:9" x14ac:dyDescent="0.2">
      <c r="A91" s="2" t="s">
        <v>5298</v>
      </c>
      <c r="B91" s="3">
        <v>45964</v>
      </c>
      <c r="C91" s="2" t="s">
        <v>3507</v>
      </c>
      <c r="D91" s="2" t="s">
        <v>5133</v>
      </c>
      <c r="E91" s="2" t="s">
        <v>5189</v>
      </c>
      <c r="F91" s="2" t="s">
        <v>5199</v>
      </c>
      <c r="G91" s="2" t="s">
        <v>5130</v>
      </c>
      <c r="H91" s="2" t="s">
        <v>5210</v>
      </c>
      <c r="I91" s="3" t="s">
        <v>34</v>
      </c>
    </row>
    <row r="92" spans="1:9" x14ac:dyDescent="0.2">
      <c r="A92" s="2" t="s">
        <v>5299</v>
      </c>
      <c r="B92" s="3">
        <v>45956</v>
      </c>
      <c r="C92" s="2" t="s">
        <v>34</v>
      </c>
      <c r="D92" s="2" t="s">
        <v>5181</v>
      </c>
      <c r="E92" s="2" t="s">
        <v>5229</v>
      </c>
      <c r="F92" s="2" t="s">
        <v>5190</v>
      </c>
      <c r="G92" s="2" t="s">
        <v>5108</v>
      </c>
      <c r="H92" s="2" t="s">
        <v>5244</v>
      </c>
      <c r="I92" s="3">
        <v>45971</v>
      </c>
    </row>
    <row r="93" spans="1:9" x14ac:dyDescent="0.2">
      <c r="A93" s="2" t="s">
        <v>5300</v>
      </c>
      <c r="B93" s="3">
        <v>46066</v>
      </c>
      <c r="C93" s="2" t="s">
        <v>742</v>
      </c>
      <c r="D93" s="2" t="s">
        <v>5133</v>
      </c>
      <c r="E93" s="2" t="s">
        <v>5182</v>
      </c>
      <c r="F93" s="2" t="s">
        <v>5183</v>
      </c>
      <c r="G93" s="2" t="s">
        <v>5087</v>
      </c>
      <c r="H93" s="2" t="s">
        <v>5191</v>
      </c>
      <c r="I93" s="3">
        <v>46075</v>
      </c>
    </row>
    <row r="94" spans="1:9" x14ac:dyDescent="0.2">
      <c r="A94" s="2" t="s">
        <v>5301</v>
      </c>
      <c r="B94" s="3">
        <v>45981</v>
      </c>
      <c r="C94" s="2" t="s">
        <v>34</v>
      </c>
      <c r="D94" s="2" t="s">
        <v>5181</v>
      </c>
      <c r="E94" s="2" t="s">
        <v>5186</v>
      </c>
      <c r="F94" s="2" t="s">
        <v>5190</v>
      </c>
      <c r="G94" s="2" t="s">
        <v>5087</v>
      </c>
      <c r="H94" s="2" t="s">
        <v>5195</v>
      </c>
      <c r="I94" s="3">
        <v>46000</v>
      </c>
    </row>
    <row r="95" spans="1:9" x14ac:dyDescent="0.2">
      <c r="A95" s="2" t="s">
        <v>5302</v>
      </c>
      <c r="B95" s="3">
        <v>46069</v>
      </c>
      <c r="C95" s="2" t="s">
        <v>2171</v>
      </c>
      <c r="D95" s="2" t="s">
        <v>5139</v>
      </c>
      <c r="E95" s="2" t="s">
        <v>5229</v>
      </c>
      <c r="F95" s="2" t="s">
        <v>5193</v>
      </c>
      <c r="G95" s="2" t="s">
        <v>5076</v>
      </c>
      <c r="H95" s="2" t="s">
        <v>5216</v>
      </c>
      <c r="I95" s="3">
        <v>46087</v>
      </c>
    </row>
    <row r="96" spans="1:9" x14ac:dyDescent="0.2">
      <c r="A96" s="2" t="s">
        <v>5303</v>
      </c>
      <c r="B96" s="3">
        <v>46053</v>
      </c>
      <c r="C96" s="2" t="s">
        <v>820</v>
      </c>
      <c r="D96" s="2" t="s">
        <v>5112</v>
      </c>
      <c r="E96" s="2" t="s">
        <v>5189</v>
      </c>
      <c r="F96" s="2" t="s">
        <v>5193</v>
      </c>
      <c r="G96" s="2" t="s">
        <v>5103</v>
      </c>
      <c r="H96" s="2" t="s">
        <v>5291</v>
      </c>
      <c r="I96" s="3">
        <v>46063</v>
      </c>
    </row>
    <row r="97" spans="1:9" x14ac:dyDescent="0.2">
      <c r="A97" s="2" t="s">
        <v>5304</v>
      </c>
      <c r="B97" s="3">
        <v>46029</v>
      </c>
      <c r="C97" s="2" t="s">
        <v>1689</v>
      </c>
      <c r="D97" s="2" t="s">
        <v>5181</v>
      </c>
      <c r="E97" s="2" t="s">
        <v>5186</v>
      </c>
      <c r="F97" s="2" t="s">
        <v>5193</v>
      </c>
      <c r="G97" s="2" t="s">
        <v>5081</v>
      </c>
      <c r="H97" s="2" t="s">
        <v>5184</v>
      </c>
      <c r="I97" s="3">
        <v>46040</v>
      </c>
    </row>
    <row r="98" spans="1:9" x14ac:dyDescent="0.2">
      <c r="A98" s="2" t="s">
        <v>5305</v>
      </c>
      <c r="B98" s="3">
        <v>45992</v>
      </c>
      <c r="C98" s="2" t="s">
        <v>3903</v>
      </c>
      <c r="D98" s="2" t="s">
        <v>5112</v>
      </c>
      <c r="E98" s="2" t="s">
        <v>5189</v>
      </c>
      <c r="F98" s="2" t="s">
        <v>5193</v>
      </c>
      <c r="G98" s="2" t="s">
        <v>5148</v>
      </c>
      <c r="H98" s="2" t="s">
        <v>5230</v>
      </c>
      <c r="I98" s="3">
        <v>45996</v>
      </c>
    </row>
    <row r="99" spans="1:9" x14ac:dyDescent="0.2">
      <c r="A99" s="2" t="s">
        <v>5306</v>
      </c>
      <c r="B99" s="3">
        <v>46061</v>
      </c>
      <c r="C99" s="2" t="s">
        <v>1256</v>
      </c>
      <c r="D99" s="2" t="s">
        <v>5133</v>
      </c>
      <c r="E99" s="2" t="s">
        <v>5186</v>
      </c>
      <c r="F99" s="2" t="s">
        <v>5193</v>
      </c>
      <c r="G99" s="2" t="s">
        <v>5130</v>
      </c>
      <c r="H99" s="2" t="s">
        <v>5191</v>
      </c>
      <c r="I99" s="3">
        <v>46080</v>
      </c>
    </row>
    <row r="100" spans="1:9" x14ac:dyDescent="0.2">
      <c r="A100" s="2" t="s">
        <v>5307</v>
      </c>
      <c r="B100" s="3">
        <v>45997</v>
      </c>
      <c r="C100" s="2" t="s">
        <v>2989</v>
      </c>
      <c r="D100" s="2" t="s">
        <v>5181</v>
      </c>
      <c r="E100" s="2" t="s">
        <v>5189</v>
      </c>
      <c r="F100" s="2" t="s">
        <v>5193</v>
      </c>
      <c r="G100" s="2" t="s">
        <v>5164</v>
      </c>
      <c r="H100" s="2" t="s">
        <v>5187</v>
      </c>
      <c r="I100" s="3">
        <v>46013</v>
      </c>
    </row>
    <row r="101" spans="1:9" x14ac:dyDescent="0.2">
      <c r="A101" s="2" t="s">
        <v>5308</v>
      </c>
      <c r="B101" s="3">
        <v>46019</v>
      </c>
      <c r="C101" s="2" t="s">
        <v>34</v>
      </c>
      <c r="D101" s="2" t="s">
        <v>5181</v>
      </c>
      <c r="E101" s="2" t="s">
        <v>5186</v>
      </c>
      <c r="F101" s="2" t="s">
        <v>5193</v>
      </c>
      <c r="G101" s="2" t="s">
        <v>5148</v>
      </c>
      <c r="H101" s="2" t="s">
        <v>5244</v>
      </c>
      <c r="I101" s="3">
        <v>46036</v>
      </c>
    </row>
    <row r="102" spans="1:9" x14ac:dyDescent="0.2">
      <c r="A102" s="2" t="s">
        <v>5309</v>
      </c>
      <c r="B102" s="3">
        <v>46054</v>
      </c>
      <c r="C102" s="2" t="s">
        <v>3366</v>
      </c>
      <c r="D102" s="2" t="s">
        <v>5133</v>
      </c>
      <c r="E102" s="2" t="s">
        <v>5189</v>
      </c>
      <c r="F102" s="2" t="s">
        <v>5193</v>
      </c>
      <c r="G102" s="2" t="s">
        <v>5164</v>
      </c>
      <c r="H102" s="2" t="s">
        <v>5210</v>
      </c>
      <c r="I102" s="3">
        <v>46071</v>
      </c>
    </row>
    <row r="103" spans="1:9" x14ac:dyDescent="0.2">
      <c r="A103" s="2" t="s">
        <v>5310</v>
      </c>
      <c r="B103" s="3">
        <v>46030</v>
      </c>
      <c r="C103" s="2" t="s">
        <v>34</v>
      </c>
      <c r="D103" s="2" t="s">
        <v>5181</v>
      </c>
      <c r="E103" s="2" t="s">
        <v>5186</v>
      </c>
      <c r="F103" s="2" t="s">
        <v>5199</v>
      </c>
      <c r="G103" s="2" t="s">
        <v>5145</v>
      </c>
      <c r="H103" s="2" t="s">
        <v>5195</v>
      </c>
      <c r="I103" s="3" t="s">
        <v>34</v>
      </c>
    </row>
    <row r="104" spans="1:9" x14ac:dyDescent="0.2">
      <c r="A104" s="2" t="s">
        <v>5311</v>
      </c>
      <c r="B104" s="3">
        <v>46044</v>
      </c>
      <c r="C104" s="2" t="s">
        <v>34</v>
      </c>
      <c r="D104" s="2" t="s">
        <v>5181</v>
      </c>
      <c r="E104" s="2" t="s">
        <v>5189</v>
      </c>
      <c r="F104" s="2" t="s">
        <v>5183</v>
      </c>
      <c r="G104" s="2" t="s">
        <v>5123</v>
      </c>
      <c r="H104" s="2" t="s">
        <v>5244</v>
      </c>
      <c r="I104" s="3">
        <v>46056</v>
      </c>
    </row>
    <row r="105" spans="1:9" x14ac:dyDescent="0.2">
      <c r="A105" s="2" t="s">
        <v>5312</v>
      </c>
      <c r="B105" s="3">
        <v>45983</v>
      </c>
      <c r="C105" s="2" t="s">
        <v>4811</v>
      </c>
      <c r="D105" s="2" t="s">
        <v>5139</v>
      </c>
      <c r="E105" s="2" t="s">
        <v>5186</v>
      </c>
      <c r="F105" s="2" t="s">
        <v>5193</v>
      </c>
      <c r="G105" s="2" t="s">
        <v>5103</v>
      </c>
      <c r="H105" s="2" t="s">
        <v>5216</v>
      </c>
      <c r="I105" s="3">
        <v>45992</v>
      </c>
    </row>
    <row r="106" spans="1:9" x14ac:dyDescent="0.2">
      <c r="A106" s="2" t="s">
        <v>5313</v>
      </c>
      <c r="B106" s="3">
        <v>45963</v>
      </c>
      <c r="C106" s="2" t="s">
        <v>272</v>
      </c>
      <c r="D106" s="2" t="s">
        <v>5112</v>
      </c>
      <c r="E106" s="2" t="s">
        <v>5182</v>
      </c>
      <c r="F106" s="2" t="s">
        <v>5199</v>
      </c>
      <c r="G106" s="2" t="s">
        <v>5130</v>
      </c>
      <c r="H106" s="2" t="s">
        <v>5202</v>
      </c>
      <c r="I106" s="3" t="s">
        <v>34</v>
      </c>
    </row>
    <row r="107" spans="1:9" x14ac:dyDescent="0.2">
      <c r="A107" s="2" t="s">
        <v>5314</v>
      </c>
      <c r="B107" s="3">
        <v>46010</v>
      </c>
      <c r="C107" s="2" t="s">
        <v>2439</v>
      </c>
      <c r="D107" s="2" t="s">
        <v>5133</v>
      </c>
      <c r="E107" s="2" t="s">
        <v>5189</v>
      </c>
      <c r="F107" s="2" t="s">
        <v>5190</v>
      </c>
      <c r="G107" s="2" t="s">
        <v>5087</v>
      </c>
      <c r="H107" s="2" t="s">
        <v>5210</v>
      </c>
      <c r="I107" s="3">
        <v>46025</v>
      </c>
    </row>
    <row r="108" spans="1:9" x14ac:dyDescent="0.2">
      <c r="A108" s="2" t="s">
        <v>5315</v>
      </c>
      <c r="B108" s="3">
        <v>46031</v>
      </c>
      <c r="C108" s="2" t="s">
        <v>34</v>
      </c>
      <c r="D108" s="2" t="s">
        <v>5181</v>
      </c>
      <c r="E108" s="2" t="s">
        <v>5186</v>
      </c>
      <c r="F108" s="2" t="s">
        <v>5193</v>
      </c>
      <c r="G108" s="2" t="s">
        <v>5076</v>
      </c>
      <c r="H108" s="2" t="s">
        <v>5184</v>
      </c>
      <c r="I108" s="3">
        <v>46041</v>
      </c>
    </row>
    <row r="109" spans="1:9" x14ac:dyDescent="0.2">
      <c r="A109" s="2" t="s">
        <v>5316</v>
      </c>
      <c r="B109" s="3">
        <v>46021</v>
      </c>
      <c r="C109" s="2" t="s">
        <v>3229</v>
      </c>
      <c r="D109" s="2" t="s">
        <v>5133</v>
      </c>
      <c r="E109" s="2" t="s">
        <v>5186</v>
      </c>
      <c r="F109" s="2" t="s">
        <v>5190</v>
      </c>
      <c r="G109" s="2" t="s">
        <v>5076</v>
      </c>
      <c r="H109" s="2" t="s">
        <v>5210</v>
      </c>
      <c r="I109" s="3">
        <v>46038</v>
      </c>
    </row>
    <row r="110" spans="1:9" x14ac:dyDescent="0.2">
      <c r="A110" s="2" t="s">
        <v>5317</v>
      </c>
      <c r="B110" s="3">
        <v>45998</v>
      </c>
      <c r="C110" s="2" t="s">
        <v>34</v>
      </c>
      <c r="D110" s="2" t="s">
        <v>5126</v>
      </c>
      <c r="E110" s="2" t="s">
        <v>5182</v>
      </c>
      <c r="F110" s="2" t="s">
        <v>5183</v>
      </c>
      <c r="G110" s="2" t="s">
        <v>5148</v>
      </c>
      <c r="H110" s="2" t="s">
        <v>5226</v>
      </c>
      <c r="I110" s="3">
        <v>46007</v>
      </c>
    </row>
    <row r="111" spans="1:9" x14ac:dyDescent="0.2">
      <c r="A111" s="2" t="s">
        <v>5318</v>
      </c>
      <c r="B111" s="3">
        <v>45993</v>
      </c>
      <c r="C111" s="2" t="s">
        <v>34</v>
      </c>
      <c r="D111" s="2" t="s">
        <v>5126</v>
      </c>
      <c r="E111" s="2" t="s">
        <v>5189</v>
      </c>
      <c r="F111" s="2" t="s">
        <v>5190</v>
      </c>
      <c r="G111" s="2" t="s">
        <v>5123</v>
      </c>
      <c r="H111" s="2" t="s">
        <v>5226</v>
      </c>
      <c r="I111" s="3">
        <v>46012</v>
      </c>
    </row>
    <row r="112" spans="1:9" x14ac:dyDescent="0.2">
      <c r="A112" s="2" t="s">
        <v>5319</v>
      </c>
      <c r="B112" s="3">
        <v>45981</v>
      </c>
      <c r="C112" s="2" t="s">
        <v>3741</v>
      </c>
      <c r="D112" s="2" t="s">
        <v>5112</v>
      </c>
      <c r="E112" s="2" t="s">
        <v>5189</v>
      </c>
      <c r="F112" s="2" t="s">
        <v>5190</v>
      </c>
      <c r="G112" s="2" t="s">
        <v>5087</v>
      </c>
      <c r="H112" s="2" t="s">
        <v>5230</v>
      </c>
      <c r="I112" s="3">
        <v>46002</v>
      </c>
    </row>
    <row r="113" spans="1:9" x14ac:dyDescent="0.2">
      <c r="A113" s="2" t="s">
        <v>5320</v>
      </c>
      <c r="B113" s="3">
        <v>46068</v>
      </c>
      <c r="C113" s="2" t="s">
        <v>1962</v>
      </c>
      <c r="D113" s="2" t="s">
        <v>5112</v>
      </c>
      <c r="E113" s="2" t="s">
        <v>5189</v>
      </c>
      <c r="F113" s="2" t="s">
        <v>5193</v>
      </c>
      <c r="G113" s="2" t="s">
        <v>5164</v>
      </c>
      <c r="H113" s="2" t="s">
        <v>5208</v>
      </c>
      <c r="I113" s="3">
        <v>46073</v>
      </c>
    </row>
    <row r="114" spans="1:9" x14ac:dyDescent="0.2">
      <c r="A114" s="2" t="s">
        <v>5321</v>
      </c>
      <c r="B114" s="3">
        <v>46040</v>
      </c>
      <c r="C114" s="2" t="s">
        <v>34</v>
      </c>
      <c r="D114" s="2" t="s">
        <v>5181</v>
      </c>
      <c r="E114" s="2" t="s">
        <v>5186</v>
      </c>
      <c r="F114" s="2" t="s">
        <v>5183</v>
      </c>
      <c r="G114" s="2" t="s">
        <v>5130</v>
      </c>
      <c r="H114" s="2" t="s">
        <v>5187</v>
      </c>
      <c r="I114" s="3">
        <v>46061</v>
      </c>
    </row>
    <row r="115" spans="1:9" x14ac:dyDescent="0.2">
      <c r="A115" s="2" t="s">
        <v>5322</v>
      </c>
      <c r="B115" s="3">
        <v>46006</v>
      </c>
      <c r="C115" s="2" t="s">
        <v>34</v>
      </c>
      <c r="D115" s="2" t="s">
        <v>5181</v>
      </c>
      <c r="E115" s="2" t="s">
        <v>5186</v>
      </c>
      <c r="F115" s="2" t="s">
        <v>5190</v>
      </c>
      <c r="G115" s="2" t="s">
        <v>5169</v>
      </c>
      <c r="H115" s="2" t="s">
        <v>5244</v>
      </c>
      <c r="I115" s="3">
        <v>46025</v>
      </c>
    </row>
    <row r="116" spans="1:9" x14ac:dyDescent="0.2">
      <c r="A116" s="2" t="s">
        <v>5323</v>
      </c>
      <c r="B116" s="3">
        <v>45992</v>
      </c>
      <c r="C116" s="2" t="s">
        <v>2751</v>
      </c>
      <c r="D116" s="2" t="s">
        <v>5133</v>
      </c>
      <c r="E116" s="2" t="s">
        <v>5186</v>
      </c>
      <c r="F116" s="2" t="s">
        <v>5183</v>
      </c>
      <c r="G116" s="2" t="s">
        <v>5087</v>
      </c>
      <c r="H116" s="2" t="s">
        <v>5210</v>
      </c>
      <c r="I116" s="3">
        <v>45998</v>
      </c>
    </row>
    <row r="117" spans="1:9" x14ac:dyDescent="0.2">
      <c r="A117" s="2" t="s">
        <v>5324</v>
      </c>
      <c r="B117" s="3">
        <v>46061</v>
      </c>
      <c r="C117" s="2" t="s">
        <v>34</v>
      </c>
      <c r="D117" s="2" t="s">
        <v>5181</v>
      </c>
      <c r="E117" s="2" t="s">
        <v>5189</v>
      </c>
      <c r="F117" s="2" t="s">
        <v>5190</v>
      </c>
      <c r="G117" s="2" t="s">
        <v>5164</v>
      </c>
      <c r="H117" s="2" t="s">
        <v>5244</v>
      </c>
      <c r="I117" s="3">
        <v>46081</v>
      </c>
    </row>
    <row r="118" spans="1:9" x14ac:dyDescent="0.2">
      <c r="A118" s="2" t="s">
        <v>5325</v>
      </c>
      <c r="B118" s="3">
        <v>46049</v>
      </c>
      <c r="C118" s="2" t="s">
        <v>34</v>
      </c>
      <c r="D118" s="2" t="s">
        <v>5181</v>
      </c>
      <c r="E118" s="2" t="s">
        <v>5189</v>
      </c>
      <c r="F118" s="2" t="s">
        <v>5183</v>
      </c>
      <c r="G118" s="2" t="s">
        <v>5087</v>
      </c>
      <c r="H118" s="2" t="s">
        <v>5244</v>
      </c>
      <c r="I118" s="3">
        <v>46056</v>
      </c>
    </row>
    <row r="119" spans="1:9" x14ac:dyDescent="0.2">
      <c r="A119" s="2" t="s">
        <v>5326</v>
      </c>
      <c r="B119" s="3">
        <v>46057</v>
      </c>
      <c r="C119" s="2" t="s">
        <v>4741</v>
      </c>
      <c r="D119" s="2" t="s">
        <v>5133</v>
      </c>
      <c r="E119" s="2" t="s">
        <v>5186</v>
      </c>
      <c r="F119" s="2" t="s">
        <v>5183</v>
      </c>
      <c r="G119" s="2" t="s">
        <v>5096</v>
      </c>
      <c r="H119" s="2" t="s">
        <v>5210</v>
      </c>
      <c r="I119" s="3">
        <v>46059</v>
      </c>
    </row>
    <row r="120" spans="1:9" x14ac:dyDescent="0.2">
      <c r="A120" s="2" t="s">
        <v>5327</v>
      </c>
      <c r="B120" s="3">
        <v>46067</v>
      </c>
      <c r="C120" s="2" t="s">
        <v>34</v>
      </c>
      <c r="D120" s="2" t="s">
        <v>5181</v>
      </c>
      <c r="E120" s="2" t="s">
        <v>5189</v>
      </c>
      <c r="F120" s="2" t="s">
        <v>5183</v>
      </c>
      <c r="G120" s="2" t="s">
        <v>5071</v>
      </c>
      <c r="H120" s="2" t="s">
        <v>5187</v>
      </c>
      <c r="I120" s="3">
        <v>46085</v>
      </c>
    </row>
    <row r="121" spans="1:9" x14ac:dyDescent="0.2">
      <c r="A121" s="2" t="s">
        <v>5328</v>
      </c>
      <c r="B121" s="3">
        <v>45968</v>
      </c>
      <c r="C121" s="2" t="s">
        <v>34</v>
      </c>
      <c r="D121" s="2" t="s">
        <v>5126</v>
      </c>
      <c r="E121" s="2" t="s">
        <v>5189</v>
      </c>
      <c r="F121" s="2" t="s">
        <v>5199</v>
      </c>
      <c r="G121" s="2" t="s">
        <v>5081</v>
      </c>
      <c r="H121" s="2" t="s">
        <v>5232</v>
      </c>
      <c r="I121" s="3" t="s">
        <v>34</v>
      </c>
    </row>
    <row r="122" spans="1:9" x14ac:dyDescent="0.2">
      <c r="A122" s="2" t="s">
        <v>5329</v>
      </c>
      <c r="B122" s="3">
        <v>46060</v>
      </c>
      <c r="C122" s="2" t="s">
        <v>576</v>
      </c>
      <c r="D122" s="2" t="s">
        <v>5133</v>
      </c>
      <c r="E122" s="2" t="s">
        <v>5182</v>
      </c>
      <c r="F122" s="2" t="s">
        <v>5183</v>
      </c>
      <c r="G122" s="2" t="s">
        <v>5123</v>
      </c>
      <c r="H122" s="2" t="s">
        <v>5210</v>
      </c>
      <c r="I122" s="3">
        <v>46071</v>
      </c>
    </row>
    <row r="123" spans="1:9" x14ac:dyDescent="0.2">
      <c r="A123" s="2" t="s">
        <v>5330</v>
      </c>
      <c r="B123" s="3">
        <v>46068</v>
      </c>
      <c r="C123" s="2" t="s">
        <v>34</v>
      </c>
      <c r="D123" s="2" t="s">
        <v>5181</v>
      </c>
      <c r="E123" s="2" t="s">
        <v>5189</v>
      </c>
      <c r="F123" s="2" t="s">
        <v>5199</v>
      </c>
      <c r="G123" s="2" t="s">
        <v>5148</v>
      </c>
      <c r="H123" s="2" t="s">
        <v>5244</v>
      </c>
      <c r="I123" s="3" t="s">
        <v>34</v>
      </c>
    </row>
    <row r="124" spans="1:9" x14ac:dyDescent="0.2">
      <c r="A124" s="2" t="s">
        <v>5331</v>
      </c>
      <c r="B124" s="3">
        <v>45993</v>
      </c>
      <c r="C124" s="2" t="s">
        <v>34</v>
      </c>
      <c r="D124" s="2" t="s">
        <v>5181</v>
      </c>
      <c r="E124" s="2" t="s">
        <v>5182</v>
      </c>
      <c r="F124" s="2" t="s">
        <v>5199</v>
      </c>
      <c r="G124" s="2" t="s">
        <v>5108</v>
      </c>
      <c r="H124" s="2" t="s">
        <v>5195</v>
      </c>
      <c r="I124" s="3" t="s">
        <v>34</v>
      </c>
    </row>
    <row r="125" spans="1:9" x14ac:dyDescent="0.2">
      <c r="A125" s="2" t="s">
        <v>5332</v>
      </c>
      <c r="B125" s="3">
        <v>45975</v>
      </c>
      <c r="C125" s="2" t="s">
        <v>3842</v>
      </c>
      <c r="D125" s="2" t="s">
        <v>5181</v>
      </c>
      <c r="E125" s="2" t="s">
        <v>5186</v>
      </c>
      <c r="F125" s="2" t="s">
        <v>5190</v>
      </c>
      <c r="G125" s="2" t="s">
        <v>5081</v>
      </c>
      <c r="H125" s="2" t="s">
        <v>5184</v>
      </c>
      <c r="I125" s="3">
        <v>45980</v>
      </c>
    </row>
    <row r="126" spans="1:9" x14ac:dyDescent="0.2">
      <c r="A126" s="2" t="s">
        <v>5333</v>
      </c>
      <c r="B126" s="3">
        <v>46071</v>
      </c>
      <c r="C126" s="2" t="s">
        <v>4330</v>
      </c>
      <c r="D126" s="2" t="s">
        <v>5133</v>
      </c>
      <c r="E126" s="2" t="s">
        <v>5182</v>
      </c>
      <c r="F126" s="2" t="s">
        <v>5183</v>
      </c>
      <c r="G126" s="2" t="s">
        <v>5164</v>
      </c>
      <c r="H126" s="2" t="s">
        <v>5197</v>
      </c>
      <c r="I126" s="3">
        <v>46078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showGridLines="0" workbookViewId="0">
      <selection activeCell="G1" sqref="G1"/>
    </sheetView>
  </sheetViews>
  <sheetFormatPr baseColWidth="10" defaultColWidth="8.83203125" defaultRowHeight="15" x14ac:dyDescent="0.2"/>
  <cols>
    <col min="1" max="2" width="14" customWidth="1"/>
    <col min="3" max="3" width="10" customWidth="1"/>
    <col min="4" max="4" width="18" customWidth="1"/>
    <col min="5" max="6" width="16" customWidth="1"/>
    <col min="7" max="7" width="10" customWidth="1"/>
    <col min="8" max="8" width="16" customWidth="1"/>
    <col min="9" max="9" width="46" customWidth="1"/>
  </cols>
  <sheetData>
    <row r="1" spans="1:9" ht="22" customHeight="1" x14ac:dyDescent="0.2">
      <c r="A1" s="1" t="s">
        <v>5334</v>
      </c>
      <c r="B1" s="1" t="s">
        <v>5335</v>
      </c>
      <c r="C1" s="1" t="s">
        <v>13</v>
      </c>
      <c r="D1" s="1" t="s">
        <v>4830</v>
      </c>
      <c r="E1" s="1" t="s">
        <v>5177</v>
      </c>
      <c r="F1" s="1" t="s">
        <v>5336</v>
      </c>
      <c r="G1" s="1" t="s">
        <v>5696</v>
      </c>
      <c r="H1" s="1" t="s">
        <v>5337</v>
      </c>
      <c r="I1" s="1" t="s">
        <v>0</v>
      </c>
    </row>
    <row r="2" spans="1:9" x14ac:dyDescent="0.2">
      <c r="A2" s="2" t="s">
        <v>5338</v>
      </c>
      <c r="B2" s="3">
        <v>46075</v>
      </c>
      <c r="C2" s="2" t="s">
        <v>2283</v>
      </c>
      <c r="D2" s="2" t="s">
        <v>5339</v>
      </c>
      <c r="E2" s="2" t="s">
        <v>5183</v>
      </c>
      <c r="F2" s="3">
        <v>46089</v>
      </c>
      <c r="G2" s="4">
        <v>250</v>
      </c>
      <c r="H2" s="2" t="s">
        <v>78</v>
      </c>
      <c r="I2" s="2" t="s">
        <v>5340</v>
      </c>
    </row>
    <row r="3" spans="1:9" x14ac:dyDescent="0.2">
      <c r="A3" s="2" t="s">
        <v>5341</v>
      </c>
      <c r="B3" s="3">
        <v>45978</v>
      </c>
      <c r="C3" s="2" t="s">
        <v>2682</v>
      </c>
      <c r="D3" s="2" t="s">
        <v>5339</v>
      </c>
      <c r="E3" s="2" t="s">
        <v>5183</v>
      </c>
      <c r="F3" s="3">
        <v>45985</v>
      </c>
      <c r="G3" s="4">
        <v>50</v>
      </c>
      <c r="H3" s="2" t="s">
        <v>78</v>
      </c>
      <c r="I3" s="2" t="s">
        <v>5342</v>
      </c>
    </row>
    <row r="4" spans="1:9" x14ac:dyDescent="0.2">
      <c r="A4" s="2" t="s">
        <v>5343</v>
      </c>
      <c r="B4" s="3">
        <v>45904</v>
      </c>
      <c r="C4" s="2" t="s">
        <v>2405</v>
      </c>
      <c r="D4" s="2" t="s">
        <v>5344</v>
      </c>
      <c r="E4" s="2" t="s">
        <v>5183</v>
      </c>
      <c r="F4" s="3">
        <v>45911</v>
      </c>
      <c r="G4" s="4">
        <v>250</v>
      </c>
      <c r="H4" s="2" t="s">
        <v>78</v>
      </c>
      <c r="I4" s="2" t="s">
        <v>5342</v>
      </c>
    </row>
    <row r="5" spans="1:9" x14ac:dyDescent="0.2">
      <c r="A5" s="2" t="s">
        <v>5345</v>
      </c>
      <c r="B5" s="3">
        <v>45981</v>
      </c>
      <c r="C5" s="2" t="s">
        <v>1872</v>
      </c>
      <c r="D5" s="2" t="s">
        <v>5339</v>
      </c>
      <c r="E5" s="2" t="s">
        <v>5346</v>
      </c>
      <c r="F5" s="3">
        <v>45991</v>
      </c>
      <c r="G5" s="4">
        <v>25</v>
      </c>
      <c r="H5" s="2" t="s">
        <v>36</v>
      </c>
      <c r="I5" s="2" t="s">
        <v>5342</v>
      </c>
    </row>
    <row r="6" spans="1:9" x14ac:dyDescent="0.2">
      <c r="A6" s="2" t="s">
        <v>5347</v>
      </c>
      <c r="B6" s="3">
        <v>45937</v>
      </c>
      <c r="C6" s="2" t="s">
        <v>2012</v>
      </c>
      <c r="D6" s="2" t="s">
        <v>5348</v>
      </c>
      <c r="E6" s="2" t="s">
        <v>5349</v>
      </c>
      <c r="F6" s="3">
        <v>45951</v>
      </c>
      <c r="G6" s="4">
        <v>100</v>
      </c>
      <c r="H6" s="2" t="s">
        <v>36</v>
      </c>
      <c r="I6" s="2" t="s">
        <v>5340</v>
      </c>
    </row>
    <row r="7" spans="1:9" x14ac:dyDescent="0.2">
      <c r="A7" s="2" t="s">
        <v>5350</v>
      </c>
      <c r="B7" s="3">
        <v>45918</v>
      </c>
      <c r="C7" s="2" t="s">
        <v>136</v>
      </c>
      <c r="D7" s="2" t="s">
        <v>5344</v>
      </c>
      <c r="E7" s="2" t="s">
        <v>5349</v>
      </c>
      <c r="F7" s="3">
        <v>45928</v>
      </c>
      <c r="G7" s="4">
        <v>50</v>
      </c>
      <c r="H7" s="2" t="s">
        <v>36</v>
      </c>
      <c r="I7" s="2" t="s">
        <v>5351</v>
      </c>
    </row>
    <row r="8" spans="1:9" x14ac:dyDescent="0.2">
      <c r="A8" s="2" t="s">
        <v>5352</v>
      </c>
      <c r="B8" s="3">
        <v>46000</v>
      </c>
      <c r="C8" s="2" t="s">
        <v>3361</v>
      </c>
      <c r="D8" s="2" t="s">
        <v>5348</v>
      </c>
      <c r="E8" s="2" t="s">
        <v>5353</v>
      </c>
      <c r="F8" s="3">
        <v>46021</v>
      </c>
      <c r="G8" s="4">
        <v>0</v>
      </c>
      <c r="H8" s="2" t="s">
        <v>78</v>
      </c>
      <c r="I8" s="2" t="s">
        <v>5342</v>
      </c>
    </row>
    <row r="9" spans="1:9" x14ac:dyDescent="0.2">
      <c r="A9" s="2" t="s">
        <v>5354</v>
      </c>
      <c r="B9" s="3">
        <v>45920</v>
      </c>
      <c r="C9" s="2" t="s">
        <v>2804</v>
      </c>
      <c r="D9" s="2" t="s">
        <v>5355</v>
      </c>
      <c r="E9" s="2" t="s">
        <v>5353</v>
      </c>
      <c r="F9" s="3">
        <v>45941</v>
      </c>
      <c r="G9" s="4">
        <v>100</v>
      </c>
      <c r="H9" s="2" t="s">
        <v>78</v>
      </c>
      <c r="I9" s="2" t="s">
        <v>5340</v>
      </c>
    </row>
    <row r="10" spans="1:9" x14ac:dyDescent="0.2">
      <c r="A10" s="2" t="s">
        <v>5356</v>
      </c>
      <c r="B10" s="3">
        <v>45942</v>
      </c>
      <c r="C10" s="2" t="s">
        <v>3811</v>
      </c>
      <c r="D10" s="2" t="s">
        <v>5357</v>
      </c>
      <c r="E10" s="2" t="s">
        <v>5353</v>
      </c>
      <c r="F10" s="3">
        <v>45963</v>
      </c>
      <c r="G10" s="4">
        <v>100</v>
      </c>
      <c r="H10" s="2" t="s">
        <v>78</v>
      </c>
      <c r="I10" s="2" t="s">
        <v>5358</v>
      </c>
    </row>
    <row r="11" spans="1:9" x14ac:dyDescent="0.2">
      <c r="A11" s="2" t="s">
        <v>5359</v>
      </c>
      <c r="B11" s="3">
        <v>45982</v>
      </c>
      <c r="C11" s="2" t="s">
        <v>240</v>
      </c>
      <c r="D11" s="2" t="s">
        <v>5344</v>
      </c>
      <c r="E11" s="2" t="s">
        <v>5349</v>
      </c>
      <c r="F11" s="3">
        <v>45992</v>
      </c>
      <c r="G11" s="4">
        <v>25</v>
      </c>
      <c r="H11" s="2" t="s">
        <v>36</v>
      </c>
      <c r="I11" s="2" t="s">
        <v>5358</v>
      </c>
    </row>
    <row r="12" spans="1:9" x14ac:dyDescent="0.2">
      <c r="A12" s="2" t="s">
        <v>5360</v>
      </c>
      <c r="B12" s="3">
        <v>45930</v>
      </c>
      <c r="C12" s="2" t="s">
        <v>2777</v>
      </c>
      <c r="D12" s="2" t="s">
        <v>5339</v>
      </c>
      <c r="E12" s="2" t="s">
        <v>5183</v>
      </c>
      <c r="F12" s="3">
        <v>45940</v>
      </c>
      <c r="G12" s="4">
        <v>0</v>
      </c>
      <c r="H12" s="2" t="s">
        <v>78</v>
      </c>
      <c r="I12" s="2" t="s">
        <v>5358</v>
      </c>
    </row>
    <row r="13" spans="1:9" x14ac:dyDescent="0.2">
      <c r="A13" s="2" t="s">
        <v>5361</v>
      </c>
      <c r="B13" s="3">
        <v>46053</v>
      </c>
      <c r="C13" s="2" t="s">
        <v>874</v>
      </c>
      <c r="D13" s="2" t="s">
        <v>5344</v>
      </c>
      <c r="E13" s="2" t="s">
        <v>5346</v>
      </c>
      <c r="F13" s="3">
        <v>46067</v>
      </c>
      <c r="G13" s="4">
        <v>50</v>
      </c>
      <c r="H13" s="2" t="s">
        <v>78</v>
      </c>
      <c r="I13" s="2" t="s">
        <v>34</v>
      </c>
    </row>
    <row r="14" spans="1:9" x14ac:dyDescent="0.2">
      <c r="A14" s="2" t="s">
        <v>5362</v>
      </c>
      <c r="B14" s="3">
        <v>45942</v>
      </c>
      <c r="C14" s="2" t="s">
        <v>3507</v>
      </c>
      <c r="D14" s="2" t="s">
        <v>5357</v>
      </c>
      <c r="E14" s="2" t="s">
        <v>5199</v>
      </c>
      <c r="F14" s="3">
        <v>45963</v>
      </c>
      <c r="G14" s="4">
        <v>0</v>
      </c>
      <c r="H14" s="2" t="s">
        <v>78</v>
      </c>
      <c r="I14" s="2" t="s">
        <v>5363</v>
      </c>
    </row>
    <row r="15" spans="1:9" x14ac:dyDescent="0.2">
      <c r="A15" s="2" t="s">
        <v>5364</v>
      </c>
      <c r="B15" s="3">
        <v>46055</v>
      </c>
      <c r="C15" s="2" t="s">
        <v>3355</v>
      </c>
      <c r="D15" s="2" t="s">
        <v>5339</v>
      </c>
      <c r="E15" s="2" t="s">
        <v>5346</v>
      </c>
      <c r="F15" s="3">
        <v>46069</v>
      </c>
      <c r="G15" s="4">
        <v>0</v>
      </c>
      <c r="H15" s="2" t="s">
        <v>78</v>
      </c>
      <c r="I15" s="2" t="s">
        <v>5342</v>
      </c>
    </row>
    <row r="16" spans="1:9" x14ac:dyDescent="0.2">
      <c r="A16" s="2" t="s">
        <v>5365</v>
      </c>
      <c r="B16" s="3">
        <v>45983</v>
      </c>
      <c r="C16" s="2" t="s">
        <v>2083</v>
      </c>
      <c r="D16" s="2" t="s">
        <v>5357</v>
      </c>
      <c r="E16" s="2" t="s">
        <v>5199</v>
      </c>
      <c r="F16" s="3">
        <v>45990</v>
      </c>
      <c r="G16" s="4">
        <v>50</v>
      </c>
      <c r="H16" s="2" t="s">
        <v>78</v>
      </c>
      <c r="I16" s="2" t="s">
        <v>5342</v>
      </c>
    </row>
    <row r="17" spans="1:9" x14ac:dyDescent="0.2">
      <c r="A17" s="2" t="s">
        <v>5366</v>
      </c>
      <c r="B17" s="3">
        <v>45959</v>
      </c>
      <c r="C17" s="2" t="s">
        <v>1824</v>
      </c>
      <c r="D17" s="2" t="s">
        <v>5355</v>
      </c>
      <c r="E17" s="2" t="s">
        <v>5349</v>
      </c>
      <c r="F17" s="3">
        <v>45969</v>
      </c>
      <c r="G17" s="4">
        <v>50</v>
      </c>
      <c r="H17" s="2" t="s">
        <v>36</v>
      </c>
      <c r="I17" s="2" t="s">
        <v>5340</v>
      </c>
    </row>
    <row r="18" spans="1:9" x14ac:dyDescent="0.2">
      <c r="A18" s="2" t="s">
        <v>5367</v>
      </c>
      <c r="B18" s="3">
        <v>46028</v>
      </c>
      <c r="C18" s="2" t="s">
        <v>4581</v>
      </c>
      <c r="D18" s="2" t="s">
        <v>5348</v>
      </c>
      <c r="E18" s="2" t="s">
        <v>5353</v>
      </c>
      <c r="F18" s="3">
        <v>46038</v>
      </c>
      <c r="G18" s="4">
        <v>25</v>
      </c>
      <c r="H18" s="2" t="s">
        <v>78</v>
      </c>
      <c r="I18" s="2" t="s">
        <v>5358</v>
      </c>
    </row>
    <row r="19" spans="1:9" x14ac:dyDescent="0.2">
      <c r="A19" s="2" t="s">
        <v>5368</v>
      </c>
      <c r="B19" s="3">
        <v>45920</v>
      </c>
      <c r="C19" s="2" t="s">
        <v>4230</v>
      </c>
      <c r="D19" s="2" t="s">
        <v>5357</v>
      </c>
      <c r="E19" s="2" t="s">
        <v>5199</v>
      </c>
      <c r="F19" s="3">
        <v>45941</v>
      </c>
      <c r="G19" s="4">
        <v>25</v>
      </c>
      <c r="H19" s="2" t="s">
        <v>78</v>
      </c>
      <c r="I19" s="2" t="s">
        <v>5351</v>
      </c>
    </row>
    <row r="20" spans="1:9" x14ac:dyDescent="0.2">
      <c r="A20" s="2" t="s">
        <v>5369</v>
      </c>
      <c r="B20" s="3">
        <v>46034</v>
      </c>
      <c r="C20" s="2" t="s">
        <v>927</v>
      </c>
      <c r="D20" s="2" t="s">
        <v>5357</v>
      </c>
      <c r="E20" s="2" t="s">
        <v>5353</v>
      </c>
      <c r="F20" s="3">
        <v>46041</v>
      </c>
      <c r="G20" s="4">
        <v>50</v>
      </c>
      <c r="H20" s="2" t="s">
        <v>78</v>
      </c>
      <c r="I20" s="2" t="s">
        <v>5358</v>
      </c>
    </row>
    <row r="21" spans="1:9" x14ac:dyDescent="0.2">
      <c r="A21" s="2" t="s">
        <v>5370</v>
      </c>
      <c r="B21" s="3">
        <v>46008</v>
      </c>
      <c r="C21" s="2" t="s">
        <v>4271</v>
      </c>
      <c r="D21" s="2" t="s">
        <v>5355</v>
      </c>
      <c r="E21" s="2" t="s">
        <v>5183</v>
      </c>
      <c r="F21" s="3">
        <v>46018</v>
      </c>
      <c r="G21" s="4">
        <v>0</v>
      </c>
      <c r="H21" s="2" t="s">
        <v>78</v>
      </c>
      <c r="I21" s="2" t="s">
        <v>5340</v>
      </c>
    </row>
    <row r="22" spans="1:9" x14ac:dyDescent="0.2">
      <c r="A22" s="2" t="s">
        <v>5371</v>
      </c>
      <c r="B22" s="3">
        <v>45987</v>
      </c>
      <c r="C22" s="2" t="s">
        <v>4067</v>
      </c>
      <c r="D22" s="2" t="s">
        <v>5344</v>
      </c>
      <c r="E22" s="2" t="s">
        <v>5353</v>
      </c>
      <c r="F22" s="3">
        <v>45994</v>
      </c>
      <c r="G22" s="4">
        <v>25</v>
      </c>
      <c r="H22" s="2" t="s">
        <v>78</v>
      </c>
      <c r="I22" s="2" t="s">
        <v>5342</v>
      </c>
    </row>
    <row r="23" spans="1:9" x14ac:dyDescent="0.2">
      <c r="A23" s="2" t="s">
        <v>5372</v>
      </c>
      <c r="B23" s="3">
        <v>45946</v>
      </c>
      <c r="C23" s="2" t="s">
        <v>836</v>
      </c>
      <c r="D23" s="2" t="s">
        <v>5348</v>
      </c>
      <c r="E23" s="2" t="s">
        <v>5349</v>
      </c>
      <c r="F23" s="3">
        <v>45956</v>
      </c>
      <c r="G23" s="4">
        <v>25</v>
      </c>
      <c r="H23" s="2" t="s">
        <v>36</v>
      </c>
      <c r="I23" s="2" t="s">
        <v>5358</v>
      </c>
    </row>
    <row r="24" spans="1:9" x14ac:dyDescent="0.2">
      <c r="A24" s="2" t="s">
        <v>5373</v>
      </c>
      <c r="B24" s="3">
        <v>45928</v>
      </c>
      <c r="C24" s="2" t="s">
        <v>156</v>
      </c>
      <c r="D24" s="2" t="s">
        <v>5374</v>
      </c>
      <c r="E24" s="2" t="s">
        <v>5183</v>
      </c>
      <c r="F24" s="3">
        <v>45949</v>
      </c>
      <c r="G24" s="4">
        <v>0</v>
      </c>
      <c r="H24" s="2" t="s">
        <v>78</v>
      </c>
      <c r="I24" s="2" t="s">
        <v>34</v>
      </c>
    </row>
    <row r="25" spans="1:9" x14ac:dyDescent="0.2">
      <c r="A25" s="2" t="s">
        <v>5375</v>
      </c>
      <c r="B25" s="3">
        <v>45988</v>
      </c>
      <c r="C25" s="2" t="s">
        <v>2519</v>
      </c>
      <c r="D25" s="2" t="s">
        <v>5348</v>
      </c>
      <c r="E25" s="2" t="s">
        <v>5183</v>
      </c>
      <c r="F25" s="3">
        <v>45998</v>
      </c>
      <c r="G25" s="4">
        <v>0</v>
      </c>
      <c r="H25" s="2" t="s">
        <v>78</v>
      </c>
      <c r="I25" s="2" t="s">
        <v>5351</v>
      </c>
    </row>
    <row r="26" spans="1:9" x14ac:dyDescent="0.2">
      <c r="A26" s="2" t="s">
        <v>5376</v>
      </c>
      <c r="B26" s="3">
        <v>46004</v>
      </c>
      <c r="C26" s="2" t="s">
        <v>2865</v>
      </c>
      <c r="D26" s="2" t="s">
        <v>5374</v>
      </c>
      <c r="E26" s="2" t="s">
        <v>5353</v>
      </c>
      <c r="F26" s="3">
        <v>46018</v>
      </c>
      <c r="G26" s="4">
        <v>250</v>
      </c>
      <c r="H26" s="2" t="s">
        <v>78</v>
      </c>
      <c r="I26" s="2" t="s">
        <v>5363</v>
      </c>
    </row>
    <row r="27" spans="1:9" x14ac:dyDescent="0.2">
      <c r="A27" s="2" t="s">
        <v>5377</v>
      </c>
      <c r="B27" s="3">
        <v>46074</v>
      </c>
      <c r="C27" s="2" t="s">
        <v>411</v>
      </c>
      <c r="D27" s="2" t="s">
        <v>5348</v>
      </c>
      <c r="E27" s="2" t="s">
        <v>5353</v>
      </c>
      <c r="F27" s="3">
        <v>46084</v>
      </c>
      <c r="G27" s="4">
        <v>0</v>
      </c>
      <c r="H27" s="2" t="s">
        <v>78</v>
      </c>
      <c r="I27" s="2" t="s">
        <v>34</v>
      </c>
    </row>
    <row r="28" spans="1:9" x14ac:dyDescent="0.2">
      <c r="A28" s="2" t="s">
        <v>5378</v>
      </c>
      <c r="B28" s="3">
        <v>46008</v>
      </c>
      <c r="C28" s="2" t="s">
        <v>4253</v>
      </c>
      <c r="D28" s="2" t="s">
        <v>5344</v>
      </c>
      <c r="E28" s="2" t="s">
        <v>5183</v>
      </c>
      <c r="F28" s="3">
        <v>46029</v>
      </c>
      <c r="G28" s="4">
        <v>0</v>
      </c>
      <c r="H28" s="2" t="s">
        <v>78</v>
      </c>
      <c r="I28" s="2" t="s">
        <v>5342</v>
      </c>
    </row>
    <row r="29" spans="1:9" x14ac:dyDescent="0.2">
      <c r="A29" s="2" t="s">
        <v>5379</v>
      </c>
      <c r="B29" s="3">
        <v>45937</v>
      </c>
      <c r="C29" s="2" t="s">
        <v>4632</v>
      </c>
      <c r="D29" s="2" t="s">
        <v>5355</v>
      </c>
      <c r="E29" s="2" t="s">
        <v>5183</v>
      </c>
      <c r="F29" s="3">
        <v>45944</v>
      </c>
      <c r="G29" s="4">
        <v>0</v>
      </c>
      <c r="H29" s="2" t="s">
        <v>78</v>
      </c>
      <c r="I29" s="2" t="s">
        <v>5363</v>
      </c>
    </row>
    <row r="30" spans="1:9" x14ac:dyDescent="0.2">
      <c r="A30" s="2" t="s">
        <v>5380</v>
      </c>
      <c r="B30" s="3">
        <v>45932</v>
      </c>
      <c r="C30" s="2" t="s">
        <v>3842</v>
      </c>
      <c r="D30" s="2" t="s">
        <v>5355</v>
      </c>
      <c r="E30" s="2" t="s">
        <v>5199</v>
      </c>
      <c r="F30" s="3">
        <v>45939</v>
      </c>
      <c r="G30" s="4">
        <v>0</v>
      </c>
      <c r="H30" s="2" t="s">
        <v>78</v>
      </c>
      <c r="I30" s="2" t="s">
        <v>5340</v>
      </c>
    </row>
    <row r="31" spans="1:9" x14ac:dyDescent="0.2">
      <c r="A31" s="2" t="s">
        <v>5381</v>
      </c>
      <c r="B31" s="3">
        <v>45980</v>
      </c>
      <c r="C31" s="2" t="s">
        <v>37</v>
      </c>
      <c r="D31" s="2" t="s">
        <v>5357</v>
      </c>
      <c r="E31" s="2" t="s">
        <v>5199</v>
      </c>
      <c r="F31" s="3">
        <v>45987</v>
      </c>
      <c r="G31" s="4">
        <v>250</v>
      </c>
      <c r="H31" s="2" t="s">
        <v>78</v>
      </c>
      <c r="I31" s="2" t="s">
        <v>5358</v>
      </c>
    </row>
    <row r="32" spans="1:9" x14ac:dyDescent="0.2">
      <c r="A32" s="2" t="s">
        <v>5382</v>
      </c>
      <c r="B32" s="3">
        <v>45995</v>
      </c>
      <c r="C32" s="2" t="s">
        <v>1208</v>
      </c>
      <c r="D32" s="2" t="s">
        <v>5344</v>
      </c>
      <c r="E32" s="2" t="s">
        <v>5346</v>
      </c>
      <c r="F32" s="3">
        <v>46002</v>
      </c>
      <c r="G32" s="4">
        <v>250</v>
      </c>
      <c r="H32" s="2" t="s">
        <v>36</v>
      </c>
      <c r="I32" s="2" t="s">
        <v>5342</v>
      </c>
    </row>
    <row r="33" spans="1:9" x14ac:dyDescent="0.2">
      <c r="A33" s="2" t="s">
        <v>5383</v>
      </c>
      <c r="B33" s="3">
        <v>46062</v>
      </c>
      <c r="C33" s="2" t="s">
        <v>4763</v>
      </c>
      <c r="D33" s="2" t="s">
        <v>5357</v>
      </c>
      <c r="E33" s="2" t="s">
        <v>5183</v>
      </c>
      <c r="F33" s="3">
        <v>46069</v>
      </c>
      <c r="G33" s="4">
        <v>50</v>
      </c>
      <c r="H33" s="2" t="s">
        <v>78</v>
      </c>
      <c r="I33" s="2" t="s">
        <v>5358</v>
      </c>
    </row>
    <row r="34" spans="1:9" x14ac:dyDescent="0.2">
      <c r="A34" s="2" t="s">
        <v>5384</v>
      </c>
      <c r="B34" s="3">
        <v>45965</v>
      </c>
      <c r="C34" s="2" t="s">
        <v>3586</v>
      </c>
      <c r="D34" s="2" t="s">
        <v>5344</v>
      </c>
      <c r="E34" s="2" t="s">
        <v>5183</v>
      </c>
      <c r="F34" s="3">
        <v>45986</v>
      </c>
      <c r="G34" s="4">
        <v>25</v>
      </c>
      <c r="H34" s="2" t="s">
        <v>78</v>
      </c>
      <c r="I34" s="2" t="s">
        <v>34</v>
      </c>
    </row>
    <row r="35" spans="1:9" x14ac:dyDescent="0.2">
      <c r="A35" s="2" t="s">
        <v>5385</v>
      </c>
      <c r="B35" s="3">
        <v>45908</v>
      </c>
      <c r="C35" s="2" t="s">
        <v>593</v>
      </c>
      <c r="D35" s="2" t="s">
        <v>5339</v>
      </c>
      <c r="E35" s="2" t="s">
        <v>5349</v>
      </c>
      <c r="F35" s="3">
        <v>45922</v>
      </c>
      <c r="G35" s="4">
        <v>100</v>
      </c>
      <c r="H35" s="2" t="s">
        <v>78</v>
      </c>
      <c r="I35" s="2" t="s">
        <v>34</v>
      </c>
    </row>
    <row r="36" spans="1:9" x14ac:dyDescent="0.2">
      <c r="A36" s="2" t="s">
        <v>5386</v>
      </c>
      <c r="B36" s="3">
        <v>46000</v>
      </c>
      <c r="C36" s="2" t="s">
        <v>1451</v>
      </c>
      <c r="D36" s="2" t="s">
        <v>5339</v>
      </c>
      <c r="E36" s="2" t="s">
        <v>5183</v>
      </c>
      <c r="F36" s="3">
        <v>46021</v>
      </c>
      <c r="G36" s="4">
        <v>50</v>
      </c>
      <c r="H36" s="2" t="s">
        <v>78</v>
      </c>
      <c r="I36" s="2" t="s">
        <v>5340</v>
      </c>
    </row>
    <row r="37" spans="1:9" x14ac:dyDescent="0.2">
      <c r="A37" s="2" t="s">
        <v>5387</v>
      </c>
      <c r="B37" s="3">
        <v>45933</v>
      </c>
      <c r="C37" s="2" t="s">
        <v>3473</v>
      </c>
      <c r="D37" s="2" t="s">
        <v>5348</v>
      </c>
      <c r="E37" s="2" t="s">
        <v>5199</v>
      </c>
      <c r="F37" s="3">
        <v>45947</v>
      </c>
      <c r="G37" s="4">
        <v>0</v>
      </c>
      <c r="H37" s="2" t="s">
        <v>78</v>
      </c>
      <c r="I37" s="2" t="s">
        <v>5340</v>
      </c>
    </row>
    <row r="38" spans="1:9" x14ac:dyDescent="0.2">
      <c r="A38" s="2" t="s">
        <v>5388</v>
      </c>
      <c r="B38" s="3">
        <v>46010</v>
      </c>
      <c r="C38" s="2" t="s">
        <v>1753</v>
      </c>
      <c r="D38" s="2" t="s">
        <v>5374</v>
      </c>
      <c r="E38" s="2" t="s">
        <v>5346</v>
      </c>
      <c r="F38" s="3">
        <v>46031</v>
      </c>
      <c r="G38" s="4">
        <v>250</v>
      </c>
      <c r="H38" s="2" t="s">
        <v>36</v>
      </c>
      <c r="I38" s="2" t="s">
        <v>5340</v>
      </c>
    </row>
    <row r="39" spans="1:9" x14ac:dyDescent="0.2">
      <c r="A39" s="2" t="s">
        <v>5389</v>
      </c>
      <c r="B39" s="3">
        <v>45944</v>
      </c>
      <c r="C39" s="2" t="s">
        <v>927</v>
      </c>
      <c r="D39" s="2" t="s">
        <v>5374</v>
      </c>
      <c r="E39" s="2" t="s">
        <v>5183</v>
      </c>
      <c r="F39" s="3">
        <v>45958</v>
      </c>
      <c r="G39" s="4">
        <v>100</v>
      </c>
      <c r="H39" s="2" t="s">
        <v>78</v>
      </c>
      <c r="I39" s="2" t="s">
        <v>5358</v>
      </c>
    </row>
    <row r="40" spans="1:9" x14ac:dyDescent="0.2">
      <c r="A40" s="2" t="s">
        <v>5390</v>
      </c>
      <c r="B40" s="3">
        <v>46021</v>
      </c>
      <c r="C40" s="2" t="s">
        <v>4512</v>
      </c>
      <c r="D40" s="2" t="s">
        <v>5355</v>
      </c>
      <c r="E40" s="2" t="s">
        <v>5183</v>
      </c>
      <c r="F40" s="3">
        <v>46035</v>
      </c>
      <c r="G40" s="4">
        <v>25</v>
      </c>
      <c r="H40" s="2" t="s">
        <v>78</v>
      </c>
      <c r="I40" s="2" t="s">
        <v>5358</v>
      </c>
    </row>
    <row r="41" spans="1:9" x14ac:dyDescent="0.2">
      <c r="A41" s="2" t="s">
        <v>5391</v>
      </c>
      <c r="B41" s="3">
        <v>46036</v>
      </c>
      <c r="C41" s="2" t="s">
        <v>2179</v>
      </c>
      <c r="D41" s="2" t="s">
        <v>5355</v>
      </c>
      <c r="E41" s="2" t="s">
        <v>5349</v>
      </c>
      <c r="F41" s="3">
        <v>46057</v>
      </c>
      <c r="G41" s="4">
        <v>0</v>
      </c>
      <c r="H41" s="2" t="s">
        <v>78</v>
      </c>
      <c r="I41" s="2" t="s">
        <v>5358</v>
      </c>
    </row>
    <row r="42" spans="1:9" x14ac:dyDescent="0.2">
      <c r="A42" s="2" t="s">
        <v>5392</v>
      </c>
      <c r="B42" s="3">
        <v>45956</v>
      </c>
      <c r="C42" s="2" t="s">
        <v>1855</v>
      </c>
      <c r="D42" s="2" t="s">
        <v>5348</v>
      </c>
      <c r="E42" s="2" t="s">
        <v>5199</v>
      </c>
      <c r="F42" s="3">
        <v>45970</v>
      </c>
      <c r="G42" s="4">
        <v>50</v>
      </c>
      <c r="H42" s="2" t="s">
        <v>78</v>
      </c>
      <c r="I42" s="2" t="s">
        <v>5363</v>
      </c>
    </row>
    <row r="43" spans="1:9" x14ac:dyDescent="0.2">
      <c r="A43" s="2" t="s">
        <v>5393</v>
      </c>
      <c r="B43" s="3">
        <v>45941</v>
      </c>
      <c r="C43" s="2" t="s">
        <v>4481</v>
      </c>
      <c r="D43" s="2" t="s">
        <v>5339</v>
      </c>
      <c r="E43" s="2" t="s">
        <v>5183</v>
      </c>
      <c r="F43" s="3">
        <v>45951</v>
      </c>
      <c r="G43" s="4">
        <v>50</v>
      </c>
      <c r="H43" s="2" t="s">
        <v>78</v>
      </c>
      <c r="I43" s="2" t="s">
        <v>5340</v>
      </c>
    </row>
    <row r="44" spans="1:9" x14ac:dyDescent="0.2">
      <c r="A44" s="2" t="s">
        <v>5394</v>
      </c>
      <c r="B44" s="3">
        <v>46060</v>
      </c>
      <c r="C44" s="2" t="s">
        <v>2493</v>
      </c>
      <c r="D44" s="2" t="s">
        <v>5339</v>
      </c>
      <c r="E44" s="2" t="s">
        <v>5199</v>
      </c>
      <c r="F44" s="3">
        <v>46081</v>
      </c>
      <c r="G44" s="4">
        <v>0</v>
      </c>
      <c r="H44" s="2" t="s">
        <v>78</v>
      </c>
      <c r="I44" s="2" t="s">
        <v>34</v>
      </c>
    </row>
    <row r="45" spans="1:9" x14ac:dyDescent="0.2">
      <c r="A45" s="2" t="s">
        <v>5395</v>
      </c>
      <c r="B45" s="3">
        <v>45966</v>
      </c>
      <c r="C45" s="2" t="s">
        <v>2738</v>
      </c>
      <c r="D45" s="2" t="s">
        <v>5348</v>
      </c>
      <c r="E45" s="2" t="s">
        <v>5353</v>
      </c>
      <c r="F45" s="3">
        <v>45980</v>
      </c>
      <c r="G45" s="4">
        <v>25</v>
      </c>
      <c r="H45" s="2" t="s">
        <v>78</v>
      </c>
      <c r="I45" s="2" t="s">
        <v>5340</v>
      </c>
    </row>
    <row r="46" spans="1:9" x14ac:dyDescent="0.2">
      <c r="A46" s="2" t="s">
        <v>5396</v>
      </c>
      <c r="B46" s="3">
        <v>45947</v>
      </c>
      <c r="C46" s="2" t="s">
        <v>1262</v>
      </c>
      <c r="D46" s="2" t="s">
        <v>5357</v>
      </c>
      <c r="E46" s="2" t="s">
        <v>5199</v>
      </c>
      <c r="F46" s="3">
        <v>45961</v>
      </c>
      <c r="G46" s="4">
        <v>0</v>
      </c>
      <c r="H46" s="2" t="s">
        <v>78</v>
      </c>
      <c r="I46" s="2" t="s">
        <v>5342</v>
      </c>
    </row>
    <row r="47" spans="1:9" x14ac:dyDescent="0.2">
      <c r="A47" s="2" t="s">
        <v>5397</v>
      </c>
      <c r="B47" s="3">
        <v>45914</v>
      </c>
      <c r="C47" s="2" t="s">
        <v>1867</v>
      </c>
      <c r="D47" s="2" t="s">
        <v>5344</v>
      </c>
      <c r="E47" s="2" t="s">
        <v>5183</v>
      </c>
      <c r="F47" s="3">
        <v>45921</v>
      </c>
      <c r="G47" s="4">
        <v>25</v>
      </c>
      <c r="H47" s="2" t="s">
        <v>78</v>
      </c>
      <c r="I47" s="2" t="s">
        <v>5363</v>
      </c>
    </row>
    <row r="48" spans="1:9" x14ac:dyDescent="0.2">
      <c r="A48" s="2" t="s">
        <v>5398</v>
      </c>
      <c r="B48" s="3">
        <v>46062</v>
      </c>
      <c r="C48" s="2" t="s">
        <v>2724</v>
      </c>
      <c r="D48" s="2" t="s">
        <v>5339</v>
      </c>
      <c r="E48" s="2" t="s">
        <v>5199</v>
      </c>
      <c r="F48" s="3">
        <v>46069</v>
      </c>
      <c r="G48" s="4">
        <v>50</v>
      </c>
      <c r="H48" s="2" t="s">
        <v>78</v>
      </c>
      <c r="I48" s="2" t="s">
        <v>5363</v>
      </c>
    </row>
    <row r="49" spans="1:9" x14ac:dyDescent="0.2">
      <c r="A49" s="2" t="s">
        <v>5399</v>
      </c>
      <c r="B49" s="3">
        <v>45961</v>
      </c>
      <c r="C49" s="2" t="s">
        <v>3727</v>
      </c>
      <c r="D49" s="2" t="s">
        <v>5344</v>
      </c>
      <c r="E49" s="2" t="s">
        <v>5183</v>
      </c>
      <c r="F49" s="3">
        <v>45982</v>
      </c>
      <c r="G49" s="4">
        <v>0</v>
      </c>
      <c r="H49" s="2" t="s">
        <v>78</v>
      </c>
      <c r="I49" s="2" t="s">
        <v>5351</v>
      </c>
    </row>
    <row r="50" spans="1:9" x14ac:dyDescent="0.2">
      <c r="A50" s="2" t="s">
        <v>5400</v>
      </c>
      <c r="B50" s="3">
        <v>45931</v>
      </c>
      <c r="C50" s="2" t="s">
        <v>1194</v>
      </c>
      <c r="D50" s="2" t="s">
        <v>5355</v>
      </c>
      <c r="E50" s="2" t="s">
        <v>5183</v>
      </c>
      <c r="F50" s="3">
        <v>45938</v>
      </c>
      <c r="G50" s="4">
        <v>100</v>
      </c>
      <c r="H50" s="2" t="s">
        <v>78</v>
      </c>
      <c r="I50" s="2" t="s">
        <v>5363</v>
      </c>
    </row>
    <row r="51" spans="1:9" x14ac:dyDescent="0.2">
      <c r="A51" s="2" t="s">
        <v>5401</v>
      </c>
      <c r="B51" s="3">
        <v>45992</v>
      </c>
      <c r="C51" s="2" t="s">
        <v>717</v>
      </c>
      <c r="D51" s="2" t="s">
        <v>5348</v>
      </c>
      <c r="E51" s="2" t="s">
        <v>5349</v>
      </c>
      <c r="F51" s="3">
        <v>46006</v>
      </c>
      <c r="G51" s="4">
        <v>250</v>
      </c>
      <c r="H51" s="2" t="s">
        <v>36</v>
      </c>
      <c r="I51" s="2" t="s">
        <v>5340</v>
      </c>
    </row>
    <row r="52" spans="1:9" x14ac:dyDescent="0.2">
      <c r="A52" s="2" t="s">
        <v>5402</v>
      </c>
      <c r="B52" s="3">
        <v>46049</v>
      </c>
      <c r="C52" s="2" t="s">
        <v>1490</v>
      </c>
      <c r="D52" s="2" t="s">
        <v>5348</v>
      </c>
      <c r="E52" s="2" t="s">
        <v>5183</v>
      </c>
      <c r="F52" s="3">
        <v>46056</v>
      </c>
      <c r="G52" s="4">
        <v>50</v>
      </c>
      <c r="H52" s="2" t="s">
        <v>78</v>
      </c>
      <c r="I52" s="2" t="s">
        <v>5340</v>
      </c>
    </row>
    <row r="53" spans="1:9" x14ac:dyDescent="0.2">
      <c r="A53" s="2" t="s">
        <v>5403</v>
      </c>
      <c r="B53" s="3">
        <v>45976</v>
      </c>
      <c r="C53" s="2" t="s">
        <v>646</v>
      </c>
      <c r="D53" s="2" t="s">
        <v>5357</v>
      </c>
      <c r="E53" s="2" t="s">
        <v>5349</v>
      </c>
      <c r="F53" s="3">
        <v>45986</v>
      </c>
      <c r="G53" s="4">
        <v>25</v>
      </c>
      <c r="H53" s="2" t="s">
        <v>78</v>
      </c>
      <c r="I53" s="2" t="s">
        <v>34</v>
      </c>
    </row>
    <row r="54" spans="1:9" x14ac:dyDescent="0.2">
      <c r="A54" s="2" t="s">
        <v>5404</v>
      </c>
      <c r="B54" s="3">
        <v>45962</v>
      </c>
      <c r="C54" s="2" t="s">
        <v>4071</v>
      </c>
      <c r="D54" s="2" t="s">
        <v>5344</v>
      </c>
      <c r="E54" s="2" t="s">
        <v>5349</v>
      </c>
      <c r="F54" s="3">
        <v>45972</v>
      </c>
      <c r="G54" s="4">
        <v>0</v>
      </c>
      <c r="H54" s="2" t="s">
        <v>36</v>
      </c>
      <c r="I54" s="2" t="s">
        <v>5342</v>
      </c>
    </row>
    <row r="55" spans="1:9" x14ac:dyDescent="0.2">
      <c r="A55" s="2" t="s">
        <v>5405</v>
      </c>
      <c r="B55" s="3">
        <v>45917</v>
      </c>
      <c r="C55" s="2" t="s">
        <v>2288</v>
      </c>
      <c r="D55" s="2" t="s">
        <v>5339</v>
      </c>
      <c r="E55" s="2" t="s">
        <v>5183</v>
      </c>
      <c r="F55" s="3">
        <v>45931</v>
      </c>
      <c r="G55" s="4">
        <v>250</v>
      </c>
      <c r="H55" s="2" t="s">
        <v>78</v>
      </c>
      <c r="I55" s="2" t="s">
        <v>5358</v>
      </c>
    </row>
    <row r="56" spans="1:9" x14ac:dyDescent="0.2">
      <c r="A56" s="2" t="s">
        <v>5406</v>
      </c>
      <c r="B56" s="3">
        <v>45901</v>
      </c>
      <c r="C56" s="2" t="s">
        <v>1158</v>
      </c>
      <c r="D56" s="2" t="s">
        <v>5374</v>
      </c>
      <c r="E56" s="2" t="s">
        <v>5199</v>
      </c>
      <c r="F56" s="3">
        <v>45911</v>
      </c>
      <c r="G56" s="4">
        <v>0</v>
      </c>
      <c r="H56" s="2" t="s">
        <v>78</v>
      </c>
      <c r="I56" s="2" t="s">
        <v>5342</v>
      </c>
    </row>
    <row r="57" spans="1:9" x14ac:dyDescent="0.2">
      <c r="A57" s="2" t="s">
        <v>5407</v>
      </c>
      <c r="B57" s="3">
        <v>45995</v>
      </c>
      <c r="C57" s="2" t="s">
        <v>4585</v>
      </c>
      <c r="D57" s="2" t="s">
        <v>5355</v>
      </c>
      <c r="E57" s="2" t="s">
        <v>5349</v>
      </c>
      <c r="F57" s="3">
        <v>46002</v>
      </c>
      <c r="G57" s="4">
        <v>0</v>
      </c>
      <c r="H57" s="2" t="s">
        <v>36</v>
      </c>
      <c r="I57" s="2" t="s">
        <v>5342</v>
      </c>
    </row>
    <row r="58" spans="1:9" x14ac:dyDescent="0.2">
      <c r="A58" s="2" t="s">
        <v>5408</v>
      </c>
      <c r="B58" s="3">
        <v>45896</v>
      </c>
      <c r="C58" s="2" t="s">
        <v>362</v>
      </c>
      <c r="D58" s="2" t="s">
        <v>5348</v>
      </c>
      <c r="E58" s="2" t="s">
        <v>5183</v>
      </c>
      <c r="F58" s="3">
        <v>45906</v>
      </c>
      <c r="G58" s="4">
        <v>250</v>
      </c>
      <c r="H58" s="2" t="s">
        <v>78</v>
      </c>
      <c r="I58" s="2" t="s">
        <v>5351</v>
      </c>
    </row>
    <row r="59" spans="1:9" x14ac:dyDescent="0.2">
      <c r="A59" s="2" t="s">
        <v>5409</v>
      </c>
      <c r="B59" s="3">
        <v>45987</v>
      </c>
      <c r="C59" s="2" t="s">
        <v>4651</v>
      </c>
      <c r="D59" s="2" t="s">
        <v>5357</v>
      </c>
      <c r="E59" s="2" t="s">
        <v>5349</v>
      </c>
      <c r="F59" s="3">
        <v>46001</v>
      </c>
      <c r="G59" s="4">
        <v>50</v>
      </c>
      <c r="H59" s="2" t="s">
        <v>36</v>
      </c>
      <c r="I59" s="2" t="s">
        <v>5340</v>
      </c>
    </row>
    <row r="60" spans="1:9" x14ac:dyDescent="0.2">
      <c r="A60" s="2" t="s">
        <v>5410</v>
      </c>
      <c r="B60" s="3">
        <v>45989</v>
      </c>
      <c r="C60" s="2" t="s">
        <v>246</v>
      </c>
      <c r="D60" s="2" t="s">
        <v>5344</v>
      </c>
      <c r="E60" s="2" t="s">
        <v>5183</v>
      </c>
      <c r="F60" s="3">
        <v>46010</v>
      </c>
      <c r="G60" s="4">
        <v>0</v>
      </c>
      <c r="H60" s="2" t="s">
        <v>78</v>
      </c>
      <c r="I60" s="2" t="s">
        <v>5342</v>
      </c>
    </row>
    <row r="61" spans="1:9" x14ac:dyDescent="0.2">
      <c r="A61" s="2" t="s">
        <v>5411</v>
      </c>
      <c r="B61" s="3">
        <v>45895</v>
      </c>
      <c r="C61" s="2" t="s">
        <v>1236</v>
      </c>
      <c r="D61" s="2" t="s">
        <v>5339</v>
      </c>
      <c r="E61" s="2" t="s">
        <v>5353</v>
      </c>
      <c r="F61" s="3">
        <v>45902</v>
      </c>
      <c r="G61" s="4">
        <v>25</v>
      </c>
      <c r="H61" s="2" t="s">
        <v>78</v>
      </c>
      <c r="I61" s="2" t="s">
        <v>34</v>
      </c>
    </row>
    <row r="62" spans="1:9" x14ac:dyDescent="0.2">
      <c r="A62" s="2" t="s">
        <v>5412</v>
      </c>
      <c r="B62" s="3">
        <v>45924</v>
      </c>
      <c r="C62" s="2" t="s">
        <v>4028</v>
      </c>
      <c r="D62" s="2" t="s">
        <v>5344</v>
      </c>
      <c r="E62" s="2" t="s">
        <v>5183</v>
      </c>
      <c r="F62" s="3">
        <v>45934</v>
      </c>
      <c r="G62" s="4">
        <v>250</v>
      </c>
      <c r="H62" s="2" t="s">
        <v>78</v>
      </c>
      <c r="I62" s="2" t="s">
        <v>5358</v>
      </c>
    </row>
    <row r="63" spans="1:9" x14ac:dyDescent="0.2">
      <c r="A63" s="2" t="s">
        <v>5413</v>
      </c>
      <c r="B63" s="3">
        <v>46063</v>
      </c>
      <c r="C63" s="2" t="s">
        <v>92</v>
      </c>
      <c r="D63" s="2" t="s">
        <v>5374</v>
      </c>
      <c r="E63" s="2" t="s">
        <v>5183</v>
      </c>
      <c r="F63" s="3">
        <v>46073</v>
      </c>
      <c r="G63" s="4">
        <v>25</v>
      </c>
      <c r="H63" s="2" t="s">
        <v>78</v>
      </c>
      <c r="I63" s="2" t="s">
        <v>34</v>
      </c>
    </row>
    <row r="64" spans="1:9" x14ac:dyDescent="0.2">
      <c r="A64" s="2" t="s">
        <v>5414</v>
      </c>
      <c r="B64" s="3">
        <v>46072</v>
      </c>
      <c r="C64" s="2" t="s">
        <v>1312</v>
      </c>
      <c r="D64" s="2" t="s">
        <v>5355</v>
      </c>
      <c r="E64" s="2" t="s">
        <v>5349</v>
      </c>
      <c r="F64" s="3">
        <v>46079</v>
      </c>
      <c r="G64" s="4">
        <v>25</v>
      </c>
      <c r="H64" s="2" t="s">
        <v>36</v>
      </c>
      <c r="I64" s="2" t="s">
        <v>5358</v>
      </c>
    </row>
    <row r="65" spans="1:9" x14ac:dyDescent="0.2">
      <c r="A65" s="2" t="s">
        <v>5415</v>
      </c>
      <c r="B65" s="3">
        <v>46021</v>
      </c>
      <c r="C65" s="2" t="s">
        <v>2626</v>
      </c>
      <c r="D65" s="2" t="s">
        <v>5348</v>
      </c>
      <c r="E65" s="2" t="s">
        <v>5349</v>
      </c>
      <c r="F65" s="3">
        <v>46035</v>
      </c>
      <c r="G65" s="4">
        <v>0</v>
      </c>
      <c r="H65" s="2" t="s">
        <v>36</v>
      </c>
      <c r="I65" s="2" t="s">
        <v>5363</v>
      </c>
    </row>
    <row r="66" spans="1:9" x14ac:dyDescent="0.2">
      <c r="A66" s="2" t="s">
        <v>5416</v>
      </c>
      <c r="B66" s="3">
        <v>45915</v>
      </c>
      <c r="C66" s="2" t="s">
        <v>3698</v>
      </c>
      <c r="D66" s="2" t="s">
        <v>5339</v>
      </c>
      <c r="E66" s="2" t="s">
        <v>5199</v>
      </c>
      <c r="F66" s="3">
        <v>45929</v>
      </c>
      <c r="G66" s="4">
        <v>100</v>
      </c>
      <c r="H66" s="2" t="s">
        <v>78</v>
      </c>
      <c r="I66" s="2" t="s">
        <v>5340</v>
      </c>
    </row>
    <row r="67" spans="1:9" x14ac:dyDescent="0.2">
      <c r="A67" s="2" t="s">
        <v>5417</v>
      </c>
      <c r="B67" s="3">
        <v>46031</v>
      </c>
      <c r="C67" s="2" t="s">
        <v>3308</v>
      </c>
      <c r="D67" s="2" t="s">
        <v>5344</v>
      </c>
      <c r="E67" s="2" t="s">
        <v>5346</v>
      </c>
      <c r="F67" s="3">
        <v>46041</v>
      </c>
      <c r="G67" s="4">
        <v>25</v>
      </c>
      <c r="H67" s="2" t="s">
        <v>78</v>
      </c>
      <c r="I67" s="2" t="s">
        <v>5363</v>
      </c>
    </row>
    <row r="68" spans="1:9" x14ac:dyDescent="0.2">
      <c r="A68" s="2" t="s">
        <v>5418</v>
      </c>
      <c r="B68" s="3">
        <v>46038</v>
      </c>
      <c r="C68" s="2" t="s">
        <v>330</v>
      </c>
      <c r="D68" s="2" t="s">
        <v>5344</v>
      </c>
      <c r="E68" s="2" t="s">
        <v>5183</v>
      </c>
      <c r="F68" s="3">
        <v>46045</v>
      </c>
      <c r="G68" s="4">
        <v>50</v>
      </c>
      <c r="H68" s="2" t="s">
        <v>78</v>
      </c>
      <c r="I68" s="2" t="s">
        <v>5342</v>
      </c>
    </row>
    <row r="69" spans="1:9" x14ac:dyDescent="0.2">
      <c r="A69" s="2" t="s">
        <v>5419</v>
      </c>
      <c r="B69" s="3">
        <v>45930</v>
      </c>
      <c r="C69" s="2" t="s">
        <v>3507</v>
      </c>
      <c r="D69" s="2" t="s">
        <v>5348</v>
      </c>
      <c r="E69" s="2" t="s">
        <v>5183</v>
      </c>
      <c r="F69" s="3">
        <v>45951</v>
      </c>
      <c r="G69" s="4">
        <v>100</v>
      </c>
      <c r="H69" s="2" t="s">
        <v>78</v>
      </c>
      <c r="I69" s="2" t="s">
        <v>5358</v>
      </c>
    </row>
    <row r="70" spans="1:9" x14ac:dyDescent="0.2">
      <c r="A70" s="2" t="s">
        <v>5420</v>
      </c>
      <c r="B70" s="3">
        <v>46057</v>
      </c>
      <c r="C70" s="2" t="s">
        <v>3313</v>
      </c>
      <c r="D70" s="2" t="s">
        <v>5344</v>
      </c>
      <c r="E70" s="2" t="s">
        <v>5353</v>
      </c>
      <c r="F70" s="3">
        <v>46071</v>
      </c>
      <c r="G70" s="4">
        <v>0</v>
      </c>
      <c r="H70" s="2" t="s">
        <v>78</v>
      </c>
      <c r="I70" s="2" t="s">
        <v>34</v>
      </c>
    </row>
    <row r="71" spans="1:9" x14ac:dyDescent="0.2">
      <c r="A71" s="2" t="s">
        <v>5421</v>
      </c>
      <c r="B71" s="3">
        <v>46014</v>
      </c>
      <c r="C71" s="2" t="s">
        <v>2919</v>
      </c>
      <c r="D71" s="2" t="s">
        <v>5357</v>
      </c>
      <c r="E71" s="2" t="s">
        <v>5349</v>
      </c>
      <c r="F71" s="3">
        <v>46024</v>
      </c>
      <c r="G71" s="4">
        <v>250</v>
      </c>
      <c r="H71" s="2" t="s">
        <v>78</v>
      </c>
      <c r="I71" s="2" t="s">
        <v>5351</v>
      </c>
    </row>
    <row r="72" spans="1:9" x14ac:dyDescent="0.2">
      <c r="A72" s="2" t="s">
        <v>5422</v>
      </c>
      <c r="B72" s="3">
        <v>45906</v>
      </c>
      <c r="C72" s="2" t="s">
        <v>1256</v>
      </c>
      <c r="D72" s="2" t="s">
        <v>5357</v>
      </c>
      <c r="E72" s="2" t="s">
        <v>5183</v>
      </c>
      <c r="F72" s="3">
        <v>45920</v>
      </c>
      <c r="G72" s="4">
        <v>0</v>
      </c>
      <c r="H72" s="2" t="s">
        <v>78</v>
      </c>
      <c r="I72" s="2" t="s">
        <v>5358</v>
      </c>
    </row>
    <row r="73" spans="1:9" x14ac:dyDescent="0.2">
      <c r="A73" s="2" t="s">
        <v>5423</v>
      </c>
      <c r="B73" s="3">
        <v>46075</v>
      </c>
      <c r="C73" s="2" t="s">
        <v>2424</v>
      </c>
      <c r="D73" s="2" t="s">
        <v>5344</v>
      </c>
      <c r="E73" s="2" t="s">
        <v>5353</v>
      </c>
      <c r="F73" s="3">
        <v>46085</v>
      </c>
      <c r="G73" s="4">
        <v>25</v>
      </c>
      <c r="H73" s="2" t="s">
        <v>78</v>
      </c>
      <c r="I73" s="2" t="s">
        <v>5363</v>
      </c>
    </row>
    <row r="74" spans="1:9" x14ac:dyDescent="0.2">
      <c r="A74" s="2" t="s">
        <v>5424</v>
      </c>
      <c r="B74" s="3">
        <v>46073</v>
      </c>
      <c r="C74" s="2" t="s">
        <v>1405</v>
      </c>
      <c r="D74" s="2" t="s">
        <v>5348</v>
      </c>
      <c r="E74" s="2" t="s">
        <v>5183</v>
      </c>
      <c r="F74" s="3">
        <v>46080</v>
      </c>
      <c r="G74" s="4">
        <v>0</v>
      </c>
      <c r="H74" s="2" t="s">
        <v>78</v>
      </c>
      <c r="I74" s="2" t="s">
        <v>5342</v>
      </c>
    </row>
    <row r="75" spans="1:9" x14ac:dyDescent="0.2">
      <c r="A75" s="2" t="s">
        <v>5425</v>
      </c>
      <c r="B75" s="3">
        <v>46021</v>
      </c>
      <c r="C75" s="2" t="s">
        <v>2341</v>
      </c>
      <c r="D75" s="2" t="s">
        <v>5344</v>
      </c>
      <c r="E75" s="2" t="s">
        <v>5183</v>
      </c>
      <c r="F75" s="3">
        <v>46042</v>
      </c>
      <c r="G75" s="4">
        <v>0</v>
      </c>
      <c r="H75" s="2" t="s">
        <v>78</v>
      </c>
      <c r="I75" s="2" t="s">
        <v>5363</v>
      </c>
    </row>
    <row r="76" spans="1:9" x14ac:dyDescent="0.2">
      <c r="A76" s="2" t="s">
        <v>5426</v>
      </c>
      <c r="B76" s="3">
        <v>46048</v>
      </c>
      <c r="C76" s="2" t="s">
        <v>2804</v>
      </c>
      <c r="D76" s="2" t="s">
        <v>5357</v>
      </c>
      <c r="E76" s="2" t="s">
        <v>5183</v>
      </c>
      <c r="F76" s="3">
        <v>46055</v>
      </c>
      <c r="G76" s="4">
        <v>250</v>
      </c>
      <c r="H76" s="2" t="s">
        <v>78</v>
      </c>
      <c r="I76" s="2" t="s">
        <v>5351</v>
      </c>
    </row>
    <row r="77" spans="1:9" x14ac:dyDescent="0.2">
      <c r="A77" s="2" t="s">
        <v>5427</v>
      </c>
      <c r="B77" s="3">
        <v>45906</v>
      </c>
      <c r="C77" s="2" t="s">
        <v>3473</v>
      </c>
      <c r="D77" s="2" t="s">
        <v>5355</v>
      </c>
      <c r="E77" s="2" t="s">
        <v>5183</v>
      </c>
      <c r="F77" s="3">
        <v>45916</v>
      </c>
      <c r="G77" s="4">
        <v>25</v>
      </c>
      <c r="H77" s="2" t="s">
        <v>78</v>
      </c>
      <c r="I77" s="2" t="s">
        <v>5363</v>
      </c>
    </row>
    <row r="78" spans="1:9" x14ac:dyDescent="0.2">
      <c r="A78" s="2" t="s">
        <v>5428</v>
      </c>
      <c r="B78" s="3">
        <v>46051</v>
      </c>
      <c r="C78" s="2" t="s">
        <v>484</v>
      </c>
      <c r="D78" s="2" t="s">
        <v>5348</v>
      </c>
      <c r="E78" s="2" t="s">
        <v>5346</v>
      </c>
      <c r="F78" s="3">
        <v>46058</v>
      </c>
      <c r="G78" s="4">
        <v>250</v>
      </c>
      <c r="H78" s="2" t="s">
        <v>78</v>
      </c>
      <c r="I78" s="2" t="s">
        <v>5342</v>
      </c>
    </row>
    <row r="79" spans="1:9" x14ac:dyDescent="0.2">
      <c r="A79" s="2" t="s">
        <v>5429</v>
      </c>
      <c r="B79" s="3">
        <v>45902</v>
      </c>
      <c r="C79" s="2" t="s">
        <v>337</v>
      </c>
      <c r="D79" s="2" t="s">
        <v>5344</v>
      </c>
      <c r="E79" s="2" t="s">
        <v>5183</v>
      </c>
      <c r="F79" s="3">
        <v>45923</v>
      </c>
      <c r="G79" s="4">
        <v>100</v>
      </c>
      <c r="H79" s="2" t="s">
        <v>78</v>
      </c>
      <c r="I79" s="2" t="s">
        <v>5363</v>
      </c>
    </row>
    <row r="80" spans="1:9" x14ac:dyDescent="0.2">
      <c r="A80" s="2" t="s">
        <v>5430</v>
      </c>
      <c r="B80" s="3">
        <v>46013</v>
      </c>
      <c r="C80" s="2" t="s">
        <v>127</v>
      </c>
      <c r="D80" s="2" t="s">
        <v>5348</v>
      </c>
      <c r="E80" s="2" t="s">
        <v>5199</v>
      </c>
      <c r="F80" s="3">
        <v>46020</v>
      </c>
      <c r="G80" s="4">
        <v>50</v>
      </c>
      <c r="H80" s="2" t="s">
        <v>78</v>
      </c>
      <c r="I80" s="2" t="s">
        <v>5342</v>
      </c>
    </row>
    <row r="81" spans="1:9" x14ac:dyDescent="0.2">
      <c r="A81" s="2" t="s">
        <v>5431</v>
      </c>
      <c r="B81" s="3">
        <v>45962</v>
      </c>
      <c r="C81" s="2" t="s">
        <v>1415</v>
      </c>
      <c r="D81" s="2" t="s">
        <v>5355</v>
      </c>
      <c r="E81" s="2" t="s">
        <v>5349</v>
      </c>
      <c r="F81" s="3">
        <v>45969</v>
      </c>
      <c r="G81" s="4">
        <v>25</v>
      </c>
      <c r="H81" s="2" t="s">
        <v>78</v>
      </c>
      <c r="I81" s="2" t="s">
        <v>5363</v>
      </c>
    </row>
    <row r="82" spans="1:9" x14ac:dyDescent="0.2">
      <c r="A82" s="2" t="s">
        <v>5432</v>
      </c>
      <c r="B82" s="3">
        <v>45959</v>
      </c>
      <c r="C82" s="2" t="s">
        <v>2078</v>
      </c>
      <c r="D82" s="2" t="s">
        <v>5355</v>
      </c>
      <c r="E82" s="2" t="s">
        <v>5199</v>
      </c>
      <c r="F82" s="3">
        <v>45980</v>
      </c>
      <c r="G82" s="4">
        <v>25</v>
      </c>
      <c r="H82" s="2" t="s">
        <v>78</v>
      </c>
      <c r="I82" s="2" t="s">
        <v>5340</v>
      </c>
    </row>
    <row r="83" spans="1:9" x14ac:dyDescent="0.2">
      <c r="A83" s="2" t="s">
        <v>5433</v>
      </c>
      <c r="B83" s="3">
        <v>46028</v>
      </c>
      <c r="C83" s="2" t="s">
        <v>599</v>
      </c>
      <c r="D83" s="2" t="s">
        <v>5348</v>
      </c>
      <c r="E83" s="2" t="s">
        <v>5346</v>
      </c>
      <c r="F83" s="3">
        <v>46049</v>
      </c>
      <c r="G83" s="4">
        <v>25</v>
      </c>
      <c r="H83" s="2" t="s">
        <v>36</v>
      </c>
      <c r="I83" s="2" t="s">
        <v>5358</v>
      </c>
    </row>
    <row r="84" spans="1:9" x14ac:dyDescent="0.2">
      <c r="A84" s="2" t="s">
        <v>5434</v>
      </c>
      <c r="B84" s="3">
        <v>46016</v>
      </c>
      <c r="C84" s="2" t="s">
        <v>1528</v>
      </c>
      <c r="D84" s="2" t="s">
        <v>5344</v>
      </c>
      <c r="E84" s="2" t="s">
        <v>5199</v>
      </c>
      <c r="F84" s="3">
        <v>46026</v>
      </c>
      <c r="G84" s="4">
        <v>0</v>
      </c>
      <c r="H84" s="2" t="s">
        <v>78</v>
      </c>
      <c r="I84" s="2" t="s">
        <v>34</v>
      </c>
    </row>
    <row r="85" spans="1:9" x14ac:dyDescent="0.2">
      <c r="A85" s="2" t="s">
        <v>5435</v>
      </c>
      <c r="B85" s="3">
        <v>46039</v>
      </c>
      <c r="C85" s="2" t="s">
        <v>2794</v>
      </c>
      <c r="D85" s="2" t="s">
        <v>5344</v>
      </c>
      <c r="E85" s="2" t="s">
        <v>5353</v>
      </c>
      <c r="F85" s="3">
        <v>46046</v>
      </c>
      <c r="G85" s="4">
        <v>25</v>
      </c>
      <c r="H85" s="2" t="s">
        <v>78</v>
      </c>
      <c r="I85" s="2" t="s">
        <v>5342</v>
      </c>
    </row>
    <row r="86" spans="1:9" x14ac:dyDescent="0.2">
      <c r="A86" s="2" t="s">
        <v>5436</v>
      </c>
      <c r="B86" s="3">
        <v>45957</v>
      </c>
      <c r="C86" s="2" t="s">
        <v>199</v>
      </c>
      <c r="D86" s="2" t="s">
        <v>5355</v>
      </c>
      <c r="E86" s="2" t="s">
        <v>5183</v>
      </c>
      <c r="F86" s="3">
        <v>45978</v>
      </c>
      <c r="G86" s="4">
        <v>0</v>
      </c>
      <c r="H86" s="2" t="s">
        <v>78</v>
      </c>
      <c r="I86" s="2" t="s">
        <v>5358</v>
      </c>
    </row>
    <row r="87" spans="1:9" x14ac:dyDescent="0.2">
      <c r="A87" s="2" t="s">
        <v>5437</v>
      </c>
      <c r="B87" s="3">
        <v>45987</v>
      </c>
      <c r="C87" s="2" t="s">
        <v>1058</v>
      </c>
      <c r="D87" s="2" t="s">
        <v>5348</v>
      </c>
      <c r="E87" s="2" t="s">
        <v>5346</v>
      </c>
      <c r="F87" s="3">
        <v>45994</v>
      </c>
      <c r="G87" s="4">
        <v>0</v>
      </c>
      <c r="H87" s="2" t="s">
        <v>36</v>
      </c>
      <c r="I87" s="2" t="s">
        <v>34</v>
      </c>
    </row>
    <row r="88" spans="1:9" x14ac:dyDescent="0.2">
      <c r="A88" s="2" t="s">
        <v>5438</v>
      </c>
      <c r="B88" s="3">
        <v>46032</v>
      </c>
      <c r="C88" s="2" t="s">
        <v>670</v>
      </c>
      <c r="D88" s="2" t="s">
        <v>5357</v>
      </c>
      <c r="E88" s="2" t="s">
        <v>5349</v>
      </c>
      <c r="F88" s="3">
        <v>46042</v>
      </c>
      <c r="G88" s="4">
        <v>0</v>
      </c>
      <c r="H88" s="2" t="s">
        <v>36</v>
      </c>
      <c r="I88" s="2" t="s">
        <v>5340</v>
      </c>
    </row>
    <row r="89" spans="1:9" x14ac:dyDescent="0.2">
      <c r="A89" s="2" t="s">
        <v>5439</v>
      </c>
      <c r="B89" s="3">
        <v>46044</v>
      </c>
      <c r="C89" s="2" t="s">
        <v>3172</v>
      </c>
      <c r="D89" s="2" t="s">
        <v>5357</v>
      </c>
      <c r="E89" s="2" t="s">
        <v>5353</v>
      </c>
      <c r="F89" s="3">
        <v>46051</v>
      </c>
      <c r="G89" s="4">
        <v>250</v>
      </c>
      <c r="H89" s="2" t="s">
        <v>78</v>
      </c>
      <c r="I89" s="2" t="s">
        <v>5363</v>
      </c>
    </row>
    <row r="90" spans="1:9" x14ac:dyDescent="0.2">
      <c r="A90" s="2" t="s">
        <v>5440</v>
      </c>
      <c r="B90" s="3">
        <v>45931</v>
      </c>
      <c r="C90" s="2" t="s">
        <v>641</v>
      </c>
      <c r="D90" s="2" t="s">
        <v>5344</v>
      </c>
      <c r="E90" s="2" t="s">
        <v>5346</v>
      </c>
      <c r="F90" s="3">
        <v>45952</v>
      </c>
      <c r="G90" s="4">
        <v>0</v>
      </c>
      <c r="H90" s="2" t="s">
        <v>36</v>
      </c>
      <c r="I90" s="2" t="s">
        <v>5363</v>
      </c>
    </row>
    <row r="91" spans="1:9" x14ac:dyDescent="0.2">
      <c r="A91" s="2" t="s">
        <v>5441</v>
      </c>
      <c r="B91" s="3">
        <v>45935</v>
      </c>
      <c r="C91" s="2" t="s">
        <v>3337</v>
      </c>
      <c r="D91" s="2" t="s">
        <v>5348</v>
      </c>
      <c r="E91" s="2" t="s">
        <v>5349</v>
      </c>
      <c r="F91" s="3">
        <v>45949</v>
      </c>
      <c r="G91" s="4">
        <v>100</v>
      </c>
      <c r="H91" s="2" t="s">
        <v>78</v>
      </c>
      <c r="I91" s="2" t="s">
        <v>34</v>
      </c>
    </row>
    <row r="92" spans="1:9" x14ac:dyDescent="0.2">
      <c r="A92" s="2" t="s">
        <v>5442</v>
      </c>
      <c r="B92" s="3">
        <v>45955</v>
      </c>
      <c r="C92" s="2" t="s">
        <v>1096</v>
      </c>
      <c r="D92" s="2" t="s">
        <v>5355</v>
      </c>
      <c r="E92" s="2" t="s">
        <v>5183</v>
      </c>
      <c r="F92" s="3">
        <v>45962</v>
      </c>
      <c r="G92" s="4">
        <v>250</v>
      </c>
      <c r="H92" s="2" t="s">
        <v>78</v>
      </c>
      <c r="I92" s="2" t="s">
        <v>5358</v>
      </c>
    </row>
    <row r="93" spans="1:9" x14ac:dyDescent="0.2">
      <c r="A93" s="2" t="s">
        <v>5443</v>
      </c>
      <c r="B93" s="3">
        <v>45989</v>
      </c>
      <c r="C93" s="2" t="s">
        <v>1507</v>
      </c>
      <c r="D93" s="2" t="s">
        <v>5344</v>
      </c>
      <c r="E93" s="2" t="s">
        <v>5346</v>
      </c>
      <c r="F93" s="3">
        <v>45999</v>
      </c>
      <c r="G93" s="4">
        <v>0</v>
      </c>
      <c r="H93" s="2" t="s">
        <v>36</v>
      </c>
      <c r="I93" s="2" t="s">
        <v>5342</v>
      </c>
    </row>
    <row r="94" spans="1:9" x14ac:dyDescent="0.2">
      <c r="A94" s="2" t="s">
        <v>5444</v>
      </c>
      <c r="B94" s="3">
        <v>45920</v>
      </c>
      <c r="C94" s="2" t="s">
        <v>1015</v>
      </c>
      <c r="D94" s="2" t="s">
        <v>5357</v>
      </c>
      <c r="E94" s="2" t="s">
        <v>5349</v>
      </c>
      <c r="F94" s="3">
        <v>45930</v>
      </c>
      <c r="G94" s="4">
        <v>100</v>
      </c>
      <c r="H94" s="2" t="s">
        <v>36</v>
      </c>
      <c r="I94" s="2" t="s">
        <v>5363</v>
      </c>
    </row>
    <row r="95" spans="1:9" x14ac:dyDescent="0.2">
      <c r="A95" s="2" t="s">
        <v>5445</v>
      </c>
      <c r="B95" s="3">
        <v>46062</v>
      </c>
      <c r="C95" s="2" t="s">
        <v>3938</v>
      </c>
      <c r="D95" s="2" t="s">
        <v>5348</v>
      </c>
      <c r="E95" s="2" t="s">
        <v>5353</v>
      </c>
      <c r="F95" s="3">
        <v>46072</v>
      </c>
      <c r="G95" s="4">
        <v>250</v>
      </c>
      <c r="H95" s="2" t="s">
        <v>78</v>
      </c>
      <c r="I95" s="2" t="s">
        <v>5342</v>
      </c>
    </row>
    <row r="96" spans="1:9" x14ac:dyDescent="0.2">
      <c r="A96" s="2" t="s">
        <v>5446</v>
      </c>
      <c r="B96" s="3">
        <v>46034</v>
      </c>
      <c r="C96" s="2" t="s">
        <v>37</v>
      </c>
      <c r="D96" s="2" t="s">
        <v>5348</v>
      </c>
      <c r="E96" s="2" t="s">
        <v>5349</v>
      </c>
      <c r="F96" s="3">
        <v>46048</v>
      </c>
      <c r="G96" s="4">
        <v>100</v>
      </c>
      <c r="H96" s="2" t="s">
        <v>36</v>
      </c>
      <c r="I96" s="2" t="s">
        <v>5351</v>
      </c>
    </row>
    <row r="97" spans="1:9" x14ac:dyDescent="0.2">
      <c r="A97" s="2" t="s">
        <v>5447</v>
      </c>
      <c r="B97" s="3">
        <v>46041</v>
      </c>
      <c r="C97" s="2" t="s">
        <v>3965</v>
      </c>
      <c r="D97" s="2" t="s">
        <v>5374</v>
      </c>
      <c r="E97" s="2" t="s">
        <v>5183</v>
      </c>
      <c r="F97" s="3">
        <v>46048</v>
      </c>
      <c r="G97" s="4">
        <v>25</v>
      </c>
      <c r="H97" s="2" t="s">
        <v>78</v>
      </c>
      <c r="I97" s="2" t="s">
        <v>5363</v>
      </c>
    </row>
    <row r="98" spans="1:9" x14ac:dyDescent="0.2">
      <c r="A98" s="2" t="s">
        <v>5448</v>
      </c>
      <c r="B98" s="3">
        <v>45951</v>
      </c>
      <c r="C98" s="2" t="s">
        <v>1753</v>
      </c>
      <c r="D98" s="2" t="s">
        <v>5357</v>
      </c>
      <c r="E98" s="2" t="s">
        <v>5346</v>
      </c>
      <c r="F98" s="3">
        <v>45958</v>
      </c>
      <c r="G98" s="4">
        <v>0</v>
      </c>
      <c r="H98" s="2" t="s">
        <v>36</v>
      </c>
      <c r="I98" s="2" t="s">
        <v>5363</v>
      </c>
    </row>
    <row r="99" spans="1:9" x14ac:dyDescent="0.2">
      <c r="A99" s="2" t="s">
        <v>5449</v>
      </c>
      <c r="B99" s="3">
        <v>45928</v>
      </c>
      <c r="C99" s="2" t="s">
        <v>3634</v>
      </c>
      <c r="D99" s="2" t="s">
        <v>5355</v>
      </c>
      <c r="E99" s="2" t="s">
        <v>5346</v>
      </c>
      <c r="F99" s="3">
        <v>45938</v>
      </c>
      <c r="G99" s="4">
        <v>250</v>
      </c>
      <c r="H99" s="2" t="s">
        <v>36</v>
      </c>
      <c r="I99" s="2" t="s">
        <v>5358</v>
      </c>
    </row>
    <row r="100" spans="1:9" x14ac:dyDescent="0.2">
      <c r="A100" s="2" t="s">
        <v>5450</v>
      </c>
      <c r="B100" s="3">
        <v>46043</v>
      </c>
      <c r="C100" s="2" t="s">
        <v>272</v>
      </c>
      <c r="D100" s="2" t="s">
        <v>5357</v>
      </c>
      <c r="E100" s="2" t="s">
        <v>5199</v>
      </c>
      <c r="F100" s="3">
        <v>46057</v>
      </c>
      <c r="G100" s="4">
        <v>250</v>
      </c>
      <c r="H100" s="2" t="s">
        <v>78</v>
      </c>
      <c r="I100" s="2" t="s">
        <v>34</v>
      </c>
    </row>
    <row r="101" spans="1:9" x14ac:dyDescent="0.2">
      <c r="A101" s="2" t="s">
        <v>5451</v>
      </c>
      <c r="B101" s="3">
        <v>46037</v>
      </c>
      <c r="C101" s="2" t="s">
        <v>1410</v>
      </c>
      <c r="D101" s="2" t="s">
        <v>5339</v>
      </c>
      <c r="E101" s="2" t="s">
        <v>5183</v>
      </c>
      <c r="F101" s="3">
        <v>46058</v>
      </c>
      <c r="G101" s="4">
        <v>50</v>
      </c>
      <c r="H101" s="2" t="s">
        <v>78</v>
      </c>
      <c r="I101" s="2" t="s">
        <v>5363</v>
      </c>
    </row>
    <row r="102" spans="1:9" x14ac:dyDescent="0.2">
      <c r="A102" s="2" t="s">
        <v>5452</v>
      </c>
      <c r="B102" s="3">
        <v>46043</v>
      </c>
      <c r="C102" s="2" t="s">
        <v>4143</v>
      </c>
      <c r="D102" s="2" t="s">
        <v>5339</v>
      </c>
      <c r="E102" s="2" t="s">
        <v>5183</v>
      </c>
      <c r="F102" s="3">
        <v>46053</v>
      </c>
      <c r="G102" s="4">
        <v>0</v>
      </c>
      <c r="H102" s="2" t="s">
        <v>78</v>
      </c>
      <c r="I102" s="2" t="s">
        <v>5351</v>
      </c>
    </row>
    <row r="103" spans="1:9" x14ac:dyDescent="0.2">
      <c r="A103" s="2" t="s">
        <v>5453</v>
      </c>
      <c r="B103" s="3">
        <v>45947</v>
      </c>
      <c r="C103" s="2" t="s">
        <v>635</v>
      </c>
      <c r="D103" s="2" t="s">
        <v>5344</v>
      </c>
      <c r="E103" s="2" t="s">
        <v>5199</v>
      </c>
      <c r="F103" s="3">
        <v>45968</v>
      </c>
      <c r="G103" s="4">
        <v>25</v>
      </c>
      <c r="H103" s="2" t="s">
        <v>78</v>
      </c>
      <c r="I103" s="2" t="s">
        <v>5342</v>
      </c>
    </row>
    <row r="104" spans="1:9" x14ac:dyDescent="0.2">
      <c r="A104" s="2" t="s">
        <v>5454</v>
      </c>
      <c r="B104" s="3">
        <v>46025</v>
      </c>
      <c r="C104" s="2" t="s">
        <v>45</v>
      </c>
      <c r="D104" s="2" t="s">
        <v>5355</v>
      </c>
      <c r="E104" s="2" t="s">
        <v>5199</v>
      </c>
      <c r="F104" s="3">
        <v>46039</v>
      </c>
      <c r="G104" s="4">
        <v>250</v>
      </c>
      <c r="H104" s="2" t="s">
        <v>78</v>
      </c>
      <c r="I104" s="2" t="s">
        <v>5340</v>
      </c>
    </row>
    <row r="105" spans="1:9" x14ac:dyDescent="0.2">
      <c r="A105" s="2" t="s">
        <v>5455</v>
      </c>
      <c r="B105" s="3">
        <v>46016</v>
      </c>
      <c r="C105" s="2" t="s">
        <v>4806</v>
      </c>
      <c r="D105" s="2" t="s">
        <v>5344</v>
      </c>
      <c r="E105" s="2" t="s">
        <v>5353</v>
      </c>
      <c r="F105" s="3">
        <v>46037</v>
      </c>
      <c r="G105" s="4">
        <v>100</v>
      </c>
      <c r="H105" s="2" t="s">
        <v>78</v>
      </c>
      <c r="I105" s="2" t="s">
        <v>5358</v>
      </c>
    </row>
    <row r="106" spans="1:9" x14ac:dyDescent="0.2">
      <c r="A106" s="2" t="s">
        <v>5456</v>
      </c>
      <c r="B106" s="3">
        <v>45919</v>
      </c>
      <c r="C106" s="2" t="s">
        <v>3258</v>
      </c>
      <c r="D106" s="2" t="s">
        <v>5348</v>
      </c>
      <c r="E106" s="2" t="s">
        <v>5346</v>
      </c>
      <c r="F106" s="3">
        <v>45926</v>
      </c>
      <c r="G106" s="4">
        <v>250</v>
      </c>
      <c r="H106" s="2" t="s">
        <v>36</v>
      </c>
      <c r="I106" s="2" t="s">
        <v>5340</v>
      </c>
    </row>
    <row r="107" spans="1:9" x14ac:dyDescent="0.2">
      <c r="A107" s="2" t="s">
        <v>5457</v>
      </c>
      <c r="B107" s="3">
        <v>46053</v>
      </c>
      <c r="C107" s="2" t="s">
        <v>2554</v>
      </c>
      <c r="D107" s="2" t="s">
        <v>5355</v>
      </c>
      <c r="E107" s="2" t="s">
        <v>5199</v>
      </c>
      <c r="F107" s="3">
        <v>46060</v>
      </c>
      <c r="G107" s="4">
        <v>50</v>
      </c>
      <c r="H107" s="2" t="s">
        <v>78</v>
      </c>
      <c r="I107" s="2" t="s">
        <v>5363</v>
      </c>
    </row>
    <row r="108" spans="1:9" x14ac:dyDescent="0.2">
      <c r="A108" s="2" t="s">
        <v>5458</v>
      </c>
      <c r="B108" s="3">
        <v>45979</v>
      </c>
      <c r="C108" s="2" t="s">
        <v>3664</v>
      </c>
      <c r="D108" s="2" t="s">
        <v>5348</v>
      </c>
      <c r="E108" s="2" t="s">
        <v>5199</v>
      </c>
      <c r="F108" s="3">
        <v>45989</v>
      </c>
      <c r="G108" s="4">
        <v>0</v>
      </c>
      <c r="H108" s="2" t="s">
        <v>78</v>
      </c>
      <c r="I108" s="2" t="s">
        <v>5358</v>
      </c>
    </row>
    <row r="109" spans="1:9" x14ac:dyDescent="0.2">
      <c r="A109" s="2" t="s">
        <v>5459</v>
      </c>
      <c r="B109" s="3">
        <v>46008</v>
      </c>
      <c r="C109" s="2" t="s">
        <v>1571</v>
      </c>
      <c r="D109" s="2" t="s">
        <v>5339</v>
      </c>
      <c r="E109" s="2" t="s">
        <v>5346</v>
      </c>
      <c r="F109" s="3">
        <v>46022</v>
      </c>
      <c r="G109" s="4">
        <v>0</v>
      </c>
      <c r="H109" s="2" t="s">
        <v>36</v>
      </c>
      <c r="I109" s="2" t="s">
        <v>5342</v>
      </c>
    </row>
    <row r="110" spans="1:9" x14ac:dyDescent="0.2">
      <c r="A110" s="2" t="s">
        <v>5460</v>
      </c>
      <c r="B110" s="3">
        <v>46034</v>
      </c>
      <c r="C110" s="2" t="s">
        <v>993</v>
      </c>
      <c r="D110" s="2" t="s">
        <v>5357</v>
      </c>
      <c r="E110" s="2" t="s">
        <v>5199</v>
      </c>
      <c r="F110" s="3">
        <v>46044</v>
      </c>
      <c r="G110" s="4">
        <v>0</v>
      </c>
      <c r="H110" s="2" t="s">
        <v>78</v>
      </c>
      <c r="I110" s="2" t="s">
        <v>5342</v>
      </c>
    </row>
    <row r="111" spans="1:9" x14ac:dyDescent="0.2">
      <c r="A111" s="2" t="s">
        <v>5461</v>
      </c>
      <c r="B111" s="3">
        <v>45951</v>
      </c>
      <c r="C111" s="2" t="s">
        <v>127</v>
      </c>
      <c r="D111" s="2" t="s">
        <v>5357</v>
      </c>
      <c r="E111" s="2" t="s">
        <v>5353</v>
      </c>
      <c r="F111" s="3">
        <v>45965</v>
      </c>
      <c r="G111" s="4">
        <v>50</v>
      </c>
      <c r="H111" s="2" t="s">
        <v>78</v>
      </c>
      <c r="I111" s="2" t="s">
        <v>5342</v>
      </c>
    </row>
    <row r="112" spans="1:9" x14ac:dyDescent="0.2">
      <c r="A112" s="2" t="s">
        <v>5462</v>
      </c>
      <c r="B112" s="3">
        <v>45958</v>
      </c>
      <c r="C112" s="2" t="s">
        <v>4428</v>
      </c>
      <c r="D112" s="2" t="s">
        <v>5339</v>
      </c>
      <c r="E112" s="2" t="s">
        <v>5183</v>
      </c>
      <c r="F112" s="3">
        <v>45968</v>
      </c>
      <c r="G112" s="4">
        <v>250</v>
      </c>
      <c r="H112" s="2" t="s">
        <v>78</v>
      </c>
      <c r="I112" s="2" t="s">
        <v>5342</v>
      </c>
    </row>
    <row r="113" spans="1:9" x14ac:dyDescent="0.2">
      <c r="A113" s="2" t="s">
        <v>5463</v>
      </c>
      <c r="B113" s="3">
        <v>46036</v>
      </c>
      <c r="C113" s="2" t="s">
        <v>583</v>
      </c>
      <c r="D113" s="2" t="s">
        <v>5357</v>
      </c>
      <c r="E113" s="2" t="s">
        <v>5199</v>
      </c>
      <c r="F113" s="3">
        <v>46050</v>
      </c>
      <c r="G113" s="4">
        <v>25</v>
      </c>
      <c r="H113" s="2" t="s">
        <v>78</v>
      </c>
      <c r="I113" s="2" t="s">
        <v>5358</v>
      </c>
    </row>
    <row r="114" spans="1:9" x14ac:dyDescent="0.2">
      <c r="A114" s="2" t="s">
        <v>5464</v>
      </c>
      <c r="B114" s="3">
        <v>45998</v>
      </c>
      <c r="C114" s="2" t="s">
        <v>3529</v>
      </c>
      <c r="D114" s="2" t="s">
        <v>5344</v>
      </c>
      <c r="E114" s="2" t="s">
        <v>5346</v>
      </c>
      <c r="F114" s="3">
        <v>46012</v>
      </c>
      <c r="G114" s="4">
        <v>25</v>
      </c>
      <c r="H114" s="2" t="s">
        <v>78</v>
      </c>
      <c r="I114" s="2" t="s">
        <v>5342</v>
      </c>
    </row>
    <row r="115" spans="1:9" x14ac:dyDescent="0.2">
      <c r="A115" s="2" t="s">
        <v>5465</v>
      </c>
      <c r="B115" s="3">
        <v>45965</v>
      </c>
      <c r="C115" s="2" t="s">
        <v>2413</v>
      </c>
      <c r="D115" s="2" t="s">
        <v>5374</v>
      </c>
      <c r="E115" s="2" t="s">
        <v>5349</v>
      </c>
      <c r="F115" s="3">
        <v>45975</v>
      </c>
      <c r="G115" s="4">
        <v>250</v>
      </c>
      <c r="H115" s="2" t="s">
        <v>36</v>
      </c>
      <c r="I115" s="2" t="s">
        <v>5342</v>
      </c>
    </row>
    <row r="116" spans="1:9" x14ac:dyDescent="0.2">
      <c r="A116" s="2" t="s">
        <v>5466</v>
      </c>
      <c r="B116" s="3">
        <v>45987</v>
      </c>
      <c r="C116" s="2" t="s">
        <v>86</v>
      </c>
      <c r="D116" s="2" t="s">
        <v>5344</v>
      </c>
      <c r="E116" s="2" t="s">
        <v>5349</v>
      </c>
      <c r="F116" s="3">
        <v>45997</v>
      </c>
      <c r="G116" s="4">
        <v>50</v>
      </c>
      <c r="H116" s="2" t="s">
        <v>36</v>
      </c>
      <c r="I116" s="2" t="s">
        <v>5351</v>
      </c>
    </row>
    <row r="117" spans="1:9" x14ac:dyDescent="0.2">
      <c r="A117" s="2" t="s">
        <v>5467</v>
      </c>
      <c r="B117" s="3">
        <v>45977</v>
      </c>
      <c r="C117" s="2" t="s">
        <v>887</v>
      </c>
      <c r="D117" s="2" t="s">
        <v>5344</v>
      </c>
      <c r="E117" s="2" t="s">
        <v>5199</v>
      </c>
      <c r="F117" s="3">
        <v>45984</v>
      </c>
      <c r="G117" s="4">
        <v>25</v>
      </c>
      <c r="H117" s="2" t="s">
        <v>78</v>
      </c>
      <c r="I117" s="2" t="s">
        <v>5351</v>
      </c>
    </row>
    <row r="118" spans="1:9" x14ac:dyDescent="0.2">
      <c r="A118" s="2" t="s">
        <v>5468</v>
      </c>
      <c r="B118" s="3">
        <v>46010</v>
      </c>
      <c r="C118" s="2" t="s">
        <v>1393</v>
      </c>
      <c r="D118" s="2" t="s">
        <v>5355</v>
      </c>
      <c r="E118" s="2" t="s">
        <v>5349</v>
      </c>
      <c r="F118" s="3">
        <v>46024</v>
      </c>
      <c r="G118" s="4">
        <v>250</v>
      </c>
      <c r="H118" s="2" t="s">
        <v>36</v>
      </c>
      <c r="I118" s="2" t="s">
        <v>5363</v>
      </c>
    </row>
    <row r="119" spans="1:9" x14ac:dyDescent="0.2">
      <c r="A119" s="2" t="s">
        <v>5469</v>
      </c>
      <c r="B119" s="3">
        <v>46007</v>
      </c>
      <c r="C119" s="2" t="s">
        <v>4023</v>
      </c>
      <c r="D119" s="2" t="s">
        <v>5348</v>
      </c>
      <c r="E119" s="2" t="s">
        <v>5349</v>
      </c>
      <c r="F119" s="3">
        <v>46014</v>
      </c>
      <c r="G119" s="4">
        <v>100</v>
      </c>
      <c r="H119" s="2" t="s">
        <v>78</v>
      </c>
      <c r="I119" s="2" t="s">
        <v>5340</v>
      </c>
    </row>
    <row r="120" spans="1:9" x14ac:dyDescent="0.2">
      <c r="A120" s="2" t="s">
        <v>5470</v>
      </c>
      <c r="B120" s="3">
        <v>45900</v>
      </c>
      <c r="C120" s="2" t="s">
        <v>3717</v>
      </c>
      <c r="D120" s="2" t="s">
        <v>5348</v>
      </c>
      <c r="E120" s="2" t="s">
        <v>5349</v>
      </c>
      <c r="F120" s="3">
        <v>45921</v>
      </c>
      <c r="G120" s="4">
        <v>0</v>
      </c>
      <c r="H120" s="2" t="s">
        <v>36</v>
      </c>
      <c r="I120" s="2" t="s">
        <v>34</v>
      </c>
    </row>
    <row r="121" spans="1:9" x14ac:dyDescent="0.2">
      <c r="A121" s="2" t="s">
        <v>5471</v>
      </c>
      <c r="B121" s="3">
        <v>45996</v>
      </c>
      <c r="C121" s="2" t="s">
        <v>4763</v>
      </c>
      <c r="D121" s="2" t="s">
        <v>5355</v>
      </c>
      <c r="E121" s="2" t="s">
        <v>5349</v>
      </c>
      <c r="F121" s="3">
        <v>46017</v>
      </c>
      <c r="G121" s="4">
        <v>25</v>
      </c>
      <c r="H121" s="2" t="s">
        <v>36</v>
      </c>
      <c r="I121" s="2" t="s">
        <v>5340</v>
      </c>
    </row>
    <row r="122" spans="1:9" x14ac:dyDescent="0.2">
      <c r="A122" s="2" t="s">
        <v>5472</v>
      </c>
      <c r="B122" s="3">
        <v>45989</v>
      </c>
      <c r="C122" s="2" t="s">
        <v>4682</v>
      </c>
      <c r="D122" s="2" t="s">
        <v>5348</v>
      </c>
      <c r="E122" s="2" t="s">
        <v>5183</v>
      </c>
      <c r="F122" s="3">
        <v>46003</v>
      </c>
      <c r="G122" s="4">
        <v>50</v>
      </c>
      <c r="H122" s="2" t="s">
        <v>78</v>
      </c>
      <c r="I122" s="2" t="s">
        <v>5351</v>
      </c>
    </row>
    <row r="123" spans="1:9" x14ac:dyDescent="0.2">
      <c r="A123" s="2" t="s">
        <v>5473</v>
      </c>
      <c r="B123" s="3">
        <v>45982</v>
      </c>
      <c r="C123" s="2" t="s">
        <v>3987</v>
      </c>
      <c r="D123" s="2" t="s">
        <v>5348</v>
      </c>
      <c r="E123" s="2" t="s">
        <v>5353</v>
      </c>
      <c r="F123" s="3">
        <v>45992</v>
      </c>
      <c r="G123" s="4">
        <v>0</v>
      </c>
      <c r="H123" s="2" t="s">
        <v>78</v>
      </c>
      <c r="I123" s="2" t="s">
        <v>5363</v>
      </c>
    </row>
    <row r="124" spans="1:9" x14ac:dyDescent="0.2">
      <c r="A124" s="2" t="s">
        <v>5474</v>
      </c>
      <c r="B124" s="3">
        <v>46024</v>
      </c>
      <c r="C124" s="2" t="s">
        <v>4737</v>
      </c>
      <c r="D124" s="2" t="s">
        <v>5348</v>
      </c>
      <c r="E124" s="2" t="s">
        <v>5349</v>
      </c>
      <c r="F124" s="3">
        <v>46031</v>
      </c>
      <c r="G124" s="4">
        <v>0</v>
      </c>
      <c r="H124" s="2" t="s">
        <v>78</v>
      </c>
      <c r="I124" s="2" t="s">
        <v>5363</v>
      </c>
    </row>
    <row r="125" spans="1:9" x14ac:dyDescent="0.2">
      <c r="A125" s="2" t="s">
        <v>5475</v>
      </c>
      <c r="B125" s="3">
        <v>45904</v>
      </c>
      <c r="C125" s="2" t="s">
        <v>3211</v>
      </c>
      <c r="D125" s="2" t="s">
        <v>5344</v>
      </c>
      <c r="E125" s="2" t="s">
        <v>5183</v>
      </c>
      <c r="F125" s="3">
        <v>45918</v>
      </c>
      <c r="G125" s="4">
        <v>25</v>
      </c>
      <c r="H125" s="2" t="s">
        <v>78</v>
      </c>
      <c r="I125" s="2" t="s">
        <v>5342</v>
      </c>
    </row>
    <row r="126" spans="1:9" x14ac:dyDescent="0.2">
      <c r="A126" s="2" t="s">
        <v>5476</v>
      </c>
      <c r="B126" s="3">
        <v>45976</v>
      </c>
      <c r="C126" s="2" t="s">
        <v>4110</v>
      </c>
      <c r="D126" s="2" t="s">
        <v>5357</v>
      </c>
      <c r="E126" s="2" t="s">
        <v>5183</v>
      </c>
      <c r="F126" s="3">
        <v>45990</v>
      </c>
      <c r="G126" s="4">
        <v>50</v>
      </c>
      <c r="H126" s="2" t="s">
        <v>78</v>
      </c>
      <c r="I126" s="2" t="s">
        <v>5342</v>
      </c>
    </row>
    <row r="127" spans="1:9" x14ac:dyDescent="0.2">
      <c r="A127" s="2" t="s">
        <v>5477</v>
      </c>
      <c r="B127" s="3">
        <v>45925</v>
      </c>
      <c r="C127" s="2" t="s">
        <v>4230</v>
      </c>
      <c r="D127" s="2" t="s">
        <v>5339</v>
      </c>
      <c r="E127" s="2" t="s">
        <v>5346</v>
      </c>
      <c r="F127" s="3">
        <v>45939</v>
      </c>
      <c r="G127" s="4">
        <v>250</v>
      </c>
      <c r="H127" s="2" t="s">
        <v>78</v>
      </c>
      <c r="I127" s="2" t="s">
        <v>34</v>
      </c>
    </row>
    <row r="128" spans="1:9" x14ac:dyDescent="0.2">
      <c r="A128" s="2" t="s">
        <v>5478</v>
      </c>
      <c r="B128" s="3">
        <v>45990</v>
      </c>
      <c r="C128" s="2" t="s">
        <v>1290</v>
      </c>
      <c r="D128" s="2" t="s">
        <v>5344</v>
      </c>
      <c r="E128" s="2" t="s">
        <v>5183</v>
      </c>
      <c r="F128" s="3">
        <v>46004</v>
      </c>
      <c r="G128" s="4">
        <v>100</v>
      </c>
      <c r="H128" s="2" t="s">
        <v>78</v>
      </c>
      <c r="I128" s="2" t="s">
        <v>5342</v>
      </c>
    </row>
    <row r="129" spans="1:9" x14ac:dyDescent="0.2">
      <c r="A129" s="2" t="s">
        <v>5479</v>
      </c>
      <c r="B129" s="3">
        <v>46006</v>
      </c>
      <c r="C129" s="2" t="s">
        <v>2424</v>
      </c>
      <c r="D129" s="2" t="s">
        <v>5344</v>
      </c>
      <c r="E129" s="2" t="s">
        <v>5346</v>
      </c>
      <c r="F129" s="3">
        <v>46027</v>
      </c>
      <c r="G129" s="4">
        <v>0</v>
      </c>
      <c r="H129" s="2" t="s">
        <v>36</v>
      </c>
      <c r="I129" s="2" t="s">
        <v>5363</v>
      </c>
    </row>
    <row r="130" spans="1:9" x14ac:dyDescent="0.2">
      <c r="A130" s="2" t="s">
        <v>5480</v>
      </c>
      <c r="B130" s="3">
        <v>46043</v>
      </c>
      <c r="C130" s="2" t="s">
        <v>542</v>
      </c>
      <c r="D130" s="2" t="s">
        <v>5348</v>
      </c>
      <c r="E130" s="2" t="s">
        <v>5183</v>
      </c>
      <c r="F130" s="3">
        <v>46050</v>
      </c>
      <c r="G130" s="4">
        <v>100</v>
      </c>
      <c r="H130" s="2" t="s">
        <v>78</v>
      </c>
      <c r="I130" s="2" t="s">
        <v>34</v>
      </c>
    </row>
    <row r="131" spans="1:9" x14ac:dyDescent="0.2">
      <c r="A131" s="2" t="s">
        <v>5481</v>
      </c>
      <c r="B131" s="3">
        <v>46073</v>
      </c>
      <c r="C131" s="2" t="s">
        <v>3473</v>
      </c>
      <c r="D131" s="2" t="s">
        <v>5344</v>
      </c>
      <c r="E131" s="2" t="s">
        <v>5199</v>
      </c>
      <c r="F131" s="3">
        <v>46087</v>
      </c>
      <c r="G131" s="4">
        <v>100</v>
      </c>
      <c r="H131" s="2" t="s">
        <v>78</v>
      </c>
      <c r="I131" s="2" t="s">
        <v>5358</v>
      </c>
    </row>
    <row r="132" spans="1:9" x14ac:dyDescent="0.2">
      <c r="A132" s="2" t="s">
        <v>5482</v>
      </c>
      <c r="B132" s="3">
        <v>45988</v>
      </c>
      <c r="C132" s="2" t="s">
        <v>1203</v>
      </c>
      <c r="D132" s="2" t="s">
        <v>5355</v>
      </c>
      <c r="E132" s="2" t="s">
        <v>5349</v>
      </c>
      <c r="F132" s="3">
        <v>46002</v>
      </c>
      <c r="G132" s="4">
        <v>25</v>
      </c>
      <c r="H132" s="2" t="s">
        <v>36</v>
      </c>
      <c r="I132" s="2" t="s">
        <v>5342</v>
      </c>
    </row>
    <row r="133" spans="1:9" x14ac:dyDescent="0.2">
      <c r="A133" s="2" t="s">
        <v>5483</v>
      </c>
      <c r="B133" s="3">
        <v>45998</v>
      </c>
      <c r="C133" s="2" t="s">
        <v>2730</v>
      </c>
      <c r="D133" s="2" t="s">
        <v>5348</v>
      </c>
      <c r="E133" s="2" t="s">
        <v>5199</v>
      </c>
      <c r="F133" s="3">
        <v>46008</v>
      </c>
      <c r="G133" s="4">
        <v>0</v>
      </c>
      <c r="H133" s="2" t="s">
        <v>78</v>
      </c>
      <c r="I133" s="2" t="s">
        <v>5342</v>
      </c>
    </row>
    <row r="134" spans="1:9" x14ac:dyDescent="0.2">
      <c r="A134" s="2" t="s">
        <v>5484</v>
      </c>
      <c r="B134" s="3">
        <v>46005</v>
      </c>
      <c r="C134" s="2" t="s">
        <v>898</v>
      </c>
      <c r="D134" s="2" t="s">
        <v>5348</v>
      </c>
      <c r="E134" s="2" t="s">
        <v>5346</v>
      </c>
      <c r="F134" s="3">
        <v>46012</v>
      </c>
      <c r="G134" s="4">
        <v>25</v>
      </c>
      <c r="H134" s="2" t="s">
        <v>36</v>
      </c>
      <c r="I134" s="2" t="s">
        <v>5358</v>
      </c>
    </row>
    <row r="135" spans="1:9" x14ac:dyDescent="0.2">
      <c r="A135" s="2" t="s">
        <v>5485</v>
      </c>
      <c r="B135" s="3">
        <v>46002</v>
      </c>
      <c r="C135" s="2" t="s">
        <v>373</v>
      </c>
      <c r="D135" s="2" t="s">
        <v>5374</v>
      </c>
      <c r="E135" s="2" t="s">
        <v>5199</v>
      </c>
      <c r="F135" s="3">
        <v>46012</v>
      </c>
      <c r="G135" s="4">
        <v>0</v>
      </c>
      <c r="H135" s="2" t="s">
        <v>78</v>
      </c>
      <c r="I135" s="2" t="s">
        <v>5351</v>
      </c>
    </row>
    <row r="136" spans="1:9" x14ac:dyDescent="0.2">
      <c r="A136" s="2" t="s">
        <v>5486</v>
      </c>
      <c r="B136" s="3">
        <v>45969</v>
      </c>
      <c r="C136" s="2" t="s">
        <v>4745</v>
      </c>
      <c r="D136" s="2" t="s">
        <v>5348</v>
      </c>
      <c r="E136" s="2" t="s">
        <v>5346</v>
      </c>
      <c r="F136" s="3">
        <v>45983</v>
      </c>
      <c r="G136" s="4">
        <v>0</v>
      </c>
      <c r="H136" s="2" t="s">
        <v>78</v>
      </c>
      <c r="I136" s="2" t="s">
        <v>5358</v>
      </c>
    </row>
    <row r="137" spans="1:9" x14ac:dyDescent="0.2">
      <c r="A137" s="2" t="s">
        <v>5487</v>
      </c>
      <c r="B137" s="3">
        <v>45960</v>
      </c>
      <c r="C137" s="2" t="s">
        <v>3437</v>
      </c>
      <c r="D137" s="2" t="s">
        <v>5344</v>
      </c>
      <c r="E137" s="2" t="s">
        <v>5349</v>
      </c>
      <c r="F137" s="3">
        <v>45981</v>
      </c>
      <c r="G137" s="4">
        <v>0</v>
      </c>
      <c r="H137" s="2" t="s">
        <v>36</v>
      </c>
      <c r="I137" s="2" t="s">
        <v>34</v>
      </c>
    </row>
    <row r="138" spans="1:9" x14ac:dyDescent="0.2">
      <c r="A138" s="2" t="s">
        <v>5488</v>
      </c>
      <c r="B138" s="3">
        <v>46071</v>
      </c>
      <c r="C138" s="2" t="s">
        <v>232</v>
      </c>
      <c r="D138" s="2" t="s">
        <v>5357</v>
      </c>
      <c r="E138" s="2" t="s">
        <v>5349</v>
      </c>
      <c r="F138" s="3">
        <v>46078</v>
      </c>
      <c r="G138" s="4">
        <v>50</v>
      </c>
      <c r="H138" s="2" t="s">
        <v>78</v>
      </c>
      <c r="I138" s="2" t="s">
        <v>5363</v>
      </c>
    </row>
    <row r="139" spans="1:9" x14ac:dyDescent="0.2">
      <c r="A139" s="2" t="s">
        <v>5489</v>
      </c>
      <c r="B139" s="3">
        <v>46033</v>
      </c>
      <c r="C139" s="2" t="s">
        <v>934</v>
      </c>
      <c r="D139" s="2" t="s">
        <v>5374</v>
      </c>
      <c r="E139" s="2" t="s">
        <v>5183</v>
      </c>
      <c r="F139" s="3">
        <v>46054</v>
      </c>
      <c r="G139" s="4">
        <v>0</v>
      </c>
      <c r="H139" s="2" t="s">
        <v>78</v>
      </c>
      <c r="I139" s="2" t="s">
        <v>5340</v>
      </c>
    </row>
    <row r="140" spans="1:9" x14ac:dyDescent="0.2">
      <c r="A140" s="2" t="s">
        <v>5490</v>
      </c>
      <c r="B140" s="3">
        <v>46004</v>
      </c>
      <c r="C140" s="2" t="s">
        <v>1980</v>
      </c>
      <c r="D140" s="2" t="s">
        <v>5348</v>
      </c>
      <c r="E140" s="2" t="s">
        <v>5353</v>
      </c>
      <c r="F140" s="3">
        <v>46018</v>
      </c>
      <c r="G140" s="4">
        <v>250</v>
      </c>
      <c r="H140" s="2" t="s">
        <v>78</v>
      </c>
      <c r="I140" s="2" t="s">
        <v>5351</v>
      </c>
    </row>
    <row r="141" spans="1:9" x14ac:dyDescent="0.2">
      <c r="A141" s="2" t="s">
        <v>5491</v>
      </c>
      <c r="B141" s="3">
        <v>45965</v>
      </c>
      <c r="C141" s="2" t="s">
        <v>3075</v>
      </c>
      <c r="D141" s="2" t="s">
        <v>5355</v>
      </c>
      <c r="E141" s="2" t="s">
        <v>5183</v>
      </c>
      <c r="F141" s="3">
        <v>45986</v>
      </c>
      <c r="G141" s="4">
        <v>0</v>
      </c>
      <c r="H141" s="2" t="s">
        <v>78</v>
      </c>
      <c r="I141" s="2" t="s">
        <v>5358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showGridLines="0" workbookViewId="0"/>
  </sheetViews>
  <sheetFormatPr baseColWidth="10" defaultColWidth="8.83203125" defaultRowHeight="15" x14ac:dyDescent="0.2"/>
  <cols>
    <col min="1" max="1" width="12" customWidth="1"/>
    <col min="2" max="2" width="14" customWidth="1"/>
    <col min="3" max="3" width="16" customWidth="1"/>
    <col min="4" max="4" width="34" customWidth="1"/>
    <col min="5" max="5" width="14" customWidth="1"/>
    <col min="6" max="6" width="74" customWidth="1"/>
  </cols>
  <sheetData>
    <row r="1" spans="1:6" ht="22" customHeight="1" x14ac:dyDescent="0.2">
      <c r="A1" s="1" t="s">
        <v>5492</v>
      </c>
      <c r="B1" s="1" t="s">
        <v>5493</v>
      </c>
      <c r="C1" s="1" t="s">
        <v>5067</v>
      </c>
      <c r="D1" s="1" t="s">
        <v>5494</v>
      </c>
      <c r="E1" s="1" t="s">
        <v>5495</v>
      </c>
      <c r="F1" s="1" t="s">
        <v>5496</v>
      </c>
    </row>
    <row r="2" spans="1:6" x14ac:dyDescent="0.2">
      <c r="A2" s="2" t="s">
        <v>5497</v>
      </c>
      <c r="B2" s="3">
        <v>46012</v>
      </c>
      <c r="C2" s="2" t="s">
        <v>5498</v>
      </c>
      <c r="D2" s="2" t="s">
        <v>5499</v>
      </c>
      <c r="E2" s="2" t="s">
        <v>5500</v>
      </c>
      <c r="F2" s="2" t="s">
        <v>5501</v>
      </c>
    </row>
    <row r="3" spans="1:6" x14ac:dyDescent="0.2">
      <c r="A3" s="2" t="s">
        <v>5502</v>
      </c>
      <c r="B3" s="3">
        <v>45987</v>
      </c>
      <c r="C3" s="2" t="s">
        <v>5503</v>
      </c>
      <c r="D3" s="2" t="s">
        <v>5504</v>
      </c>
      <c r="E3" s="2" t="s">
        <v>5505</v>
      </c>
      <c r="F3" s="2" t="s">
        <v>5506</v>
      </c>
    </row>
    <row r="4" spans="1:6" x14ac:dyDescent="0.2">
      <c r="A4" s="2" t="s">
        <v>5507</v>
      </c>
      <c r="B4" s="3">
        <v>45963</v>
      </c>
      <c r="C4" s="2" t="s">
        <v>5508</v>
      </c>
      <c r="D4" s="2" t="s">
        <v>5509</v>
      </c>
      <c r="E4" s="2" t="s">
        <v>5500</v>
      </c>
      <c r="F4" s="2" t="s">
        <v>5510</v>
      </c>
    </row>
    <row r="5" spans="1:6" x14ac:dyDescent="0.2">
      <c r="A5" s="2" t="s">
        <v>5511</v>
      </c>
      <c r="B5" s="3">
        <v>46016</v>
      </c>
      <c r="C5" s="2" t="s">
        <v>5498</v>
      </c>
      <c r="D5" s="2" t="s">
        <v>5512</v>
      </c>
      <c r="E5" s="2" t="s">
        <v>5500</v>
      </c>
      <c r="F5" s="2" t="s">
        <v>5513</v>
      </c>
    </row>
    <row r="6" spans="1:6" x14ac:dyDescent="0.2">
      <c r="A6" s="2" t="s">
        <v>5514</v>
      </c>
      <c r="B6" s="3">
        <v>46020</v>
      </c>
      <c r="C6" s="2" t="s">
        <v>5515</v>
      </c>
      <c r="D6" s="2" t="s">
        <v>5516</v>
      </c>
      <c r="E6" s="2" t="s">
        <v>5517</v>
      </c>
      <c r="F6" s="2" t="s">
        <v>5518</v>
      </c>
    </row>
    <row r="7" spans="1:6" x14ac:dyDescent="0.2">
      <c r="A7" s="2" t="s">
        <v>5519</v>
      </c>
      <c r="B7" s="3">
        <v>46051</v>
      </c>
      <c r="C7" s="2" t="s">
        <v>5498</v>
      </c>
      <c r="D7" s="2" t="s">
        <v>5499</v>
      </c>
      <c r="E7" s="2" t="s">
        <v>5505</v>
      </c>
      <c r="F7" s="2" t="s">
        <v>5501</v>
      </c>
    </row>
    <row r="8" spans="1:6" x14ac:dyDescent="0.2">
      <c r="A8" s="2" t="s">
        <v>5520</v>
      </c>
      <c r="B8" s="3">
        <v>46061</v>
      </c>
      <c r="C8" s="2" t="s">
        <v>5521</v>
      </c>
      <c r="D8" s="2" t="s">
        <v>5522</v>
      </c>
      <c r="E8" s="2" t="s">
        <v>5070</v>
      </c>
      <c r="F8" s="2" t="s">
        <v>5501</v>
      </c>
    </row>
    <row r="9" spans="1:6" x14ac:dyDescent="0.2">
      <c r="A9" s="2" t="s">
        <v>5523</v>
      </c>
      <c r="B9" s="3">
        <v>45957</v>
      </c>
      <c r="C9" s="2" t="s">
        <v>5524</v>
      </c>
      <c r="D9" s="2" t="s">
        <v>5525</v>
      </c>
      <c r="E9" s="2" t="s">
        <v>5500</v>
      </c>
      <c r="F9" s="2" t="s">
        <v>5510</v>
      </c>
    </row>
    <row r="10" spans="1:6" x14ac:dyDescent="0.2">
      <c r="A10" s="2" t="s">
        <v>5526</v>
      </c>
      <c r="B10" s="3">
        <v>45956</v>
      </c>
      <c r="C10" s="2" t="s">
        <v>5503</v>
      </c>
      <c r="D10" s="2" t="s">
        <v>5504</v>
      </c>
      <c r="E10" s="2" t="s">
        <v>5070</v>
      </c>
      <c r="F10" s="2" t="s">
        <v>5501</v>
      </c>
    </row>
    <row r="11" spans="1:6" x14ac:dyDescent="0.2">
      <c r="A11" s="2" t="s">
        <v>5527</v>
      </c>
      <c r="B11" s="3">
        <v>45957</v>
      </c>
      <c r="C11" s="2" t="s">
        <v>5524</v>
      </c>
      <c r="D11" s="2" t="s">
        <v>5525</v>
      </c>
      <c r="E11" s="2" t="s">
        <v>5517</v>
      </c>
      <c r="F11" s="2" t="s">
        <v>5528</v>
      </c>
    </row>
    <row r="12" spans="1:6" x14ac:dyDescent="0.2">
      <c r="A12" s="2" t="s">
        <v>5529</v>
      </c>
      <c r="B12" s="3">
        <v>45991</v>
      </c>
      <c r="C12" s="2" t="s">
        <v>5524</v>
      </c>
      <c r="D12" s="2" t="s">
        <v>5530</v>
      </c>
      <c r="E12" s="2" t="s">
        <v>5070</v>
      </c>
      <c r="F12" s="2" t="s">
        <v>5501</v>
      </c>
    </row>
    <row r="13" spans="1:6" x14ac:dyDescent="0.2">
      <c r="A13" s="2" t="s">
        <v>5531</v>
      </c>
      <c r="B13" s="3">
        <v>45958</v>
      </c>
      <c r="C13" s="2" t="s">
        <v>5508</v>
      </c>
      <c r="D13" s="2" t="s">
        <v>5509</v>
      </c>
      <c r="E13" s="2" t="s">
        <v>5505</v>
      </c>
      <c r="F13" s="2" t="s">
        <v>5532</v>
      </c>
    </row>
    <row r="14" spans="1:6" x14ac:dyDescent="0.2">
      <c r="A14" s="2" t="s">
        <v>5533</v>
      </c>
      <c r="B14" s="3">
        <v>45982</v>
      </c>
      <c r="C14" s="2" t="s">
        <v>5508</v>
      </c>
      <c r="D14" s="2" t="s">
        <v>5509</v>
      </c>
      <c r="E14" s="2" t="s">
        <v>5070</v>
      </c>
      <c r="F14" s="2" t="s">
        <v>5534</v>
      </c>
    </row>
    <row r="15" spans="1:6" x14ac:dyDescent="0.2">
      <c r="A15" s="2" t="s">
        <v>5535</v>
      </c>
      <c r="B15" s="3">
        <v>46052</v>
      </c>
      <c r="C15" s="2" t="s">
        <v>5524</v>
      </c>
      <c r="D15" s="2" t="s">
        <v>5525</v>
      </c>
      <c r="E15" s="2" t="s">
        <v>5505</v>
      </c>
      <c r="F15" s="2" t="s">
        <v>5536</v>
      </c>
    </row>
    <row r="16" spans="1:6" x14ac:dyDescent="0.2">
      <c r="A16" s="2" t="s">
        <v>5537</v>
      </c>
      <c r="B16" s="3">
        <v>46060</v>
      </c>
      <c r="C16" s="2" t="s">
        <v>5515</v>
      </c>
      <c r="D16" s="2" t="s">
        <v>5516</v>
      </c>
      <c r="E16" s="2" t="s">
        <v>5070</v>
      </c>
      <c r="F16" s="2" t="s">
        <v>5513</v>
      </c>
    </row>
    <row r="17" spans="1:6" x14ac:dyDescent="0.2">
      <c r="A17" s="2" t="s">
        <v>5538</v>
      </c>
      <c r="B17" s="3">
        <v>46037</v>
      </c>
      <c r="C17" s="2" t="s">
        <v>5498</v>
      </c>
      <c r="D17" s="2" t="s">
        <v>5499</v>
      </c>
      <c r="E17" s="2" t="s">
        <v>5070</v>
      </c>
      <c r="F17" s="2" t="s">
        <v>5536</v>
      </c>
    </row>
    <row r="18" spans="1:6" x14ac:dyDescent="0.2">
      <c r="A18" s="2" t="s">
        <v>5539</v>
      </c>
      <c r="B18" s="3">
        <v>45978</v>
      </c>
      <c r="C18" s="2" t="s">
        <v>5515</v>
      </c>
      <c r="D18" s="2" t="s">
        <v>5516</v>
      </c>
      <c r="E18" s="2" t="s">
        <v>5070</v>
      </c>
      <c r="F18" s="2" t="s">
        <v>5510</v>
      </c>
    </row>
    <row r="19" spans="1:6" x14ac:dyDescent="0.2">
      <c r="A19" s="2" t="s">
        <v>5540</v>
      </c>
      <c r="B19" s="3">
        <v>46054</v>
      </c>
      <c r="C19" s="2" t="s">
        <v>5524</v>
      </c>
      <c r="D19" s="2" t="s">
        <v>5530</v>
      </c>
      <c r="E19" s="2" t="s">
        <v>5500</v>
      </c>
      <c r="F19" s="2" t="s">
        <v>5541</v>
      </c>
    </row>
    <row r="20" spans="1:6" x14ac:dyDescent="0.2">
      <c r="A20" s="2" t="s">
        <v>5542</v>
      </c>
      <c r="B20" s="3">
        <v>46050</v>
      </c>
      <c r="C20" s="2" t="s">
        <v>5515</v>
      </c>
      <c r="D20" s="2" t="s">
        <v>5516</v>
      </c>
      <c r="E20" s="2" t="s">
        <v>5517</v>
      </c>
      <c r="F20" s="2" t="s">
        <v>5506</v>
      </c>
    </row>
    <row r="21" spans="1:6" x14ac:dyDescent="0.2">
      <c r="A21" s="2" t="s">
        <v>5543</v>
      </c>
      <c r="B21" s="3">
        <v>45985</v>
      </c>
      <c r="C21" s="2" t="s">
        <v>5508</v>
      </c>
      <c r="D21" s="2" t="s">
        <v>5509</v>
      </c>
      <c r="E21" s="2" t="s">
        <v>5505</v>
      </c>
      <c r="F21" s="2" t="s">
        <v>5532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1"/>
  <sheetViews>
    <sheetView showGridLines="0" tabSelected="1" workbookViewId="0">
      <selection activeCell="F1" sqref="F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8" customWidth="1"/>
    <col min="4" max="4" width="10" customWidth="1"/>
    <col min="5" max="5" width="70" customWidth="1"/>
    <col min="6" max="6" width="24" customWidth="1"/>
    <col min="7" max="7" width="34" customWidth="1"/>
  </cols>
  <sheetData>
    <row r="1" spans="1:7" ht="22" customHeight="1" x14ac:dyDescent="0.2">
      <c r="A1" s="1" t="s">
        <v>5544</v>
      </c>
      <c r="B1" s="1" t="s">
        <v>5545</v>
      </c>
      <c r="C1" s="1" t="s">
        <v>5697</v>
      </c>
      <c r="D1" s="1" t="s">
        <v>13</v>
      </c>
      <c r="E1" s="1" t="s">
        <v>5546</v>
      </c>
      <c r="F1" s="1" t="s">
        <v>5698</v>
      </c>
      <c r="G1" s="1" t="s">
        <v>0</v>
      </c>
    </row>
    <row r="2" spans="1:7" x14ac:dyDescent="0.2">
      <c r="A2" s="2" t="s">
        <v>5547</v>
      </c>
      <c r="B2" s="2" t="s">
        <v>5500</v>
      </c>
      <c r="C2" s="2" t="s">
        <v>5548</v>
      </c>
      <c r="D2" s="2" t="s">
        <v>3727</v>
      </c>
      <c r="E2" s="2" t="s">
        <v>5549</v>
      </c>
      <c r="F2" s="2" t="s">
        <v>5688</v>
      </c>
      <c r="G2" s="2" t="s">
        <v>5550</v>
      </c>
    </row>
    <row r="3" spans="1:7" x14ac:dyDescent="0.2">
      <c r="A3" s="2" t="s">
        <v>5551</v>
      </c>
      <c r="B3" s="2" t="s">
        <v>5500</v>
      </c>
      <c r="C3" s="2" t="s">
        <v>5552</v>
      </c>
      <c r="D3" s="2" t="s">
        <v>3408</v>
      </c>
      <c r="E3" s="2" t="s">
        <v>5549</v>
      </c>
      <c r="F3" s="2" t="s">
        <v>5688</v>
      </c>
      <c r="G3" s="2" t="s">
        <v>5550</v>
      </c>
    </row>
    <row r="4" spans="1:7" x14ac:dyDescent="0.2">
      <c r="A4" s="2" t="s">
        <v>5553</v>
      </c>
      <c r="B4" s="2" t="s">
        <v>5554</v>
      </c>
      <c r="C4" s="2" t="s">
        <v>5555</v>
      </c>
      <c r="D4" s="2" t="s">
        <v>3999</v>
      </c>
      <c r="E4" s="2" t="s">
        <v>5556</v>
      </c>
      <c r="F4" s="2" t="s">
        <v>4822</v>
      </c>
      <c r="G4" s="2" t="s">
        <v>4822</v>
      </c>
    </row>
    <row r="5" spans="1:7" x14ac:dyDescent="0.2">
      <c r="A5" s="2" t="s">
        <v>5557</v>
      </c>
      <c r="B5" s="2" t="s">
        <v>5500</v>
      </c>
      <c r="C5" s="2" t="s">
        <v>5558</v>
      </c>
      <c r="D5" s="2" t="s">
        <v>3244</v>
      </c>
      <c r="E5" s="2" t="s">
        <v>5559</v>
      </c>
      <c r="F5" s="2" t="s">
        <v>5699</v>
      </c>
      <c r="G5" s="2" t="s">
        <v>5560</v>
      </c>
    </row>
    <row r="6" spans="1:7" x14ac:dyDescent="0.2">
      <c r="A6" s="2" t="s">
        <v>5561</v>
      </c>
      <c r="B6" s="2" t="s">
        <v>5500</v>
      </c>
      <c r="C6" s="2" t="s">
        <v>5562</v>
      </c>
      <c r="D6" s="2" t="s">
        <v>1473</v>
      </c>
      <c r="E6" s="2" t="s">
        <v>5563</v>
      </c>
      <c r="F6" s="2" t="s">
        <v>22</v>
      </c>
      <c r="G6" s="2" t="s">
        <v>5564</v>
      </c>
    </row>
    <row r="7" spans="1:7" x14ac:dyDescent="0.2">
      <c r="A7" s="2" t="s">
        <v>5565</v>
      </c>
      <c r="B7" s="2" t="s">
        <v>5554</v>
      </c>
      <c r="C7" s="2" t="s">
        <v>5566</v>
      </c>
      <c r="D7" s="2" t="s">
        <v>3501</v>
      </c>
      <c r="E7" s="2" t="s">
        <v>5567</v>
      </c>
      <c r="F7" s="2" t="s">
        <v>4817</v>
      </c>
      <c r="G7" s="2" t="s">
        <v>5568</v>
      </c>
    </row>
    <row r="8" spans="1:7" x14ac:dyDescent="0.2">
      <c r="A8" s="2" t="s">
        <v>5569</v>
      </c>
      <c r="B8" s="2" t="s">
        <v>5500</v>
      </c>
      <c r="C8" s="2" t="s">
        <v>5570</v>
      </c>
      <c r="D8" s="2" t="s">
        <v>2615</v>
      </c>
      <c r="E8" s="2" t="s">
        <v>5559</v>
      </c>
      <c r="F8" s="2" t="s">
        <v>5699</v>
      </c>
      <c r="G8" s="2" t="s">
        <v>5560</v>
      </c>
    </row>
    <row r="9" spans="1:7" x14ac:dyDescent="0.2">
      <c r="A9" s="2" t="s">
        <v>5571</v>
      </c>
      <c r="B9" s="2" t="s">
        <v>5500</v>
      </c>
      <c r="C9" s="2" t="s">
        <v>5572</v>
      </c>
      <c r="D9" s="2" t="s">
        <v>1795</v>
      </c>
      <c r="E9" s="2" t="s">
        <v>5573</v>
      </c>
      <c r="F9" s="2" t="s">
        <v>25</v>
      </c>
      <c r="G9" s="2" t="s">
        <v>5574</v>
      </c>
    </row>
    <row r="10" spans="1:7" x14ac:dyDescent="0.2">
      <c r="A10" s="2" t="s">
        <v>5575</v>
      </c>
      <c r="B10" s="2" t="s">
        <v>5500</v>
      </c>
      <c r="C10" s="2" t="s">
        <v>5576</v>
      </c>
      <c r="D10" s="2" t="s">
        <v>510</v>
      </c>
      <c r="E10" s="2" t="s">
        <v>5573</v>
      </c>
      <c r="F10" s="2" t="s">
        <v>25</v>
      </c>
      <c r="G10" s="2" t="s">
        <v>5574</v>
      </c>
    </row>
    <row r="11" spans="1:7" x14ac:dyDescent="0.2">
      <c r="A11" s="2" t="s">
        <v>5577</v>
      </c>
      <c r="B11" s="2" t="s">
        <v>5500</v>
      </c>
      <c r="C11" s="2" t="s">
        <v>5578</v>
      </c>
      <c r="D11" s="2" t="s">
        <v>3223</v>
      </c>
      <c r="E11" s="2" t="s">
        <v>5563</v>
      </c>
      <c r="F11" s="2" t="s">
        <v>22</v>
      </c>
      <c r="G11" s="2" t="s">
        <v>5564</v>
      </c>
    </row>
    <row r="12" spans="1:7" x14ac:dyDescent="0.2">
      <c r="A12" s="2" t="s">
        <v>5579</v>
      </c>
      <c r="B12" s="2" t="s">
        <v>5500</v>
      </c>
      <c r="C12" s="2" t="s">
        <v>5580</v>
      </c>
      <c r="D12" s="2" t="s">
        <v>3634</v>
      </c>
      <c r="E12" s="2" t="s">
        <v>5559</v>
      </c>
      <c r="F12" s="2" t="s">
        <v>5699</v>
      </c>
      <c r="G12" s="2" t="s">
        <v>5560</v>
      </c>
    </row>
    <row r="13" spans="1:7" x14ac:dyDescent="0.2">
      <c r="A13" s="2" t="s">
        <v>5581</v>
      </c>
      <c r="B13" s="2" t="s">
        <v>5554</v>
      </c>
      <c r="C13" s="2" t="s">
        <v>5582</v>
      </c>
      <c r="D13" s="2" t="s">
        <v>2839</v>
      </c>
      <c r="E13" s="2" t="s">
        <v>5567</v>
      </c>
      <c r="F13" s="2" t="s">
        <v>4817</v>
      </c>
      <c r="G13" s="2" t="s">
        <v>5568</v>
      </c>
    </row>
    <row r="14" spans="1:7" x14ac:dyDescent="0.2">
      <c r="A14" s="2" t="s">
        <v>5583</v>
      </c>
      <c r="B14" s="2" t="s">
        <v>5500</v>
      </c>
      <c r="C14" s="2" t="s">
        <v>5584</v>
      </c>
      <c r="D14" s="2" t="s">
        <v>92</v>
      </c>
      <c r="E14" s="2" t="s">
        <v>5559</v>
      </c>
      <c r="F14" s="2" t="s">
        <v>5699</v>
      </c>
      <c r="G14" s="2" t="s">
        <v>5560</v>
      </c>
    </row>
    <row r="15" spans="1:7" x14ac:dyDescent="0.2">
      <c r="A15" s="2" t="s">
        <v>5585</v>
      </c>
      <c r="B15" s="2" t="s">
        <v>5500</v>
      </c>
      <c r="C15" s="2" t="s">
        <v>5586</v>
      </c>
      <c r="D15" s="2" t="s">
        <v>874</v>
      </c>
      <c r="E15" s="2" t="s">
        <v>5573</v>
      </c>
      <c r="F15" s="2" t="s">
        <v>25</v>
      </c>
      <c r="G15" s="2" t="s">
        <v>5574</v>
      </c>
    </row>
    <row r="16" spans="1:7" x14ac:dyDescent="0.2">
      <c r="A16" s="2" t="s">
        <v>5587</v>
      </c>
      <c r="B16" s="2" t="s">
        <v>5554</v>
      </c>
      <c r="C16" s="2" t="s">
        <v>5588</v>
      </c>
      <c r="D16" s="2" t="s">
        <v>3431</v>
      </c>
      <c r="E16" s="2" t="s">
        <v>5567</v>
      </c>
      <c r="F16" s="2" t="s">
        <v>4817</v>
      </c>
      <c r="G16" s="2" t="s">
        <v>5568</v>
      </c>
    </row>
    <row r="17" spans="1:7" x14ac:dyDescent="0.2">
      <c r="A17" s="2" t="s">
        <v>5589</v>
      </c>
      <c r="B17" s="2" t="s">
        <v>5554</v>
      </c>
      <c r="C17" s="2" t="s">
        <v>5590</v>
      </c>
      <c r="D17" s="2" t="s">
        <v>3102</v>
      </c>
      <c r="E17" s="2" t="s">
        <v>5567</v>
      </c>
      <c r="F17" s="2" t="s">
        <v>4817</v>
      </c>
      <c r="G17" s="2" t="s">
        <v>5568</v>
      </c>
    </row>
    <row r="18" spans="1:7" x14ac:dyDescent="0.2">
      <c r="A18" s="2" t="s">
        <v>5591</v>
      </c>
      <c r="B18" s="2" t="s">
        <v>5500</v>
      </c>
      <c r="C18" s="2" t="s">
        <v>5592</v>
      </c>
      <c r="D18" s="2" t="s">
        <v>1753</v>
      </c>
      <c r="E18" s="2" t="s">
        <v>5573</v>
      </c>
      <c r="F18" s="2" t="s">
        <v>25</v>
      </c>
      <c r="G18" s="2" t="s">
        <v>5574</v>
      </c>
    </row>
    <row r="19" spans="1:7" x14ac:dyDescent="0.2">
      <c r="A19" s="2" t="s">
        <v>5593</v>
      </c>
      <c r="B19" s="2" t="s">
        <v>5500</v>
      </c>
      <c r="C19" s="2" t="s">
        <v>5594</v>
      </c>
      <c r="D19" s="2" t="s">
        <v>277</v>
      </c>
      <c r="E19" s="2" t="s">
        <v>5595</v>
      </c>
      <c r="F19" s="2" t="s">
        <v>4818</v>
      </c>
      <c r="G19" s="2" t="s">
        <v>5596</v>
      </c>
    </row>
    <row r="20" spans="1:7" x14ac:dyDescent="0.2">
      <c r="A20" s="2" t="s">
        <v>5597</v>
      </c>
      <c r="B20" s="2" t="s">
        <v>5500</v>
      </c>
      <c r="C20" s="2" t="s">
        <v>5598</v>
      </c>
      <c r="D20" s="2" t="s">
        <v>2887</v>
      </c>
      <c r="E20" s="2" t="s">
        <v>5559</v>
      </c>
      <c r="F20" s="2" t="s">
        <v>5699</v>
      </c>
      <c r="G20" s="2" t="s">
        <v>5560</v>
      </c>
    </row>
    <row r="21" spans="1:7" x14ac:dyDescent="0.2">
      <c r="A21" s="2" t="s">
        <v>5599</v>
      </c>
      <c r="B21" s="2" t="s">
        <v>5500</v>
      </c>
      <c r="C21" s="2" t="s">
        <v>5600</v>
      </c>
      <c r="D21" s="2" t="s">
        <v>3176</v>
      </c>
      <c r="E21" s="2" t="s">
        <v>5601</v>
      </c>
      <c r="F21" s="2" t="s">
        <v>23</v>
      </c>
      <c r="G21" s="2" t="s">
        <v>5348</v>
      </c>
    </row>
    <row r="22" spans="1:7" x14ac:dyDescent="0.2">
      <c r="A22" s="2" t="s">
        <v>5602</v>
      </c>
      <c r="B22" s="2" t="s">
        <v>5500</v>
      </c>
      <c r="C22" s="2" t="s">
        <v>5603</v>
      </c>
      <c r="D22" s="2" t="s">
        <v>2766</v>
      </c>
      <c r="E22" s="2" t="s">
        <v>5559</v>
      </c>
      <c r="F22" s="2" t="s">
        <v>5699</v>
      </c>
      <c r="G22" s="2" t="s">
        <v>5560</v>
      </c>
    </row>
    <row r="23" spans="1:7" x14ac:dyDescent="0.2">
      <c r="A23" s="2" t="s">
        <v>5604</v>
      </c>
      <c r="B23" s="2" t="s">
        <v>5500</v>
      </c>
      <c r="C23" s="2" t="s">
        <v>5605</v>
      </c>
      <c r="D23" s="2" t="s">
        <v>4557</v>
      </c>
      <c r="E23" s="2" t="s">
        <v>5606</v>
      </c>
      <c r="F23" s="2" t="s">
        <v>5607</v>
      </c>
      <c r="G23" s="2" t="s">
        <v>5607</v>
      </c>
    </row>
    <row r="24" spans="1:7" x14ac:dyDescent="0.2">
      <c r="A24" s="2" t="s">
        <v>5608</v>
      </c>
      <c r="B24" s="2" t="s">
        <v>5500</v>
      </c>
      <c r="C24" s="2" t="s">
        <v>5609</v>
      </c>
      <c r="D24" s="2" t="s">
        <v>2947</v>
      </c>
      <c r="E24" s="2" t="s">
        <v>5559</v>
      </c>
      <c r="F24" s="2" t="s">
        <v>5699</v>
      </c>
      <c r="G24" s="2" t="s">
        <v>5560</v>
      </c>
    </row>
    <row r="25" spans="1:7" x14ac:dyDescent="0.2">
      <c r="A25" s="2" t="s">
        <v>5610</v>
      </c>
      <c r="B25" s="2" t="s">
        <v>5500</v>
      </c>
      <c r="C25" s="2" t="s">
        <v>5611</v>
      </c>
      <c r="D25" s="2" t="s">
        <v>2398</v>
      </c>
      <c r="E25" s="2" t="s">
        <v>5549</v>
      </c>
      <c r="F25" s="2" t="s">
        <v>5688</v>
      </c>
      <c r="G25" s="2" t="s">
        <v>5550</v>
      </c>
    </row>
    <row r="26" spans="1:7" x14ac:dyDescent="0.2">
      <c r="A26" s="2" t="s">
        <v>5612</v>
      </c>
      <c r="B26" s="2" t="s">
        <v>5500</v>
      </c>
      <c r="C26" s="2" t="s">
        <v>5613</v>
      </c>
      <c r="D26" s="2" t="s">
        <v>2682</v>
      </c>
      <c r="E26" s="2" t="s">
        <v>5573</v>
      </c>
      <c r="F26" s="2" t="s">
        <v>25</v>
      </c>
      <c r="G26" s="2" t="s">
        <v>5574</v>
      </c>
    </row>
    <row r="27" spans="1:7" x14ac:dyDescent="0.2">
      <c r="A27" s="2" t="s">
        <v>5614</v>
      </c>
      <c r="B27" s="2" t="s">
        <v>5500</v>
      </c>
      <c r="C27" s="2" t="s">
        <v>5615</v>
      </c>
      <c r="D27" s="2" t="s">
        <v>2106</v>
      </c>
      <c r="E27" s="2" t="s">
        <v>5606</v>
      </c>
      <c r="F27" s="2" t="s">
        <v>5607</v>
      </c>
      <c r="G27" s="2" t="s">
        <v>5607</v>
      </c>
    </row>
    <row r="28" spans="1:7" x14ac:dyDescent="0.2">
      <c r="A28" s="2" t="s">
        <v>5616</v>
      </c>
      <c r="B28" s="2" t="s">
        <v>5500</v>
      </c>
      <c r="C28" s="2" t="s">
        <v>5617</v>
      </c>
      <c r="D28" s="2" t="s">
        <v>219</v>
      </c>
      <c r="E28" s="2" t="s">
        <v>5549</v>
      </c>
      <c r="F28" s="2" t="s">
        <v>5688</v>
      </c>
      <c r="G28" s="2" t="s">
        <v>5550</v>
      </c>
    </row>
    <row r="29" spans="1:7" x14ac:dyDescent="0.2">
      <c r="A29" s="2" t="s">
        <v>5618</v>
      </c>
      <c r="B29" s="2" t="s">
        <v>5500</v>
      </c>
      <c r="C29" s="2" t="s">
        <v>5619</v>
      </c>
      <c r="D29" s="2" t="s">
        <v>4534</v>
      </c>
      <c r="E29" s="2" t="s">
        <v>5549</v>
      </c>
      <c r="F29" s="2" t="s">
        <v>5688</v>
      </c>
      <c r="G29" s="2" t="s">
        <v>5550</v>
      </c>
    </row>
    <row r="30" spans="1:7" x14ac:dyDescent="0.2">
      <c r="A30" s="2" t="s">
        <v>5620</v>
      </c>
      <c r="B30" s="2" t="s">
        <v>5500</v>
      </c>
      <c r="C30" s="2" t="s">
        <v>5621</v>
      </c>
      <c r="D30" s="2" t="s">
        <v>1203</v>
      </c>
      <c r="E30" s="2" t="s">
        <v>5559</v>
      </c>
      <c r="F30" s="2" t="s">
        <v>5699</v>
      </c>
      <c r="G30" s="2" t="s">
        <v>5560</v>
      </c>
    </row>
    <row r="31" spans="1:7" x14ac:dyDescent="0.2">
      <c r="A31" s="2" t="s">
        <v>5622</v>
      </c>
      <c r="B31" s="2" t="s">
        <v>5500</v>
      </c>
      <c r="C31" s="2" t="s">
        <v>5623</v>
      </c>
      <c r="D31" s="2" t="s">
        <v>2493</v>
      </c>
      <c r="E31" s="2" t="s">
        <v>5601</v>
      </c>
      <c r="F31" s="2" t="s">
        <v>23</v>
      </c>
      <c r="G31" s="2" t="s">
        <v>5348</v>
      </c>
    </row>
    <row r="32" spans="1:7" x14ac:dyDescent="0.2">
      <c r="A32" s="2" t="s">
        <v>5624</v>
      </c>
      <c r="B32" s="2" t="s">
        <v>5500</v>
      </c>
      <c r="C32" s="2" t="s">
        <v>5625</v>
      </c>
      <c r="D32" s="2" t="s">
        <v>3875</v>
      </c>
      <c r="E32" s="2" t="s">
        <v>5606</v>
      </c>
      <c r="F32" s="2" t="s">
        <v>5607</v>
      </c>
      <c r="G32" s="2" t="s">
        <v>5607</v>
      </c>
    </row>
    <row r="33" spans="1:7" x14ac:dyDescent="0.2">
      <c r="A33" s="2" t="s">
        <v>5626</v>
      </c>
      <c r="B33" s="2" t="s">
        <v>5500</v>
      </c>
      <c r="C33" s="2" t="s">
        <v>5627</v>
      </c>
      <c r="D33" s="2" t="s">
        <v>3068</v>
      </c>
      <c r="E33" s="2" t="s">
        <v>5606</v>
      </c>
      <c r="F33" s="2" t="s">
        <v>5607</v>
      </c>
      <c r="G33" s="2" t="s">
        <v>5607</v>
      </c>
    </row>
    <row r="34" spans="1:7" x14ac:dyDescent="0.2">
      <c r="A34" s="2" t="s">
        <v>5628</v>
      </c>
      <c r="B34" s="2" t="s">
        <v>5500</v>
      </c>
      <c r="C34" s="2" t="s">
        <v>5629</v>
      </c>
      <c r="D34" s="2" t="s">
        <v>4032</v>
      </c>
      <c r="E34" s="2" t="s">
        <v>5601</v>
      </c>
      <c r="F34" s="2" t="s">
        <v>23</v>
      </c>
      <c r="G34" s="2" t="s">
        <v>5348</v>
      </c>
    </row>
    <row r="35" spans="1:7" x14ac:dyDescent="0.2">
      <c r="A35" s="2" t="s">
        <v>5630</v>
      </c>
      <c r="B35" s="2" t="s">
        <v>5554</v>
      </c>
      <c r="C35" s="2" t="s">
        <v>5631</v>
      </c>
      <c r="D35" s="2" t="s">
        <v>2810</v>
      </c>
      <c r="E35" s="2" t="s">
        <v>5567</v>
      </c>
      <c r="F35" s="2" t="s">
        <v>4817</v>
      </c>
      <c r="G35" s="2" t="s">
        <v>5568</v>
      </c>
    </row>
    <row r="36" spans="1:7" x14ac:dyDescent="0.2">
      <c r="A36" s="2" t="s">
        <v>5632</v>
      </c>
      <c r="B36" s="2" t="s">
        <v>5500</v>
      </c>
      <c r="C36" s="2" t="s">
        <v>5633</v>
      </c>
      <c r="D36" s="2" t="s">
        <v>1386</v>
      </c>
      <c r="E36" s="2" t="s">
        <v>5601</v>
      </c>
      <c r="F36" s="2" t="s">
        <v>23</v>
      </c>
      <c r="G36" s="2" t="s">
        <v>5348</v>
      </c>
    </row>
    <row r="37" spans="1:7" x14ac:dyDescent="0.2">
      <c r="A37" s="2" t="s">
        <v>5634</v>
      </c>
      <c r="B37" s="2" t="s">
        <v>5500</v>
      </c>
      <c r="C37" s="2" t="s">
        <v>5635</v>
      </c>
      <c r="D37" s="2" t="s">
        <v>1078</v>
      </c>
      <c r="E37" s="2" t="s">
        <v>5549</v>
      </c>
      <c r="F37" s="2" t="s">
        <v>5688</v>
      </c>
      <c r="G37" s="2" t="s">
        <v>5550</v>
      </c>
    </row>
    <row r="38" spans="1:7" x14ac:dyDescent="0.2">
      <c r="A38" s="2" t="s">
        <v>5636</v>
      </c>
      <c r="B38" s="2" t="s">
        <v>5500</v>
      </c>
      <c r="C38" s="2" t="s">
        <v>5637</v>
      </c>
      <c r="D38" s="2" t="s">
        <v>548</v>
      </c>
      <c r="E38" s="2" t="s">
        <v>5559</v>
      </c>
      <c r="F38" s="2" t="s">
        <v>5699</v>
      </c>
      <c r="G38" s="2" t="s">
        <v>5560</v>
      </c>
    </row>
    <row r="39" spans="1:7" x14ac:dyDescent="0.2">
      <c r="A39" s="2" t="s">
        <v>5638</v>
      </c>
      <c r="B39" s="2" t="s">
        <v>5500</v>
      </c>
      <c r="C39" s="2" t="s">
        <v>5639</v>
      </c>
      <c r="D39" s="2" t="s">
        <v>3903</v>
      </c>
      <c r="E39" s="2" t="s">
        <v>5573</v>
      </c>
      <c r="F39" s="2" t="s">
        <v>25</v>
      </c>
      <c r="G39" s="2" t="s">
        <v>5574</v>
      </c>
    </row>
    <row r="40" spans="1:7" x14ac:dyDescent="0.2">
      <c r="A40" s="2" t="s">
        <v>5640</v>
      </c>
      <c r="B40" s="2" t="s">
        <v>5500</v>
      </c>
      <c r="C40" s="2" t="s">
        <v>5641</v>
      </c>
      <c r="D40" s="2" t="s">
        <v>2256</v>
      </c>
      <c r="E40" s="2" t="s">
        <v>5559</v>
      </c>
      <c r="F40" s="2" t="s">
        <v>5699</v>
      </c>
      <c r="G40" s="2" t="s">
        <v>5560</v>
      </c>
    </row>
    <row r="41" spans="1:7" x14ac:dyDescent="0.2">
      <c r="A41" s="2" t="s">
        <v>5642</v>
      </c>
      <c r="B41" s="2" t="s">
        <v>5554</v>
      </c>
      <c r="C41" s="2" t="s">
        <v>5643</v>
      </c>
      <c r="D41" s="2" t="s">
        <v>293</v>
      </c>
      <c r="E41" s="2" t="s">
        <v>5556</v>
      </c>
      <c r="F41" s="2" t="s">
        <v>4822</v>
      </c>
      <c r="G41" s="2" t="s">
        <v>4822</v>
      </c>
    </row>
    <row r="42" spans="1:7" x14ac:dyDescent="0.2">
      <c r="A42" s="2" t="s">
        <v>5644</v>
      </c>
      <c r="B42" s="2" t="s">
        <v>5554</v>
      </c>
      <c r="C42" s="2" t="s">
        <v>5645</v>
      </c>
      <c r="D42" s="2" t="s">
        <v>4651</v>
      </c>
      <c r="E42" s="2" t="s">
        <v>5567</v>
      </c>
      <c r="F42" s="2" t="s">
        <v>4817</v>
      </c>
      <c r="G42" s="2" t="s">
        <v>5568</v>
      </c>
    </row>
    <row r="43" spans="1:7" x14ac:dyDescent="0.2">
      <c r="A43" s="2" t="s">
        <v>5646</v>
      </c>
      <c r="B43" s="2" t="s">
        <v>5554</v>
      </c>
      <c r="C43" s="2" t="s">
        <v>5647</v>
      </c>
      <c r="D43" s="2" t="s">
        <v>2088</v>
      </c>
      <c r="E43" s="2" t="s">
        <v>5567</v>
      </c>
      <c r="F43" s="2" t="s">
        <v>4817</v>
      </c>
      <c r="G43" s="2" t="s">
        <v>5568</v>
      </c>
    </row>
    <row r="44" spans="1:7" x14ac:dyDescent="0.2">
      <c r="A44" s="2" t="s">
        <v>5648</v>
      </c>
      <c r="B44" s="2" t="s">
        <v>5500</v>
      </c>
      <c r="C44" s="2" t="s">
        <v>5649</v>
      </c>
      <c r="D44" s="2" t="s">
        <v>4506</v>
      </c>
      <c r="E44" s="2" t="s">
        <v>5595</v>
      </c>
      <c r="F44" s="2" t="s">
        <v>4818</v>
      </c>
      <c r="G44" s="2" t="s">
        <v>5596</v>
      </c>
    </row>
    <row r="45" spans="1:7" x14ac:dyDescent="0.2">
      <c r="A45" s="2" t="s">
        <v>5650</v>
      </c>
      <c r="B45" s="2" t="s">
        <v>5500</v>
      </c>
      <c r="C45" s="2" t="s">
        <v>5651</v>
      </c>
      <c r="D45" s="2" t="s">
        <v>4481</v>
      </c>
      <c r="E45" s="2" t="s">
        <v>5595</v>
      </c>
      <c r="F45" s="2" t="s">
        <v>4818</v>
      </c>
      <c r="G45" s="2" t="s">
        <v>5596</v>
      </c>
    </row>
    <row r="46" spans="1:7" x14ac:dyDescent="0.2">
      <c r="A46" s="2" t="s">
        <v>5652</v>
      </c>
      <c r="B46" s="2" t="s">
        <v>5500</v>
      </c>
      <c r="C46" s="2" t="s">
        <v>5653</v>
      </c>
      <c r="D46" s="2" t="s">
        <v>4143</v>
      </c>
      <c r="E46" s="2" t="s">
        <v>5606</v>
      </c>
      <c r="F46" s="2" t="s">
        <v>5607</v>
      </c>
      <c r="G46" s="2" t="s">
        <v>5607</v>
      </c>
    </row>
    <row r="47" spans="1:7" x14ac:dyDescent="0.2">
      <c r="A47" s="2" t="s">
        <v>5654</v>
      </c>
      <c r="B47" s="2" t="s">
        <v>5554</v>
      </c>
      <c r="C47" s="2" t="s">
        <v>5655</v>
      </c>
      <c r="D47" s="2" t="s">
        <v>1649</v>
      </c>
      <c r="E47" s="2" t="s">
        <v>5556</v>
      </c>
      <c r="F47" s="2" t="s">
        <v>4822</v>
      </c>
      <c r="G47" s="2" t="s">
        <v>4822</v>
      </c>
    </row>
    <row r="48" spans="1:7" x14ac:dyDescent="0.2">
      <c r="A48" s="2" t="s">
        <v>5656</v>
      </c>
      <c r="B48" s="2" t="s">
        <v>5500</v>
      </c>
      <c r="C48" s="2" t="s">
        <v>5657</v>
      </c>
      <c r="D48" s="2" t="s">
        <v>2899</v>
      </c>
      <c r="E48" s="2" t="s">
        <v>5559</v>
      </c>
      <c r="F48" s="2" t="s">
        <v>5699</v>
      </c>
      <c r="G48" s="2" t="s">
        <v>5560</v>
      </c>
    </row>
    <row r="49" spans="1:7" x14ac:dyDescent="0.2">
      <c r="A49" s="2" t="s">
        <v>5658</v>
      </c>
      <c r="B49" s="2" t="s">
        <v>5500</v>
      </c>
      <c r="C49" s="2" t="s">
        <v>5659</v>
      </c>
      <c r="D49" s="2" t="s">
        <v>436</v>
      </c>
      <c r="E49" s="2" t="s">
        <v>5601</v>
      </c>
      <c r="F49" s="2" t="s">
        <v>23</v>
      </c>
      <c r="G49" s="2" t="s">
        <v>5348</v>
      </c>
    </row>
    <row r="50" spans="1:7" x14ac:dyDescent="0.2">
      <c r="A50" s="2" t="s">
        <v>5660</v>
      </c>
      <c r="B50" s="2" t="s">
        <v>5500</v>
      </c>
      <c r="C50" s="2" t="s">
        <v>5661</v>
      </c>
      <c r="D50" s="2" t="s">
        <v>2865</v>
      </c>
      <c r="E50" s="2" t="s">
        <v>5606</v>
      </c>
      <c r="F50" s="2" t="s">
        <v>5607</v>
      </c>
      <c r="G50" s="2" t="s">
        <v>5607</v>
      </c>
    </row>
    <row r="51" spans="1:7" x14ac:dyDescent="0.2">
      <c r="A51" s="2" t="s">
        <v>5662</v>
      </c>
      <c r="B51" s="2" t="s">
        <v>5500</v>
      </c>
      <c r="C51" s="2" t="s">
        <v>5663</v>
      </c>
      <c r="D51" s="2" t="s">
        <v>2983</v>
      </c>
      <c r="E51" s="2" t="s">
        <v>5601</v>
      </c>
      <c r="F51" s="2" t="s">
        <v>23</v>
      </c>
      <c r="G51" s="2" t="s">
        <v>5348</v>
      </c>
    </row>
    <row r="52" spans="1:7" x14ac:dyDescent="0.2">
      <c r="A52" s="2" t="s">
        <v>5664</v>
      </c>
      <c r="B52" s="2" t="s">
        <v>5500</v>
      </c>
      <c r="C52" s="2" t="s">
        <v>5665</v>
      </c>
      <c r="D52" s="2" t="s">
        <v>3727</v>
      </c>
      <c r="E52" s="2" t="s">
        <v>5549</v>
      </c>
      <c r="F52" s="2" t="s">
        <v>5688</v>
      </c>
      <c r="G52" s="2" t="s">
        <v>5550</v>
      </c>
    </row>
    <row r="53" spans="1:7" x14ac:dyDescent="0.2">
      <c r="A53" s="2" t="s">
        <v>5666</v>
      </c>
      <c r="B53" s="2" t="s">
        <v>5500</v>
      </c>
      <c r="C53" s="2" t="s">
        <v>5667</v>
      </c>
      <c r="D53" s="2" t="s">
        <v>3408</v>
      </c>
      <c r="E53" s="2" t="s">
        <v>5606</v>
      </c>
      <c r="F53" s="2" t="s">
        <v>5607</v>
      </c>
      <c r="G53" s="2" t="s">
        <v>5607</v>
      </c>
    </row>
    <row r="54" spans="1:7" x14ac:dyDescent="0.2">
      <c r="A54" s="2" t="s">
        <v>5668</v>
      </c>
      <c r="B54" s="2" t="s">
        <v>5554</v>
      </c>
      <c r="C54" s="2" t="s">
        <v>5669</v>
      </c>
      <c r="D54" s="2" t="s">
        <v>3999</v>
      </c>
      <c r="E54" s="2" t="s">
        <v>5567</v>
      </c>
      <c r="F54" s="2" t="s">
        <v>4817</v>
      </c>
      <c r="G54" s="2" t="s">
        <v>5568</v>
      </c>
    </row>
    <row r="55" spans="1:7" x14ac:dyDescent="0.2">
      <c r="A55" s="2" t="s">
        <v>5670</v>
      </c>
      <c r="B55" s="2" t="s">
        <v>5500</v>
      </c>
      <c r="C55" s="2" t="s">
        <v>5671</v>
      </c>
      <c r="D55" s="2" t="s">
        <v>3244</v>
      </c>
      <c r="E55" s="2" t="s">
        <v>5549</v>
      </c>
      <c r="F55" s="2" t="s">
        <v>5688</v>
      </c>
      <c r="G55" s="2" t="s">
        <v>5550</v>
      </c>
    </row>
    <row r="56" spans="1:7" x14ac:dyDescent="0.2">
      <c r="A56" s="2" t="s">
        <v>5672</v>
      </c>
      <c r="B56" s="2" t="s">
        <v>5554</v>
      </c>
      <c r="C56" s="2" t="s">
        <v>5673</v>
      </c>
      <c r="D56" s="2" t="s">
        <v>1473</v>
      </c>
      <c r="E56" s="2" t="s">
        <v>5556</v>
      </c>
      <c r="F56" s="2" t="s">
        <v>4822</v>
      </c>
      <c r="G56" s="2" t="s">
        <v>4822</v>
      </c>
    </row>
    <row r="57" spans="1:7" x14ac:dyDescent="0.2">
      <c r="A57" s="2" t="s">
        <v>5674</v>
      </c>
      <c r="B57" s="2" t="s">
        <v>5500</v>
      </c>
      <c r="C57" s="2" t="s">
        <v>5675</v>
      </c>
      <c r="D57" s="2" t="s">
        <v>3501</v>
      </c>
      <c r="E57" s="2" t="s">
        <v>5606</v>
      </c>
      <c r="F57" s="2" t="s">
        <v>5607</v>
      </c>
      <c r="G57" s="2" t="s">
        <v>5607</v>
      </c>
    </row>
    <row r="58" spans="1:7" x14ac:dyDescent="0.2">
      <c r="A58" s="2" t="s">
        <v>5676</v>
      </c>
      <c r="B58" s="2" t="s">
        <v>5500</v>
      </c>
      <c r="C58" s="2" t="s">
        <v>5677</v>
      </c>
      <c r="D58" s="2" t="s">
        <v>2615</v>
      </c>
      <c r="E58" s="2" t="s">
        <v>5606</v>
      </c>
      <c r="F58" s="2" t="s">
        <v>5607</v>
      </c>
      <c r="G58" s="2" t="s">
        <v>5607</v>
      </c>
    </row>
    <row r="59" spans="1:7" x14ac:dyDescent="0.2">
      <c r="A59" s="2" t="s">
        <v>5678</v>
      </c>
      <c r="B59" s="2" t="s">
        <v>5500</v>
      </c>
      <c r="C59" s="2" t="s">
        <v>5679</v>
      </c>
      <c r="D59" s="2" t="s">
        <v>1795</v>
      </c>
      <c r="E59" s="2" t="s">
        <v>5595</v>
      </c>
      <c r="F59" s="2" t="s">
        <v>4818</v>
      </c>
      <c r="G59" s="2" t="s">
        <v>5596</v>
      </c>
    </row>
    <row r="60" spans="1:7" x14ac:dyDescent="0.2">
      <c r="A60" s="2" t="s">
        <v>5680</v>
      </c>
      <c r="B60" s="2" t="s">
        <v>5554</v>
      </c>
      <c r="C60" s="2" t="s">
        <v>5681</v>
      </c>
      <c r="D60" s="2" t="s">
        <v>510</v>
      </c>
      <c r="E60" s="2" t="s">
        <v>5556</v>
      </c>
      <c r="F60" s="2" t="s">
        <v>4822</v>
      </c>
      <c r="G60" s="2" t="s">
        <v>4822</v>
      </c>
    </row>
    <row r="61" spans="1:7" x14ac:dyDescent="0.2">
      <c r="A61" s="2" t="s">
        <v>5682</v>
      </c>
      <c r="B61" s="2" t="s">
        <v>5500</v>
      </c>
      <c r="C61" s="2" t="s">
        <v>5683</v>
      </c>
      <c r="D61" s="2" t="s">
        <v>3223</v>
      </c>
      <c r="E61" s="2" t="s">
        <v>5563</v>
      </c>
      <c r="F61" s="2" t="s">
        <v>22</v>
      </c>
      <c r="G61" s="2" t="s">
        <v>5564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README</vt:lpstr>
      <vt:lpstr>Units_Residents</vt:lpstr>
      <vt:lpstr>Accounts_AR</vt:lpstr>
      <vt:lpstr>Amenities_Parking</vt:lpstr>
      <vt:lpstr>Amenities_BoatSlips</vt:lpstr>
      <vt:lpstr>Vendors</vt:lpstr>
      <vt:lpstr>Work_Orders</vt:lpstr>
      <vt:lpstr>Violations</vt:lpstr>
      <vt:lpstr>Notices</vt:lpstr>
      <vt:lpstr>SMS_Test_Set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Clifford Vaughn</cp:lastModifiedBy>
  <dcterms:created xsi:type="dcterms:W3CDTF">2026-03-11T21:51:51Z</dcterms:created>
  <dcterms:modified xsi:type="dcterms:W3CDTF">2026-03-11T22:00:20Z</dcterms:modified>
</cp:coreProperties>
</file>